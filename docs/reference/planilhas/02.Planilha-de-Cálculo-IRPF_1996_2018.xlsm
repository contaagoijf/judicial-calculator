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rcw\Downloads\"/>
    </mc:Choice>
  </mc:AlternateContent>
  <workbookProtection workbookPassword="DF3F" lockStructure="1"/>
  <bookViews>
    <workbookView showSheetTabs="0" xWindow="7665" yWindow="105" windowWidth="7650" windowHeight="9690" tabRatio="601" activeTab="1"/>
  </bookViews>
  <sheets>
    <sheet name="capa" sheetId="19" r:id="rId1"/>
    <sheet name="cadastro" sheetId="11" r:id="rId2"/>
    <sheet name="calculo" sheetId="9" r:id="rId3"/>
    <sheet name="rascunho" sheetId="13" state="hidden" r:id="rId4"/>
    <sheet name="AUX" sheetId="17" r:id="rId5"/>
    <sheet name="sobre" sheetId="12" r:id="rId6"/>
    <sheet name="tabelas" sheetId="10" state="hidden" r:id="rId7"/>
  </sheets>
  <functionGroups builtInGroupCount="18">
    <functionGroup name="Commands"/>
  </functionGroups>
  <definedNames>
    <definedName name="_xlnm.Print_Area" localSheetId="2">calculo!$B$3:$J$60</definedName>
    <definedName name="c_op2">cadastro!$U$13</definedName>
    <definedName name="COD_IMP">calculo!$AA$20</definedName>
    <definedName name="COD_JCM">cadastro!$T$7</definedName>
    <definedName name="coefjfsc_17" localSheetId="6">tabelas!$B$6:$C$311</definedName>
    <definedName name="coefjfsc_22" localSheetId="6">tabelas!$CW$10:$CW$14</definedName>
    <definedName name="coefjfsc_28" localSheetId="6">tabelas!$CW$10:$CW$14</definedName>
    <definedName name="coefjfsc_34" localSheetId="6">tabelas!$CW$10:$CW$14</definedName>
    <definedName name="coefjfsc_40" localSheetId="6">tabelas!$CW$10:$CW$14</definedName>
    <definedName name="coefjfsc_46" localSheetId="6">tabelas!$CW$10:$CW$14</definedName>
    <definedName name="coefjfsc_50" localSheetId="6">tabelas!$CW$10:$CW$14</definedName>
    <definedName name="coefjfsc_56" localSheetId="6">tabelas!$CW$10:$CW$14</definedName>
    <definedName name="coefjfsc_57" localSheetId="6">tabelas!$S$6:$T$345</definedName>
    <definedName name="coefjfsc_58" localSheetId="6">tabelas!$G$6:$I$285</definedName>
    <definedName name="coefjfsc_59" localSheetId="6">tabelas!$M$67:$O$346</definedName>
    <definedName name="coefjfsc_60" localSheetId="6">tabelas!$B$6:$C$311</definedName>
    <definedName name="coefjfsc_61" localSheetId="6">tabelas!$S$6:$T$345</definedName>
    <definedName name="coefjfsc_62" localSheetId="6">tabelas!$G$6:$I$285</definedName>
    <definedName name="coefjfsc_64" localSheetId="6">tabelas!$M$67:$O$346</definedName>
    <definedName name="coefjfsc_65" localSheetId="6">tabelas!$B$6:$C$311</definedName>
    <definedName name="coefjfsc_66" localSheetId="6">tabelas!$S$6:$T$345</definedName>
    <definedName name="coefjfsc_67" localSheetId="6">tabelas!$G$6:$I$285</definedName>
    <definedName name="coefjfsc_68" localSheetId="6">tabelas!$M$67:$O$346</definedName>
    <definedName name="coefjfsc_69" localSheetId="6">tabelas!$B$6:$C$311</definedName>
    <definedName name="coefjfsc_70" localSheetId="6">tabelas!$S$6:$T$345</definedName>
    <definedName name="coefjfsc_71" localSheetId="6">tabelas!$G$6:$I$285</definedName>
    <definedName name="coefjfsc_72" localSheetId="6">tabelas!$X$6:$AP$40</definedName>
    <definedName name="coefjfsc_73" localSheetId="6">tabelas!$M$67:$O$346</definedName>
    <definedName name="coefjfsc_74" localSheetId="6">tabelas!$B$6:$C$315</definedName>
    <definedName name="coefjfsc_75" localSheetId="6">tabelas!$S$6:$T$348</definedName>
    <definedName name="coefjfsc_76" localSheetId="6">tabelas!$G$6:$I$288</definedName>
    <definedName name="coefjfsc_77" localSheetId="6">tabelas!$X$6:$AP$40</definedName>
    <definedName name="coefjfsc_78" localSheetId="6">tabelas!$M$67:$O$349</definedName>
    <definedName name="coefjfsc_79" localSheetId="6">tabelas!$B$6:$C$330</definedName>
    <definedName name="coefjfsc_80" localSheetId="6">tabelas!$S$6:$T$374</definedName>
    <definedName name="coefjfsc_81" localSheetId="6">tabelas!$G$6:$I$313</definedName>
    <definedName name="coefjfsc_82" localSheetId="6">tabelas!$X$6:$AP$42</definedName>
    <definedName name="coefjfsc_83" localSheetId="6">tabelas!$M$67:$O$374</definedName>
    <definedName name="coefjfsc_84" localSheetId="6">tabelas!$CW$10:$CW$476</definedName>
    <definedName name="COL_AC2">cadastro!$AA$5:$AA$44</definedName>
    <definedName name="COL_ANO">cadastro!$O$36:$O$144</definedName>
    <definedName name="COL_ANO2">cadastro!$X$5:$X$44</definedName>
    <definedName name="COL_ANOC">cadastro!$AC$5:$AC$44</definedName>
    <definedName name="COL_ANOCAL">cadastro!$B$14:$B$31</definedName>
    <definedName name="COL_REF">rascunho!$AZ$6:$AZ$23</definedName>
    <definedName name="COL_REF2">cadastro!$Z$5:$Z$44</definedName>
    <definedName name="COL_SM">tabelas!$B$6:$C$290</definedName>
    <definedName name="COL_TETO_SIM">tabelas!$BH$6:$BH$55</definedName>
    <definedName name="COL_TIP">tabelas!$AR$6:$AR$55</definedName>
    <definedName name="col_valor">cadastro!$D$36:$D$144</definedName>
    <definedName name="col_valor1">cadastro!$E$36:$E$144</definedName>
    <definedName name="CTR_IMP_DT">calculo!$AA$24</definedName>
    <definedName name="CTR_IMP_RG">calculo!$AA$23</definedName>
    <definedName name="DAT_DIST">cadastro!$T$6</definedName>
    <definedName name="DAT_DIST1">cadastro!$T$12</definedName>
    <definedName name="DAT_FIM">cadastro!$T$9</definedName>
    <definedName name="DAT_LIM_UFIR">cadastro!$T$16</definedName>
    <definedName name="I_SM">tabelas!$C$1</definedName>
    <definedName name="IND_CM_DIST">rascunho!$EU$4</definedName>
    <definedName name="IND_CM_FIM">rascunho!$FK$2</definedName>
    <definedName name="IND_JR_DIST">rascunho!$EU$2</definedName>
    <definedName name="IND_JR_FIM">rascunho!$FK$3</definedName>
    <definedName name="LIMITA_AJUIZ">cadastro!$T$8</definedName>
    <definedName name="M_INI01">AUX!$H$7</definedName>
    <definedName name="M_IRPFA">tabelas!$X$6</definedName>
    <definedName name="M_RENT">tabelas!$M$67</definedName>
    <definedName name="M_SELIC">tabelas!$S$6</definedName>
    <definedName name="M_SERIAL">tabelas!$CW$10</definedName>
    <definedName name="M_SM">tabelas!$B$6</definedName>
    <definedName name="M_TR">tabelas!$G$6</definedName>
    <definedName name="NOM_AUT">cadastro!$T$5</definedName>
    <definedName name="NOM_PLAN">sobre!$H$3</definedName>
    <definedName name="NOM_SETOR">sobre!$H$13</definedName>
    <definedName name="NOM_VER">sobre!$H$11</definedName>
    <definedName name="NPROC">tabelas!$CW$5</definedName>
    <definedName name="NTOT">tabelas!$CW$4</definedName>
    <definedName name="NUM_PROC1">cadastro!$T$4</definedName>
    <definedName name="PARC_AD">rascunho!$EU$5</definedName>
    <definedName name="PARC_DD">rascunho!$FK$4</definedName>
    <definedName name="PI_LIN">calculo!$W$10</definedName>
    <definedName name="SERIAL">sobre!$H$12</definedName>
    <definedName name="SIG_PLAN">sobre!$H$4</definedName>
    <definedName name="SIT_ATUAL">cadastro!$T$14</definedName>
    <definedName name="SIT_ATUAL1">cadastro!$T$18</definedName>
    <definedName name="T_LIN">calculo!$W$11</definedName>
    <definedName name="T_LIN1">calculo!$W$12</definedName>
    <definedName name="tot_pg1">calculo!$V$13</definedName>
    <definedName name="UFIR_011996">tabelas!$CI$54</definedName>
    <definedName name="v_op1">cadastro!$T$33</definedName>
    <definedName name="v_op2">cadastro!$T$34</definedName>
    <definedName name="VAL_TETO">cadastro!$T$15</definedName>
    <definedName name="vdt_ec113">sobre!$H$17</definedName>
    <definedName name="VDT_TETO">sobre!$H$19</definedName>
    <definedName name="VHOJE">sobre!$H$16</definedName>
    <definedName name="VHOJE1">sobre!$H$15</definedName>
    <definedName name="VOP_EC113">sobre!$H$18</definedName>
  </definedNames>
  <calcPr calcId="162913"/>
</workbook>
</file>

<file path=xl/calcChain.xml><?xml version="1.0" encoding="utf-8"?>
<calcChain xmlns="http://schemas.openxmlformats.org/spreadsheetml/2006/main">
  <c r="E8" i="11" l="1"/>
  <c r="E7" i="11"/>
  <c r="AT20" i="13"/>
  <c r="AK23" i="13"/>
  <c r="J7" i="13"/>
  <c r="J8" i="13"/>
  <c r="J9" i="13"/>
  <c r="J10" i="13"/>
  <c r="J11" i="13"/>
  <c r="K11" i="13" s="1"/>
  <c r="J12" i="13"/>
  <c r="J13" i="13"/>
  <c r="J14" i="13"/>
  <c r="J15" i="13"/>
  <c r="J16" i="13"/>
  <c r="J17" i="13"/>
  <c r="J18" i="13"/>
  <c r="K18" i="13" s="1"/>
  <c r="J19" i="13"/>
  <c r="J20" i="13"/>
  <c r="J21" i="13"/>
  <c r="J22" i="13"/>
  <c r="J23" i="13"/>
  <c r="BI7" i="10"/>
  <c r="BI8" i="10"/>
  <c r="BI9" i="10"/>
  <c r="BI10" i="10"/>
  <c r="BI11" i="10"/>
  <c r="BI12" i="10"/>
  <c r="BI13" i="10"/>
  <c r="BI14" i="10"/>
  <c r="BI15" i="10"/>
  <c r="BI16" i="10"/>
  <c r="BI17" i="10"/>
  <c r="BI18" i="10"/>
  <c r="BI19" i="10"/>
  <c r="BI20" i="10"/>
  <c r="BI21" i="10"/>
  <c r="BI22" i="10"/>
  <c r="BI23" i="10"/>
  <c r="BI24" i="10"/>
  <c r="BI25" i="10"/>
  <c r="BI26" i="10"/>
  <c r="BI27" i="10"/>
  <c r="BI28" i="10"/>
  <c r="BI29" i="10"/>
  <c r="BI30" i="10"/>
  <c r="BI31" i="10"/>
  <c r="BI32" i="10"/>
  <c r="BI33" i="10"/>
  <c r="BI34" i="10"/>
  <c r="BI35" i="10"/>
  <c r="BI36" i="10"/>
  <c r="BI37" i="10"/>
  <c r="BI38" i="10"/>
  <c r="BI39" i="10"/>
  <c r="BI40" i="10"/>
  <c r="BI41" i="10"/>
  <c r="BI42" i="10"/>
  <c r="BI43" i="10"/>
  <c r="BI44" i="10"/>
  <c r="BI45" i="10"/>
  <c r="BI46" i="10"/>
  <c r="BI47" i="10"/>
  <c r="BI48" i="10"/>
  <c r="BI49" i="10"/>
  <c r="BI50" i="10"/>
  <c r="BI51" i="10"/>
  <c r="BI52" i="10"/>
  <c r="BI53" i="10"/>
  <c r="BI54" i="10"/>
  <c r="BI55" i="10"/>
  <c r="BI6" i="10"/>
  <c r="CR445" i="10"/>
  <c r="CR446" i="10"/>
  <c r="CR447" i="10"/>
  <c r="CR448" i="10"/>
  <c r="CR449" i="10"/>
  <c r="CR450" i="10"/>
  <c r="CR451" i="10"/>
  <c r="CR452" i="10"/>
  <c r="CR453" i="10"/>
  <c r="CR454" i="10"/>
  <c r="CR455" i="10"/>
  <c r="CR456" i="10"/>
  <c r="CR457" i="10"/>
  <c r="CR458" i="10"/>
  <c r="CR459" i="10"/>
  <c r="CR460" i="10"/>
  <c r="CR461" i="10"/>
  <c r="CR462" i="10"/>
  <c r="CR463" i="10"/>
  <c r="CR464" i="10"/>
  <c r="CR465" i="10"/>
  <c r="CR466" i="10"/>
  <c r="CR467" i="10"/>
  <c r="CR468" i="10"/>
  <c r="CR469" i="10"/>
  <c r="CR470" i="10"/>
  <c r="CR471" i="10"/>
  <c r="CR472" i="10"/>
  <c r="CR473" i="10"/>
  <c r="CR474" i="10"/>
  <c r="CR475" i="10"/>
  <c r="CR476" i="10"/>
  <c r="CR477" i="10"/>
  <c r="CR478" i="10"/>
  <c r="CR479" i="10"/>
  <c r="CR480" i="10"/>
  <c r="CR481" i="10"/>
  <c r="CR482" i="10"/>
  <c r="CR483" i="10"/>
  <c r="CR484" i="10"/>
  <c r="CR485" i="10"/>
  <c r="BP44" i="10"/>
  <c r="BP45" i="10"/>
  <c r="BP46" i="10"/>
  <c r="BP47" i="10"/>
  <c r="BP48" i="10"/>
  <c r="BP49" i="10"/>
  <c r="BP50" i="10"/>
  <c r="BP51" i="10"/>
  <c r="BP52" i="10"/>
  <c r="BP53" i="10"/>
  <c r="BP54" i="10"/>
  <c r="BP55" i="10"/>
  <c r="BP56" i="10"/>
  <c r="BP57" i="10"/>
  <c r="BP58" i="10"/>
  <c r="BP59" i="10"/>
  <c r="BP60" i="10"/>
  <c r="BP61" i="10"/>
  <c r="BP62" i="10"/>
  <c r="BP63" i="10"/>
  <c r="BP35" i="10"/>
  <c r="BP36" i="10"/>
  <c r="BP37" i="10"/>
  <c r="BP38" i="10"/>
  <c r="BP39" i="10"/>
  <c r="BP40" i="10"/>
  <c r="BP41" i="10"/>
  <c r="BP42" i="10"/>
  <c r="BP43" i="10"/>
  <c r="BP25" i="10"/>
  <c r="BP26" i="10"/>
  <c r="BP27" i="10"/>
  <c r="BP28" i="10"/>
  <c r="BP29" i="10"/>
  <c r="BP30" i="10"/>
  <c r="BP31" i="10"/>
  <c r="BP32" i="10"/>
  <c r="BP33" i="10"/>
  <c r="BP34" i="10"/>
  <c r="BP18" i="10"/>
  <c r="BP19" i="10"/>
  <c r="BP20" i="10"/>
  <c r="BP21" i="10"/>
  <c r="BP22" i="10"/>
  <c r="BP23" i="10"/>
  <c r="BP24" i="10"/>
  <c r="BP7" i="10"/>
  <c r="BP8" i="10"/>
  <c r="BP9" i="10"/>
  <c r="BP10" i="10"/>
  <c r="BP11" i="10"/>
  <c r="BP12" i="10"/>
  <c r="BP13" i="10"/>
  <c r="BP14" i="10"/>
  <c r="BP15" i="10"/>
  <c r="BP16" i="10"/>
  <c r="D377" i="10"/>
  <c r="E377" i="10"/>
  <c r="D378" i="10"/>
  <c r="E378" i="10"/>
  <c r="D379" i="10"/>
  <c r="E379" i="10"/>
  <c r="D380" i="10"/>
  <c r="E380" i="10"/>
  <c r="D381" i="10"/>
  <c r="E381" i="10"/>
  <c r="D382" i="10"/>
  <c r="E382" i="10"/>
  <c r="D383" i="10"/>
  <c r="E383" i="10"/>
  <c r="D384" i="10"/>
  <c r="E384" i="10"/>
  <c r="D385" i="10"/>
  <c r="E385" i="10"/>
  <c r="D386" i="10"/>
  <c r="E386" i="10"/>
  <c r="D387" i="10"/>
  <c r="E387" i="10"/>
  <c r="U7" i="10"/>
  <c r="V7" i="10"/>
  <c r="BU65" i="10" s="1"/>
  <c r="BZ65" i="10" s="1"/>
  <c r="U8" i="10"/>
  <c r="V8" i="10" s="1"/>
  <c r="BU66" i="10" s="1"/>
  <c r="BZ66" i="10" s="1"/>
  <c r="U9" i="10"/>
  <c r="BT67" i="10" s="1"/>
  <c r="U10" i="10"/>
  <c r="V10" i="10" s="1"/>
  <c r="BU68" i="10" s="1"/>
  <c r="BZ68" i="10" s="1"/>
  <c r="U11" i="10"/>
  <c r="V11" i="10"/>
  <c r="BU69" i="10"/>
  <c r="U12" i="10"/>
  <c r="V12" i="10" s="1"/>
  <c r="BU70" i="10" s="1"/>
  <c r="BZ70" i="10" s="1"/>
  <c r="U13" i="10"/>
  <c r="V13" i="10" s="1"/>
  <c r="BU71" i="10" s="1"/>
  <c r="BZ71" i="10" s="1"/>
  <c r="U14" i="10"/>
  <c r="V14" i="10"/>
  <c r="BU72" i="10" s="1"/>
  <c r="BZ72" i="10" s="1"/>
  <c r="U15" i="10"/>
  <c r="BT73" i="10"/>
  <c r="U16" i="10"/>
  <c r="V16" i="10"/>
  <c r="BU74" i="10" s="1"/>
  <c r="BZ74" i="10" s="1"/>
  <c r="U17" i="10"/>
  <c r="BT75" i="10"/>
  <c r="U18" i="10"/>
  <c r="BT76" i="10"/>
  <c r="CQ76" i="10"/>
  <c r="V18" i="10"/>
  <c r="BU76" i="10" s="1"/>
  <c r="BZ76" i="10" s="1"/>
  <c r="U19" i="10"/>
  <c r="V19" i="10"/>
  <c r="BU77" i="10"/>
  <c r="BZ77" i="10" s="1"/>
  <c r="U20" i="10"/>
  <c r="BT78" i="10" s="1"/>
  <c r="U21" i="10"/>
  <c r="BT79" i="10"/>
  <c r="U22" i="10"/>
  <c r="V22" i="10" s="1"/>
  <c r="BU80" i="10" s="1"/>
  <c r="BZ80" i="10" s="1"/>
  <c r="U23" i="10"/>
  <c r="V23" i="10" s="1"/>
  <c r="BU81" i="10" s="1"/>
  <c r="BZ81" i="10" s="1"/>
  <c r="U24" i="10"/>
  <c r="V24" i="10"/>
  <c r="BU82" i="10"/>
  <c r="BZ82" i="10"/>
  <c r="U25" i="10"/>
  <c r="V25" i="10" s="1"/>
  <c r="BU83" i="10" s="1"/>
  <c r="BZ83" i="10" s="1"/>
  <c r="U26" i="10"/>
  <c r="V26" i="10" s="1"/>
  <c r="BU84" i="10" s="1"/>
  <c r="BZ84" i="10" s="1"/>
  <c r="U27" i="10"/>
  <c r="BT85" i="10" s="1"/>
  <c r="U28" i="10"/>
  <c r="V28" i="10"/>
  <c r="BU86" i="10" s="1"/>
  <c r="BZ86" i="10" s="1"/>
  <c r="U29" i="10"/>
  <c r="V29" i="10"/>
  <c r="BU87" i="10" s="1"/>
  <c r="BZ87" i="10" s="1"/>
  <c r="U30" i="10"/>
  <c r="V30" i="10" s="1"/>
  <c r="BU88" i="10" s="1"/>
  <c r="BZ88" i="10" s="1"/>
  <c r="U31" i="10"/>
  <c r="V31" i="10"/>
  <c r="BU89" i="10" s="1"/>
  <c r="BZ89" i="10" s="1"/>
  <c r="U32" i="10"/>
  <c r="V32" i="10"/>
  <c r="BU90" i="10" s="1"/>
  <c r="U33" i="10"/>
  <c r="BT91" i="10" s="1"/>
  <c r="U34" i="10"/>
  <c r="V34" i="10"/>
  <c r="BU92" i="10" s="1"/>
  <c r="BZ92" i="10" s="1"/>
  <c r="U35" i="10"/>
  <c r="V35" i="10"/>
  <c r="BU93" i="10" s="1"/>
  <c r="BZ93" i="10" s="1"/>
  <c r="U36" i="10"/>
  <c r="V36" i="10" s="1"/>
  <c r="BU94" i="10" s="1"/>
  <c r="BZ94" i="10" s="1"/>
  <c r="U37" i="10"/>
  <c r="V37" i="10"/>
  <c r="BU95" i="10" s="1"/>
  <c r="BZ95" i="10" s="1"/>
  <c r="U38" i="10"/>
  <c r="BT96" i="10" s="1"/>
  <c r="U39" i="10"/>
  <c r="BT97" i="10"/>
  <c r="U40" i="10"/>
  <c r="V40" i="10"/>
  <c r="BU98" i="10" s="1"/>
  <c r="BZ98" i="10"/>
  <c r="U41" i="10"/>
  <c r="U42" i="10"/>
  <c r="BT100" i="10"/>
  <c r="U43" i="10"/>
  <c r="V43" i="10"/>
  <c r="BU101" i="10"/>
  <c r="BZ101" i="10" s="1"/>
  <c r="U44" i="10"/>
  <c r="BT102" i="10" s="1"/>
  <c r="U45" i="10"/>
  <c r="BT103" i="10"/>
  <c r="U46" i="10"/>
  <c r="V46" i="10"/>
  <c r="BU104" i="10" s="1"/>
  <c r="BZ104" i="10" s="1"/>
  <c r="U47" i="10"/>
  <c r="U48" i="10"/>
  <c r="V48" i="10" s="1"/>
  <c r="BU106" i="10" s="1"/>
  <c r="BZ106" i="10" s="1"/>
  <c r="U49" i="10"/>
  <c r="V49" i="10"/>
  <c r="BU107" i="10" s="1"/>
  <c r="BZ107" i="10" s="1"/>
  <c r="U50" i="10"/>
  <c r="BT108" i="10"/>
  <c r="U51" i="10"/>
  <c r="BT109" i="10"/>
  <c r="CQ109" i="10"/>
  <c r="U52" i="10"/>
  <c r="V52" i="10" s="1"/>
  <c r="BU110" i="10" s="1"/>
  <c r="BZ110" i="10" s="1"/>
  <c r="U53" i="10"/>
  <c r="U54" i="10"/>
  <c r="V54" i="10" s="1"/>
  <c r="BU112" i="10" s="1"/>
  <c r="BZ112" i="10" s="1"/>
  <c r="U55" i="10"/>
  <c r="V55" i="10"/>
  <c r="BU113" i="10"/>
  <c r="BZ113" i="10" s="1"/>
  <c r="U56" i="10"/>
  <c r="U57" i="10"/>
  <c r="BT115" i="10" s="1"/>
  <c r="BY115" i="10" s="1"/>
  <c r="U58" i="10"/>
  <c r="BT116" i="10"/>
  <c r="U59" i="10"/>
  <c r="BT117" i="10" s="1"/>
  <c r="BY117" i="10" s="1"/>
  <c r="U60" i="10"/>
  <c r="V60" i="10"/>
  <c r="BU118" i="10"/>
  <c r="BZ118" i="10" s="1"/>
  <c r="U61" i="10"/>
  <c r="V61" i="10"/>
  <c r="BU119" i="10" s="1"/>
  <c r="BZ119" i="10" s="1"/>
  <c r="U62" i="10"/>
  <c r="BT120" i="10" s="1"/>
  <c r="U63" i="10"/>
  <c r="BT121" i="10" s="1"/>
  <c r="U64" i="10"/>
  <c r="V64" i="10" s="1"/>
  <c r="BU122" i="10" s="1"/>
  <c r="BZ122" i="10" s="1"/>
  <c r="U65" i="10"/>
  <c r="BT123" i="10"/>
  <c r="U66" i="10"/>
  <c r="BT124" i="10"/>
  <c r="BY124" i="10"/>
  <c r="U67" i="10"/>
  <c r="V67" i="10" s="1"/>
  <c r="BU125" i="10" s="1"/>
  <c r="BZ125" i="10" s="1"/>
  <c r="U68" i="10"/>
  <c r="U69" i="10"/>
  <c r="U70" i="10"/>
  <c r="V70" i="10"/>
  <c r="BU128" i="10" s="1"/>
  <c r="BZ128" i="10" s="1"/>
  <c r="U71" i="10"/>
  <c r="U72" i="10"/>
  <c r="U73" i="10"/>
  <c r="U74" i="10"/>
  <c r="BT132" i="10"/>
  <c r="U75" i="10"/>
  <c r="BT133" i="10" s="1"/>
  <c r="U76" i="10"/>
  <c r="U77" i="10"/>
  <c r="U78" i="10"/>
  <c r="U79" i="10"/>
  <c r="U80" i="10"/>
  <c r="U81" i="10"/>
  <c r="U82" i="10"/>
  <c r="U83" i="10"/>
  <c r="U84" i="10"/>
  <c r="U85" i="10"/>
  <c r="BT143" i="10"/>
  <c r="BY143" i="10" s="1"/>
  <c r="U86" i="10"/>
  <c r="V86" i="10"/>
  <c r="BU144" i="10" s="1"/>
  <c r="BZ144" i="10" s="1"/>
  <c r="U87" i="10"/>
  <c r="U88" i="10"/>
  <c r="U89" i="10"/>
  <c r="U90" i="10"/>
  <c r="V90" i="10"/>
  <c r="BU148" i="10" s="1"/>
  <c r="BZ148" i="10" s="1"/>
  <c r="U91" i="10"/>
  <c r="V91" i="10" s="1"/>
  <c r="BU149" i="10" s="1"/>
  <c r="BZ149" i="10" s="1"/>
  <c r="U92" i="10"/>
  <c r="U93" i="10"/>
  <c r="U94" i="10"/>
  <c r="U95" i="10"/>
  <c r="BT153" i="10"/>
  <c r="BY153" i="10" s="1"/>
  <c r="U96" i="10"/>
  <c r="BT154" i="10"/>
  <c r="U97" i="10"/>
  <c r="BT155" i="10" s="1"/>
  <c r="U98" i="10"/>
  <c r="BT156" i="10" s="1"/>
  <c r="U99" i="10"/>
  <c r="BT157" i="10"/>
  <c r="U100" i="10"/>
  <c r="BT158" i="10" s="1"/>
  <c r="U101" i="10"/>
  <c r="U102" i="10"/>
  <c r="V102" i="10"/>
  <c r="BU160" i="10" s="1"/>
  <c r="BZ160" i="10" s="1"/>
  <c r="U103" i="10"/>
  <c r="V103" i="10" s="1"/>
  <c r="BU161" i="10" s="1"/>
  <c r="BZ161" i="10" s="1"/>
  <c r="BT161" i="10"/>
  <c r="U104" i="10"/>
  <c r="BT162" i="10"/>
  <c r="U105" i="10"/>
  <c r="U106" i="10"/>
  <c r="BT164" i="10" s="1"/>
  <c r="U107" i="10"/>
  <c r="BT165" i="10" s="1"/>
  <c r="U108" i="10"/>
  <c r="BT166" i="10"/>
  <c r="U109" i="10"/>
  <c r="BT167" i="10" s="1"/>
  <c r="U110" i="10"/>
  <c r="BT168" i="10" s="1"/>
  <c r="BY168" i="10" s="1"/>
  <c r="U111" i="10"/>
  <c r="BT169" i="10" s="1"/>
  <c r="U112" i="10"/>
  <c r="BT170" i="10" s="1"/>
  <c r="U113" i="10"/>
  <c r="BT171" i="10"/>
  <c r="U114" i="10"/>
  <c r="V114" i="10" s="1"/>
  <c r="BU172" i="10" s="1"/>
  <c r="BZ172" i="10" s="1"/>
  <c r="U115" i="10"/>
  <c r="V115" i="10" s="1"/>
  <c r="BU173" i="10" s="1"/>
  <c r="BZ173" i="10" s="1"/>
  <c r="U116" i="10"/>
  <c r="V116" i="10" s="1"/>
  <c r="BU174" i="10" s="1"/>
  <c r="BZ174" i="10" s="1"/>
  <c r="U117" i="10"/>
  <c r="BT175" i="10"/>
  <c r="U118" i="10"/>
  <c r="V118" i="10" s="1"/>
  <c r="BU176" i="10" s="1"/>
  <c r="BZ176" i="10" s="1"/>
  <c r="U119" i="10"/>
  <c r="BT177" i="10" s="1"/>
  <c r="U120" i="10"/>
  <c r="V120" i="10" s="1"/>
  <c r="BU178" i="10" s="1"/>
  <c r="BZ178" i="10" s="1"/>
  <c r="U121" i="10"/>
  <c r="BT179" i="10"/>
  <c r="U122" i="10"/>
  <c r="BT180" i="10" s="1"/>
  <c r="U123" i="10"/>
  <c r="BT181" i="10" s="1"/>
  <c r="U124" i="10"/>
  <c r="BT182" i="10"/>
  <c r="U125" i="10"/>
  <c r="U126" i="10"/>
  <c r="BT184" i="10"/>
  <c r="BY184" i="10" s="1"/>
  <c r="U127" i="10"/>
  <c r="V127" i="10" s="1"/>
  <c r="BU185" i="10" s="1"/>
  <c r="BZ185" i="10" s="1"/>
  <c r="BT185" i="10"/>
  <c r="U128" i="10"/>
  <c r="V128" i="10" s="1"/>
  <c r="BU186" i="10" s="1"/>
  <c r="BZ186" i="10" s="1"/>
  <c r="U129" i="10"/>
  <c r="V129" i="10" s="1"/>
  <c r="BU187" i="10" s="1"/>
  <c r="BZ187" i="10" s="1"/>
  <c r="U130" i="10"/>
  <c r="BT188" i="10" s="1"/>
  <c r="U131" i="10"/>
  <c r="V131" i="10" s="1"/>
  <c r="BU189" i="10" s="1"/>
  <c r="BZ189" i="10" s="1"/>
  <c r="U132" i="10"/>
  <c r="BT190" i="10" s="1"/>
  <c r="U133" i="10"/>
  <c r="BT191" i="10" s="1"/>
  <c r="U134" i="10"/>
  <c r="V134" i="10" s="1"/>
  <c r="BU192" i="10" s="1"/>
  <c r="BZ192" i="10" s="1"/>
  <c r="U135" i="10"/>
  <c r="V135" i="10"/>
  <c r="BU193" i="10" s="1"/>
  <c r="BZ193" i="10" s="1"/>
  <c r="U136" i="10"/>
  <c r="BT194" i="10" s="1"/>
  <c r="U137" i="10"/>
  <c r="U138" i="10"/>
  <c r="V138" i="10" s="1"/>
  <c r="BU196" i="10" s="1"/>
  <c r="BZ196" i="10" s="1"/>
  <c r="U139" i="10"/>
  <c r="V139" i="10"/>
  <c r="BU197" i="10" s="1"/>
  <c r="BZ197" i="10" s="1"/>
  <c r="U140" i="10"/>
  <c r="U141" i="10"/>
  <c r="BT199" i="10"/>
  <c r="U142" i="10"/>
  <c r="BT200" i="10"/>
  <c r="U143" i="10"/>
  <c r="BT201" i="10"/>
  <c r="U144" i="10"/>
  <c r="V144" i="10" s="1"/>
  <c r="BU202" i="10" s="1"/>
  <c r="BZ202" i="10" s="1"/>
  <c r="U145" i="10"/>
  <c r="BT203" i="10" s="1"/>
  <c r="U146" i="10"/>
  <c r="BT204" i="10" s="1"/>
  <c r="U147" i="10"/>
  <c r="V147" i="10" s="1"/>
  <c r="BU205" i="10" s="1"/>
  <c r="BZ205" i="10" s="1"/>
  <c r="U148" i="10"/>
  <c r="BT206" i="10" s="1"/>
  <c r="U149" i="10"/>
  <c r="BT207" i="10" s="1"/>
  <c r="U150" i="10"/>
  <c r="BT208" i="10" s="1"/>
  <c r="U151" i="10"/>
  <c r="BT209" i="10" s="1"/>
  <c r="CQ209" i="10" s="1"/>
  <c r="U152" i="10"/>
  <c r="BT210" i="10"/>
  <c r="CQ210" i="10" s="1"/>
  <c r="U153" i="10"/>
  <c r="BT211" i="10"/>
  <c r="U154" i="10"/>
  <c r="U155" i="10"/>
  <c r="BT213" i="10"/>
  <c r="U156" i="10"/>
  <c r="BT214" i="10" s="1"/>
  <c r="U157" i="10"/>
  <c r="BT215" i="10"/>
  <c r="BY215" i="10" s="1"/>
  <c r="U158" i="10"/>
  <c r="BT216" i="10" s="1"/>
  <c r="U159" i="10"/>
  <c r="BT217" i="10" s="1"/>
  <c r="U160" i="10"/>
  <c r="BT218" i="10"/>
  <c r="CQ218" i="10" s="1"/>
  <c r="U161" i="10"/>
  <c r="BT219" i="10" s="1"/>
  <c r="U162" i="10"/>
  <c r="V162" i="10" s="1"/>
  <c r="BU220" i="10" s="1"/>
  <c r="BZ220" i="10" s="1"/>
  <c r="U163" i="10"/>
  <c r="BT221" i="10" s="1"/>
  <c r="CQ221" i="10" s="1"/>
  <c r="U164" i="10"/>
  <c r="BT222" i="10"/>
  <c r="U165" i="10"/>
  <c r="V165" i="10" s="1"/>
  <c r="BU223" i="10" s="1"/>
  <c r="BZ223" i="10" s="1"/>
  <c r="U166" i="10"/>
  <c r="BT224" i="10" s="1"/>
  <c r="U167" i="10"/>
  <c r="BT225" i="10" s="1"/>
  <c r="U168" i="10"/>
  <c r="V168" i="10"/>
  <c r="BU226" i="10" s="1"/>
  <c r="U169" i="10"/>
  <c r="BT227" i="10"/>
  <c r="CQ227" i="10"/>
  <c r="U170" i="10"/>
  <c r="BT228" i="10" s="1"/>
  <c r="CQ228" i="10" s="1"/>
  <c r="U171" i="10"/>
  <c r="V171" i="10" s="1"/>
  <c r="BU229" i="10" s="1"/>
  <c r="U172" i="10"/>
  <c r="BT230" i="10"/>
  <c r="CQ230" i="10" s="1"/>
  <c r="U173" i="10"/>
  <c r="BT231" i="10" s="1"/>
  <c r="CQ231" i="10" s="1"/>
  <c r="U174" i="10"/>
  <c r="V174" i="10" s="1"/>
  <c r="BU232" i="10" s="1"/>
  <c r="U175" i="10"/>
  <c r="BT233" i="10"/>
  <c r="CQ233" i="10" s="1"/>
  <c r="U176" i="10"/>
  <c r="BT234" i="10" s="1"/>
  <c r="CQ234" i="10" s="1"/>
  <c r="U177" i="10"/>
  <c r="BT235" i="10"/>
  <c r="CQ235" i="10" s="1"/>
  <c r="U178" i="10"/>
  <c r="BT236" i="10"/>
  <c r="CQ236" i="10" s="1"/>
  <c r="U179" i="10"/>
  <c r="BT237" i="10"/>
  <c r="CQ237" i="10" s="1"/>
  <c r="U180" i="10"/>
  <c r="BT238" i="10" s="1"/>
  <c r="CQ238" i="10" s="1"/>
  <c r="U181" i="10"/>
  <c r="BT239" i="10"/>
  <c r="CQ239" i="10" s="1"/>
  <c r="U182" i="10"/>
  <c r="BT240" i="10" s="1"/>
  <c r="CQ240" i="10" s="1"/>
  <c r="U183" i="10"/>
  <c r="V183" i="10"/>
  <c r="BU241" i="10" s="1"/>
  <c r="U184" i="10"/>
  <c r="BT242" i="10" s="1"/>
  <c r="CQ242" i="10" s="1"/>
  <c r="U185" i="10"/>
  <c r="BT243" i="10" s="1"/>
  <c r="CQ243" i="10" s="1"/>
  <c r="U186" i="10"/>
  <c r="BT244" i="10"/>
  <c r="CQ244" i="10" s="1"/>
  <c r="U187" i="10"/>
  <c r="BT245" i="10" s="1"/>
  <c r="CQ245" i="10" s="1"/>
  <c r="U188" i="10"/>
  <c r="BT246" i="10" s="1"/>
  <c r="CQ246" i="10" s="1"/>
  <c r="U189" i="10"/>
  <c r="V189" i="10" s="1"/>
  <c r="BU247" i="10" s="1"/>
  <c r="U190" i="10"/>
  <c r="BT248" i="10" s="1"/>
  <c r="CQ248" i="10" s="1"/>
  <c r="U191" i="10"/>
  <c r="V191" i="10" s="1"/>
  <c r="BU249" i="10" s="1"/>
  <c r="U192" i="10"/>
  <c r="V192" i="10"/>
  <c r="BU250" i="10" s="1"/>
  <c r="U193" i="10"/>
  <c r="BT251" i="10" s="1"/>
  <c r="CQ251" i="10" s="1"/>
  <c r="U194" i="10"/>
  <c r="BT252" i="10" s="1"/>
  <c r="CQ252" i="10" s="1"/>
  <c r="U195" i="10"/>
  <c r="BT253" i="10"/>
  <c r="CQ253" i="10"/>
  <c r="U196" i="10"/>
  <c r="BT254" i="10" s="1"/>
  <c r="CQ254" i="10" s="1"/>
  <c r="U197" i="10"/>
  <c r="BT255" i="10" s="1"/>
  <c r="CQ255" i="10" s="1"/>
  <c r="U198" i="10"/>
  <c r="BT256" i="10" s="1"/>
  <c r="CQ256" i="10" s="1"/>
  <c r="U199" i="10"/>
  <c r="BT257" i="10" s="1"/>
  <c r="CQ257" i="10" s="1"/>
  <c r="U200" i="10"/>
  <c r="BT258" i="10" s="1"/>
  <c r="CQ258" i="10" s="1"/>
  <c r="U201" i="10"/>
  <c r="BT259" i="10" s="1"/>
  <c r="CQ259" i="10" s="1"/>
  <c r="U202" i="10"/>
  <c r="BT260" i="10" s="1"/>
  <c r="CQ260" i="10" s="1"/>
  <c r="U203" i="10"/>
  <c r="BT261" i="10" s="1"/>
  <c r="CQ261" i="10" s="1"/>
  <c r="U204" i="10"/>
  <c r="BT262" i="10" s="1"/>
  <c r="CQ262" i="10" s="1"/>
  <c r="U205" i="10"/>
  <c r="BT263" i="10" s="1"/>
  <c r="CQ263" i="10" s="1"/>
  <c r="U206" i="10"/>
  <c r="BT264" i="10" s="1"/>
  <c r="CQ264" i="10" s="1"/>
  <c r="U207" i="10"/>
  <c r="BT265" i="10" s="1"/>
  <c r="CQ265" i="10" s="1"/>
  <c r="U208" i="10"/>
  <c r="BT266" i="10" s="1"/>
  <c r="CQ266" i="10" s="1"/>
  <c r="U209" i="10"/>
  <c r="BT267" i="10" s="1"/>
  <c r="CQ267" i="10" s="1"/>
  <c r="U210" i="10"/>
  <c r="BT268" i="10" s="1"/>
  <c r="CQ268" i="10" s="1"/>
  <c r="U211" i="10"/>
  <c r="BT269" i="10" s="1"/>
  <c r="CQ269" i="10" s="1"/>
  <c r="U212" i="10"/>
  <c r="BT270" i="10" s="1"/>
  <c r="CQ270" i="10" s="1"/>
  <c r="U213" i="10"/>
  <c r="BT271" i="10" s="1"/>
  <c r="CQ271" i="10" s="1"/>
  <c r="U214" i="10"/>
  <c r="BT272" i="10" s="1"/>
  <c r="CQ272" i="10" s="1"/>
  <c r="U215" i="10"/>
  <c r="BT273" i="10" s="1"/>
  <c r="CQ273" i="10" s="1"/>
  <c r="U216" i="10"/>
  <c r="BT274" i="10" s="1"/>
  <c r="CQ274" i="10" s="1"/>
  <c r="U217" i="10"/>
  <c r="BT275" i="10" s="1"/>
  <c r="CQ275" i="10" s="1"/>
  <c r="U218" i="10"/>
  <c r="BT276" i="10" s="1"/>
  <c r="CQ276" i="10" s="1"/>
  <c r="U219" i="10"/>
  <c r="BT277" i="10" s="1"/>
  <c r="CQ277" i="10" s="1"/>
  <c r="U220" i="10"/>
  <c r="BT278" i="10" s="1"/>
  <c r="CQ278" i="10" s="1"/>
  <c r="U221" i="10"/>
  <c r="BT279" i="10" s="1"/>
  <c r="CQ279" i="10" s="1"/>
  <c r="U222" i="10"/>
  <c r="BT280" i="10" s="1"/>
  <c r="CQ280" i="10" s="1"/>
  <c r="U223" i="10"/>
  <c r="V223" i="10" s="1"/>
  <c r="BU281" i="10" s="1"/>
  <c r="U224" i="10"/>
  <c r="BT282" i="10" s="1"/>
  <c r="CQ282" i="10" s="1"/>
  <c r="U225" i="10"/>
  <c r="BT283" i="10"/>
  <c r="CQ283" i="10" s="1"/>
  <c r="U226" i="10"/>
  <c r="BT284" i="10"/>
  <c r="CQ284" i="10" s="1"/>
  <c r="U227" i="10"/>
  <c r="BT285" i="10" s="1"/>
  <c r="CQ285" i="10" s="1"/>
  <c r="U228" i="10"/>
  <c r="BT286" i="10" s="1"/>
  <c r="CQ286" i="10" s="1"/>
  <c r="U229" i="10"/>
  <c r="BT287" i="10"/>
  <c r="CQ287" i="10" s="1"/>
  <c r="U230" i="10"/>
  <c r="BT288" i="10"/>
  <c r="CQ288" i="10" s="1"/>
  <c r="U231" i="10"/>
  <c r="BT289" i="10" s="1"/>
  <c r="CQ289" i="10" s="1"/>
  <c r="U232" i="10"/>
  <c r="BT290" i="10" s="1"/>
  <c r="CQ290" i="10" s="1"/>
  <c r="U233" i="10"/>
  <c r="BT291" i="10" s="1"/>
  <c r="CQ291" i="10" s="1"/>
  <c r="U234" i="10"/>
  <c r="BT292" i="10"/>
  <c r="CQ292" i="10" s="1"/>
  <c r="U235" i="10"/>
  <c r="V235" i="10" s="1"/>
  <c r="BU293" i="10" s="1"/>
  <c r="U236" i="10"/>
  <c r="BT294" i="10" s="1"/>
  <c r="CQ294" i="10" s="1"/>
  <c r="U237" i="10"/>
  <c r="BT295" i="10" s="1"/>
  <c r="CQ295" i="10" s="1"/>
  <c r="U238" i="10"/>
  <c r="BT296" i="10"/>
  <c r="CQ296" i="10" s="1"/>
  <c r="U239" i="10"/>
  <c r="BT297" i="10" s="1"/>
  <c r="CQ297" i="10" s="1"/>
  <c r="U240" i="10"/>
  <c r="BT298" i="10" s="1"/>
  <c r="CQ298" i="10" s="1"/>
  <c r="U241" i="10"/>
  <c r="V241" i="10" s="1"/>
  <c r="BU299" i="10" s="1"/>
  <c r="U242" i="10"/>
  <c r="BT300" i="10" s="1"/>
  <c r="CQ300" i="10" s="1"/>
  <c r="U243" i="10"/>
  <c r="BT301" i="10"/>
  <c r="CQ301" i="10" s="1"/>
  <c r="U244" i="10"/>
  <c r="BT302" i="10"/>
  <c r="CQ302" i="10" s="1"/>
  <c r="U245" i="10"/>
  <c r="BT303" i="10"/>
  <c r="CQ303" i="10" s="1"/>
  <c r="U246" i="10"/>
  <c r="U247" i="10"/>
  <c r="BT305" i="10"/>
  <c r="CQ305" i="10" s="1"/>
  <c r="U248" i="10"/>
  <c r="BT306" i="10" s="1"/>
  <c r="CQ306" i="10" s="1"/>
  <c r="U249" i="10"/>
  <c r="BT307" i="10" s="1"/>
  <c r="CQ307" i="10" s="1"/>
  <c r="U250" i="10"/>
  <c r="BT308" i="10" s="1"/>
  <c r="CQ308" i="10" s="1"/>
  <c r="U251" i="10"/>
  <c r="BT309" i="10"/>
  <c r="CQ309" i="10" s="1"/>
  <c r="U252" i="10"/>
  <c r="BT310" i="10" s="1"/>
  <c r="CQ310" i="10" s="1"/>
  <c r="U253" i="10"/>
  <c r="BT311" i="10" s="1"/>
  <c r="CQ311" i="10" s="1"/>
  <c r="U254" i="10"/>
  <c r="BT312" i="10" s="1"/>
  <c r="CQ312" i="10" s="1"/>
  <c r="U255" i="10"/>
  <c r="BT313" i="10"/>
  <c r="CQ313" i="10" s="1"/>
  <c r="U256" i="10"/>
  <c r="BT314" i="10" s="1"/>
  <c r="CQ314" i="10" s="1"/>
  <c r="U257" i="10"/>
  <c r="BT315" i="10" s="1"/>
  <c r="CQ315" i="10" s="1"/>
  <c r="U258" i="10"/>
  <c r="BT316" i="10" s="1"/>
  <c r="CQ316" i="10" s="1"/>
  <c r="U259" i="10"/>
  <c r="BT317" i="10"/>
  <c r="CQ317" i="10" s="1"/>
  <c r="U260" i="10"/>
  <c r="BT318" i="10" s="1"/>
  <c r="CQ318" i="10" s="1"/>
  <c r="U261" i="10"/>
  <c r="BT319" i="10" s="1"/>
  <c r="CQ319" i="10" s="1"/>
  <c r="U262" i="10"/>
  <c r="BT320" i="10" s="1"/>
  <c r="CQ320" i="10" s="1"/>
  <c r="U263" i="10"/>
  <c r="U264" i="10"/>
  <c r="BT322" i="10" s="1"/>
  <c r="CQ322" i="10" s="1"/>
  <c r="U265" i="10"/>
  <c r="BT323" i="10" s="1"/>
  <c r="CQ323" i="10" s="1"/>
  <c r="U266" i="10"/>
  <c r="BT324" i="10" s="1"/>
  <c r="CQ324" i="10" s="1"/>
  <c r="U267" i="10"/>
  <c r="U268" i="10"/>
  <c r="BT326" i="10" s="1"/>
  <c r="CQ326" i="10" s="1"/>
  <c r="U269" i="10"/>
  <c r="BT327" i="10"/>
  <c r="CQ327" i="10" s="1"/>
  <c r="U270" i="10"/>
  <c r="BT328" i="10"/>
  <c r="CQ328" i="10" s="1"/>
  <c r="U271" i="10"/>
  <c r="V271" i="10"/>
  <c r="BU329" i="10" s="1"/>
  <c r="U272" i="10"/>
  <c r="BT330" i="10" s="1"/>
  <c r="CQ330" i="10" s="1"/>
  <c r="U273" i="10"/>
  <c r="BT331" i="10" s="1"/>
  <c r="CQ331" i="10" s="1"/>
  <c r="U274" i="10"/>
  <c r="BT332" i="10" s="1"/>
  <c r="CQ332" i="10" s="1"/>
  <c r="U275" i="10"/>
  <c r="BT333" i="10" s="1"/>
  <c r="CQ333" i="10" s="1"/>
  <c r="U276" i="10"/>
  <c r="BT334" i="10" s="1"/>
  <c r="CQ334" i="10" s="1"/>
  <c r="U277" i="10"/>
  <c r="BT335" i="10" s="1"/>
  <c r="CQ335" i="10" s="1"/>
  <c r="U278" i="10"/>
  <c r="BT336" i="10" s="1"/>
  <c r="CQ336" i="10" s="1"/>
  <c r="U279" i="10"/>
  <c r="U280" i="10"/>
  <c r="V280" i="10"/>
  <c r="BU338" i="10" s="1"/>
  <c r="U281" i="10"/>
  <c r="V281" i="10" s="1"/>
  <c r="BU339" i="10" s="1"/>
  <c r="U282" i="10"/>
  <c r="BT340" i="10"/>
  <c r="CQ340" i="10" s="1"/>
  <c r="U283" i="10"/>
  <c r="BT341" i="10" s="1"/>
  <c r="CQ341" i="10" s="1"/>
  <c r="U284" i="10"/>
  <c r="BT342" i="10" s="1"/>
  <c r="CQ342" i="10" s="1"/>
  <c r="U285" i="10"/>
  <c r="BT343" i="10" s="1"/>
  <c r="CQ343" i="10" s="1"/>
  <c r="U286" i="10"/>
  <c r="BT344" i="10"/>
  <c r="CQ344" i="10" s="1"/>
  <c r="U287" i="10"/>
  <c r="U288" i="10"/>
  <c r="BT346" i="10" s="1"/>
  <c r="CQ346" i="10" s="1"/>
  <c r="U289" i="10"/>
  <c r="BT347" i="10" s="1"/>
  <c r="CQ347" i="10" s="1"/>
  <c r="U290" i="10"/>
  <c r="BT348" i="10" s="1"/>
  <c r="CQ348" i="10" s="1"/>
  <c r="U291" i="10"/>
  <c r="BT349" i="10" s="1"/>
  <c r="CQ349" i="10" s="1"/>
  <c r="U292" i="10"/>
  <c r="BT350" i="10" s="1"/>
  <c r="CQ350" i="10" s="1"/>
  <c r="U293" i="10"/>
  <c r="BT351" i="10" s="1"/>
  <c r="CQ351" i="10" s="1"/>
  <c r="U294" i="10"/>
  <c r="BT352" i="10" s="1"/>
  <c r="CQ352" i="10" s="1"/>
  <c r="U295" i="10"/>
  <c r="V295" i="10" s="1"/>
  <c r="BU353" i="10" s="1"/>
  <c r="U296" i="10"/>
  <c r="BT354" i="10" s="1"/>
  <c r="CQ354" i="10" s="1"/>
  <c r="U297" i="10"/>
  <c r="BT355" i="10" s="1"/>
  <c r="CQ355" i="10" s="1"/>
  <c r="U298" i="10"/>
  <c r="BT356" i="10" s="1"/>
  <c r="CQ356" i="10" s="1"/>
  <c r="U299" i="10"/>
  <c r="U300" i="10"/>
  <c r="U301" i="10"/>
  <c r="BT359" i="10" s="1"/>
  <c r="CQ359" i="10" s="1"/>
  <c r="U302" i="10"/>
  <c r="BT360" i="10"/>
  <c r="CQ360" i="10" s="1"/>
  <c r="U303" i="10"/>
  <c r="BT361" i="10" s="1"/>
  <c r="CQ361" i="10" s="1"/>
  <c r="U304" i="10"/>
  <c r="BT362" i="10"/>
  <c r="CQ362" i="10" s="1"/>
  <c r="U305" i="10"/>
  <c r="U306" i="10"/>
  <c r="BT364" i="10" s="1"/>
  <c r="CQ364" i="10" s="1"/>
  <c r="U307" i="10"/>
  <c r="BT365" i="10" s="1"/>
  <c r="CQ365" i="10" s="1"/>
  <c r="U308" i="10"/>
  <c r="BT366" i="10" s="1"/>
  <c r="CQ366" i="10" s="1"/>
  <c r="U309" i="10"/>
  <c r="BT367" i="10" s="1"/>
  <c r="CQ367" i="10" s="1"/>
  <c r="U310" i="10"/>
  <c r="U311" i="10"/>
  <c r="BT369" i="10"/>
  <c r="CQ369" i="10"/>
  <c r="U312" i="10"/>
  <c r="BT370" i="10"/>
  <c r="CQ370" i="10"/>
  <c r="U313" i="10"/>
  <c r="BT371" i="10"/>
  <c r="CQ371" i="10"/>
  <c r="U314" i="10"/>
  <c r="BT372" i="10"/>
  <c r="CQ372" i="10" s="1"/>
  <c r="U315" i="10"/>
  <c r="BT373" i="10" s="1"/>
  <c r="CQ373" i="10" s="1"/>
  <c r="U316" i="10"/>
  <c r="BT374" i="10"/>
  <c r="CQ374" i="10"/>
  <c r="U317" i="10"/>
  <c r="BT375" i="10" s="1"/>
  <c r="CQ375" i="10" s="1"/>
  <c r="U318" i="10"/>
  <c r="BT376" i="10"/>
  <c r="CQ376" i="10" s="1"/>
  <c r="U319" i="10"/>
  <c r="BT377" i="10" s="1"/>
  <c r="CQ377" i="10" s="1"/>
  <c r="U320" i="10"/>
  <c r="BT378" i="10"/>
  <c r="CQ378" i="10"/>
  <c r="U321" i="10"/>
  <c r="U322" i="10"/>
  <c r="U323" i="10"/>
  <c r="BT381" i="10" s="1"/>
  <c r="CQ381" i="10" s="1"/>
  <c r="U324" i="10"/>
  <c r="BT382" i="10" s="1"/>
  <c r="CQ382" i="10" s="1"/>
  <c r="U325" i="10"/>
  <c r="BT383" i="10" s="1"/>
  <c r="CQ383" i="10" s="1"/>
  <c r="U326" i="10"/>
  <c r="BT384" i="10" s="1"/>
  <c r="CQ384" i="10" s="1"/>
  <c r="U327" i="10"/>
  <c r="BT385" i="10" s="1"/>
  <c r="CQ385" i="10" s="1"/>
  <c r="U328" i="10"/>
  <c r="U329" i="10"/>
  <c r="BT387" i="10" s="1"/>
  <c r="CQ387" i="10" s="1"/>
  <c r="U330" i="10"/>
  <c r="BT388" i="10" s="1"/>
  <c r="CQ388" i="10" s="1"/>
  <c r="U331" i="10"/>
  <c r="BT389" i="10" s="1"/>
  <c r="CQ389" i="10" s="1"/>
  <c r="U332" i="10"/>
  <c r="BT390" i="10" s="1"/>
  <c r="CQ390" i="10" s="1"/>
  <c r="U333" i="10"/>
  <c r="BT391" i="10" s="1"/>
  <c r="CQ391" i="10" s="1"/>
  <c r="U334" i="10"/>
  <c r="BT392" i="10" s="1"/>
  <c r="CQ392" i="10" s="1"/>
  <c r="U335" i="10"/>
  <c r="BT393" i="10" s="1"/>
  <c r="CQ393" i="10" s="1"/>
  <c r="U336" i="10"/>
  <c r="V336" i="10" s="1"/>
  <c r="BU394" i="10" s="1"/>
  <c r="U337" i="10"/>
  <c r="BT395" i="10" s="1"/>
  <c r="CQ395" i="10" s="1"/>
  <c r="U338" i="10"/>
  <c r="BT396" i="10" s="1"/>
  <c r="CQ396" i="10" s="1"/>
  <c r="U339" i="10"/>
  <c r="BT397" i="10" s="1"/>
  <c r="CQ397" i="10" s="1"/>
  <c r="U340" i="10"/>
  <c r="BT398" i="10" s="1"/>
  <c r="CQ398" i="10" s="1"/>
  <c r="U341" i="10"/>
  <c r="BT399" i="10" s="1"/>
  <c r="CQ399" i="10" s="1"/>
  <c r="U342" i="10"/>
  <c r="BT400" i="10" s="1"/>
  <c r="CQ400" i="10" s="1"/>
  <c r="U343" i="10"/>
  <c r="BT401" i="10" s="1"/>
  <c r="CQ401" i="10" s="1"/>
  <c r="U345" i="10"/>
  <c r="V345" i="10" s="1"/>
  <c r="BU403" i="10" s="1"/>
  <c r="U346" i="10"/>
  <c r="U347" i="10"/>
  <c r="BT405" i="10" s="1"/>
  <c r="CQ405" i="10" s="1"/>
  <c r="U348" i="10"/>
  <c r="V348" i="10" s="1"/>
  <c r="BU406" i="10" s="1"/>
  <c r="U350" i="10"/>
  <c r="V350" i="10" s="1"/>
  <c r="BU408" i="10" s="1"/>
  <c r="U351" i="10"/>
  <c r="BT409" i="10" s="1"/>
  <c r="CQ409" i="10" s="1"/>
  <c r="U352" i="10"/>
  <c r="BT410" i="10" s="1"/>
  <c r="CQ410" i="10" s="1"/>
  <c r="U353" i="10"/>
  <c r="BT411" i="10" s="1"/>
  <c r="CQ411" i="10" s="1"/>
  <c r="U354" i="10"/>
  <c r="BT412" i="10" s="1"/>
  <c r="CQ412" i="10" s="1"/>
  <c r="U355" i="10"/>
  <c r="BT413" i="10" s="1"/>
  <c r="CQ413" i="10" s="1"/>
  <c r="U356" i="10"/>
  <c r="BT414" i="10" s="1"/>
  <c r="CQ414" i="10" s="1"/>
  <c r="U357" i="10"/>
  <c r="BT415" i="10" s="1"/>
  <c r="CQ415" i="10" s="1"/>
  <c r="U358" i="10"/>
  <c r="V358" i="10" s="1"/>
  <c r="BU416" i="10" s="1"/>
  <c r="BT416" i="10"/>
  <c r="CQ416" i="10" s="1"/>
  <c r="U359" i="10"/>
  <c r="V359" i="10" s="1"/>
  <c r="BU417" i="10" s="1"/>
  <c r="U360" i="10"/>
  <c r="BT418" i="10" s="1"/>
  <c r="CQ418" i="10" s="1"/>
  <c r="U361" i="10"/>
  <c r="V361" i="10" s="1"/>
  <c r="BU419" i="10" s="1"/>
  <c r="U362" i="10"/>
  <c r="V362" i="10" s="1"/>
  <c r="BU420" i="10" s="1"/>
  <c r="BT420" i="10"/>
  <c r="CQ420" i="10" s="1"/>
  <c r="U363" i="10"/>
  <c r="BT421" i="10" s="1"/>
  <c r="CQ421" i="10" s="1"/>
  <c r="U364" i="10"/>
  <c r="BT422" i="10" s="1"/>
  <c r="CQ422" i="10" s="1"/>
  <c r="U365" i="10"/>
  <c r="BT423" i="10" s="1"/>
  <c r="CQ423" i="10" s="1"/>
  <c r="U366" i="10"/>
  <c r="BT424" i="10" s="1"/>
  <c r="CQ424" i="10" s="1"/>
  <c r="V366" i="10"/>
  <c r="BU424" i="10" s="1"/>
  <c r="U367" i="10"/>
  <c r="V367" i="10" s="1"/>
  <c r="BU425" i="10" s="1"/>
  <c r="BT425" i="10"/>
  <c r="CQ425" i="10" s="1"/>
  <c r="U368" i="10"/>
  <c r="BT426" i="10" s="1"/>
  <c r="CQ426" i="10" s="1"/>
  <c r="V368" i="10"/>
  <c r="BU426" i="10" s="1"/>
  <c r="U369" i="10"/>
  <c r="BT427" i="10" s="1"/>
  <c r="CQ427" i="10" s="1"/>
  <c r="U370" i="10"/>
  <c r="V370" i="10" s="1"/>
  <c r="BU428" i="10" s="1"/>
  <c r="U371" i="10"/>
  <c r="BT429" i="10" s="1"/>
  <c r="CQ429" i="10" s="1"/>
  <c r="U372" i="10"/>
  <c r="BT430" i="10" s="1"/>
  <c r="CQ430" i="10" s="1"/>
  <c r="U373" i="10"/>
  <c r="BT431" i="10" s="1"/>
  <c r="CQ431" i="10" s="1"/>
  <c r="U374" i="10"/>
  <c r="BT432" i="10" s="1"/>
  <c r="CQ432" i="10" s="1"/>
  <c r="V374" i="10"/>
  <c r="BU432" i="10" s="1"/>
  <c r="U375" i="10"/>
  <c r="BT433" i="10" s="1"/>
  <c r="CQ433" i="10" s="1"/>
  <c r="CR433" i="10" s="1"/>
  <c r="V375" i="10"/>
  <c r="BU433" i="10" s="1"/>
  <c r="BV433" i="10" s="1"/>
  <c r="U376" i="10"/>
  <c r="BT434" i="10" s="1"/>
  <c r="CQ434" i="10" s="1"/>
  <c r="CR434" i="10" s="1"/>
  <c r="V376" i="10"/>
  <c r="BU434" i="10" s="1"/>
  <c r="BV434" i="10" s="1"/>
  <c r="U377" i="10"/>
  <c r="BT435" i="10" s="1"/>
  <c r="CQ435" i="10" s="1"/>
  <c r="CR435" i="10" s="1"/>
  <c r="V377" i="10"/>
  <c r="BU435" i="10" s="1"/>
  <c r="BV435" i="10" s="1"/>
  <c r="U378" i="10"/>
  <c r="BT436" i="10" s="1"/>
  <c r="CQ436" i="10" s="1"/>
  <c r="CR436" i="10" s="1"/>
  <c r="V378" i="10"/>
  <c r="BU436" i="10" s="1"/>
  <c r="BV436" i="10" s="1"/>
  <c r="U379" i="10"/>
  <c r="BT437" i="10" s="1"/>
  <c r="CQ437" i="10" s="1"/>
  <c r="CR437" i="10" s="1"/>
  <c r="V379" i="10"/>
  <c r="BU437" i="10"/>
  <c r="BV437" i="10" s="1"/>
  <c r="U380" i="10"/>
  <c r="BT438" i="10" s="1"/>
  <c r="CQ438" i="10" s="1"/>
  <c r="CR438" i="10" s="1"/>
  <c r="V380" i="10"/>
  <c r="BU438" i="10" s="1"/>
  <c r="BV438" i="10" s="1"/>
  <c r="U381" i="10"/>
  <c r="BT439" i="10" s="1"/>
  <c r="CQ439" i="10" s="1"/>
  <c r="CR439" i="10" s="1"/>
  <c r="V381" i="10"/>
  <c r="BU439" i="10" s="1"/>
  <c r="BV439" i="10" s="1"/>
  <c r="U382" i="10"/>
  <c r="BT440" i="10" s="1"/>
  <c r="CQ440" i="10" s="1"/>
  <c r="CR440" i="10" s="1"/>
  <c r="V382" i="10"/>
  <c r="BU440" i="10" s="1"/>
  <c r="BV440" i="10" s="1"/>
  <c r="U383" i="10"/>
  <c r="BT441" i="10" s="1"/>
  <c r="CQ441" i="10" s="1"/>
  <c r="CR441" i="10" s="1"/>
  <c r="V383" i="10"/>
  <c r="BU441" i="10" s="1"/>
  <c r="BV441" i="10" s="1"/>
  <c r="U384" i="10"/>
  <c r="BT442" i="10"/>
  <c r="CQ442" i="10" s="1"/>
  <c r="CR442" i="10" s="1"/>
  <c r="V384" i="10"/>
  <c r="BU442" i="10" s="1"/>
  <c r="BV442" i="10" s="1"/>
  <c r="U385" i="10"/>
  <c r="BT443" i="10"/>
  <c r="CQ443" i="10"/>
  <c r="CR443" i="10" s="1"/>
  <c r="V385" i="10"/>
  <c r="BU443" i="10" s="1"/>
  <c r="BV443" i="10" s="1"/>
  <c r="U386" i="10"/>
  <c r="V386" i="10"/>
  <c r="BU444" i="10" s="1"/>
  <c r="BV444" i="10" s="1"/>
  <c r="P68" i="10"/>
  <c r="Q68" i="10" s="1"/>
  <c r="P69" i="10"/>
  <c r="P70" i="10"/>
  <c r="P71" i="10"/>
  <c r="Q71" i="10" s="1"/>
  <c r="P72" i="10"/>
  <c r="P73" i="10"/>
  <c r="Q73" i="10" s="1"/>
  <c r="P74" i="10"/>
  <c r="P75" i="10"/>
  <c r="Q75" i="10" s="1"/>
  <c r="P76" i="10"/>
  <c r="P77" i="10"/>
  <c r="P78" i="10"/>
  <c r="Q77" i="10" s="1"/>
  <c r="P79" i="10"/>
  <c r="P80" i="10"/>
  <c r="Q80" i="10" s="1"/>
  <c r="P81" i="10"/>
  <c r="P82" i="10"/>
  <c r="P83" i="10"/>
  <c r="P84" i="10"/>
  <c r="P85" i="10"/>
  <c r="Q84" i="10"/>
  <c r="P86" i="10"/>
  <c r="P87" i="10"/>
  <c r="Q87" i="10" s="1"/>
  <c r="P88" i="10"/>
  <c r="P89" i="10"/>
  <c r="P90" i="10"/>
  <c r="P91" i="10"/>
  <c r="P92" i="10"/>
  <c r="P93" i="10"/>
  <c r="Q92" i="10" s="1"/>
  <c r="P94" i="10"/>
  <c r="P95" i="10"/>
  <c r="Q95" i="10" s="1"/>
  <c r="P96" i="10"/>
  <c r="Q96" i="10" s="1"/>
  <c r="P97" i="10"/>
  <c r="P98" i="10"/>
  <c r="P99" i="10"/>
  <c r="P100" i="10"/>
  <c r="P101" i="10"/>
  <c r="Q101" i="10" s="1"/>
  <c r="P102" i="10"/>
  <c r="P103" i="10"/>
  <c r="Q103" i="10"/>
  <c r="P104" i="10"/>
  <c r="Q104" i="10"/>
  <c r="P105" i="10"/>
  <c r="P106" i="10"/>
  <c r="P107" i="10"/>
  <c r="Q107" i="10" s="1"/>
  <c r="P108" i="10"/>
  <c r="P109" i="10"/>
  <c r="P110" i="10"/>
  <c r="P111" i="10"/>
  <c r="P112" i="10"/>
  <c r="Q111" i="10"/>
  <c r="P113" i="10"/>
  <c r="Q113" i="10" s="1"/>
  <c r="P114" i="10"/>
  <c r="P115" i="10"/>
  <c r="Q115" i="10" s="1"/>
  <c r="P116" i="10"/>
  <c r="P117" i="10"/>
  <c r="P118" i="10"/>
  <c r="P119" i="10"/>
  <c r="P120" i="10"/>
  <c r="Q119" i="10" s="1"/>
  <c r="Q120" i="10"/>
  <c r="P121" i="10"/>
  <c r="Q121" i="10" s="1"/>
  <c r="P122" i="10"/>
  <c r="P123" i="10"/>
  <c r="Q123" i="10"/>
  <c r="P124" i="10"/>
  <c r="P125" i="10"/>
  <c r="P126" i="10"/>
  <c r="P127" i="10"/>
  <c r="P128" i="10"/>
  <c r="P129" i="10"/>
  <c r="Q128" i="10"/>
  <c r="P130" i="10"/>
  <c r="Q130" i="10"/>
  <c r="P131" i="10"/>
  <c r="P132" i="10"/>
  <c r="Q131" i="10" s="1"/>
  <c r="P133" i="10"/>
  <c r="P134" i="10"/>
  <c r="Q134" i="10" s="1"/>
  <c r="P135" i="10"/>
  <c r="P136" i="10"/>
  <c r="Q136" i="10"/>
  <c r="P137" i="10"/>
  <c r="P138" i="10"/>
  <c r="Q138" i="10" s="1"/>
  <c r="P139" i="10"/>
  <c r="P140" i="10"/>
  <c r="P141" i="10"/>
  <c r="P142" i="10"/>
  <c r="Q142" i="10" s="1"/>
  <c r="P143" i="10"/>
  <c r="P144" i="10"/>
  <c r="P145" i="10"/>
  <c r="Q145" i="10"/>
  <c r="P146" i="10"/>
  <c r="Q146" i="10" s="1"/>
  <c r="P147" i="10"/>
  <c r="P148" i="10"/>
  <c r="Q148" i="10"/>
  <c r="P149" i="10"/>
  <c r="P150" i="10"/>
  <c r="P151" i="10"/>
  <c r="Q151" i="10" s="1"/>
  <c r="P152" i="10"/>
  <c r="P153" i="10"/>
  <c r="P154" i="10"/>
  <c r="P155" i="10"/>
  <c r="P156" i="10"/>
  <c r="P157" i="10"/>
  <c r="P158" i="10"/>
  <c r="Q157" i="10" s="1"/>
  <c r="P159" i="10"/>
  <c r="P160" i="10"/>
  <c r="P161" i="10"/>
  <c r="P162" i="10"/>
  <c r="P163" i="10"/>
  <c r="Q162" i="10"/>
  <c r="P164" i="10"/>
  <c r="Q164" i="10" s="1"/>
  <c r="P165" i="10"/>
  <c r="P166" i="10"/>
  <c r="P167" i="10"/>
  <c r="Q167" i="10"/>
  <c r="P168" i="10"/>
  <c r="P169" i="10"/>
  <c r="Q168" i="10" s="1"/>
  <c r="P170" i="10"/>
  <c r="BY227" i="10"/>
  <c r="P171" i="10"/>
  <c r="BY228" i="10" s="1"/>
  <c r="P172" i="10"/>
  <c r="Q172" i="10" s="1"/>
  <c r="BZ229" i="10" s="1"/>
  <c r="P173" i="10"/>
  <c r="P174" i="10"/>
  <c r="P175" i="10"/>
  <c r="P176" i="10"/>
  <c r="BY233" i="10" s="1"/>
  <c r="P177" i="10"/>
  <c r="P178" i="10"/>
  <c r="Q177" i="10" s="1"/>
  <c r="BZ234" i="10" s="1"/>
  <c r="BY235" i="10"/>
  <c r="P179" i="10"/>
  <c r="BY236" i="10" s="1"/>
  <c r="P180" i="10"/>
  <c r="Q180" i="10" s="1"/>
  <c r="BZ237" i="10" s="1"/>
  <c r="P181" i="10"/>
  <c r="BY238" i="10" s="1"/>
  <c r="P182" i="10"/>
  <c r="P183" i="10"/>
  <c r="Q182" i="10"/>
  <c r="BZ239" i="10" s="1"/>
  <c r="P184" i="10"/>
  <c r="BY241" i="10"/>
  <c r="P185" i="10"/>
  <c r="P186" i="10"/>
  <c r="P187" i="10"/>
  <c r="Q186" i="10" s="1"/>
  <c r="BZ243" i="10" s="1"/>
  <c r="P188" i="10"/>
  <c r="BY245" i="10"/>
  <c r="P189" i="10"/>
  <c r="BY246" i="10"/>
  <c r="P190" i="10"/>
  <c r="Q190" i="10"/>
  <c r="BZ247" i="10" s="1"/>
  <c r="P191" i="10"/>
  <c r="P192" i="10"/>
  <c r="P193" i="10"/>
  <c r="P194" i="10"/>
  <c r="Q194" i="10"/>
  <c r="BZ251" i="10" s="1"/>
  <c r="P195" i="10"/>
  <c r="BY252" i="10"/>
  <c r="P196" i="10"/>
  <c r="Q196" i="10" s="1"/>
  <c r="BZ253" i="10" s="1"/>
  <c r="P197" i="10"/>
  <c r="BY254" i="10"/>
  <c r="P198" i="10"/>
  <c r="P199" i="10"/>
  <c r="P200" i="10"/>
  <c r="BY257" i="10" s="1"/>
  <c r="P201" i="10"/>
  <c r="P202" i="10"/>
  <c r="BY259" i="10" s="1"/>
  <c r="P203" i="10"/>
  <c r="BY260" i="10"/>
  <c r="P204" i="10"/>
  <c r="BY261" i="10" s="1"/>
  <c r="P205" i="10"/>
  <c r="BY262" i="10"/>
  <c r="P206" i="10"/>
  <c r="BY263" i="10"/>
  <c r="P207" i="10"/>
  <c r="Q207" i="10" s="1"/>
  <c r="BZ264" i="10" s="1"/>
  <c r="P208" i="10"/>
  <c r="BY265" i="10" s="1"/>
  <c r="P209" i="10"/>
  <c r="BY266" i="10" s="1"/>
  <c r="P210" i="10"/>
  <c r="BY267" i="10" s="1"/>
  <c r="P211" i="10"/>
  <c r="P212" i="10"/>
  <c r="BY269" i="10" s="1"/>
  <c r="P213" i="10"/>
  <c r="BY270" i="10" s="1"/>
  <c r="P214" i="10"/>
  <c r="BY271" i="10"/>
  <c r="P215" i="10"/>
  <c r="BY272" i="10"/>
  <c r="P216" i="10"/>
  <c r="Q216" i="10" s="1"/>
  <c r="BZ273" i="10" s="1"/>
  <c r="P217" i="10"/>
  <c r="BY274" i="10"/>
  <c r="P218" i="10"/>
  <c r="BY275" i="10" s="1"/>
  <c r="P219" i="10"/>
  <c r="P220" i="10"/>
  <c r="BY277" i="10"/>
  <c r="P221" i="10"/>
  <c r="P222" i="10"/>
  <c r="Q221" i="10"/>
  <c r="BZ278" i="10" s="1"/>
  <c r="P223" i="10"/>
  <c r="P224" i="10"/>
  <c r="BY281" i="10"/>
  <c r="P225" i="10"/>
  <c r="BY282" i="10"/>
  <c r="P226" i="10"/>
  <c r="BY283" i="10" s="1"/>
  <c r="P227" i="10"/>
  <c r="BY284" i="10" s="1"/>
  <c r="P228" i="10"/>
  <c r="Q228" i="10"/>
  <c r="BZ285" i="10" s="1"/>
  <c r="P229" i="10"/>
  <c r="P230" i="10"/>
  <c r="P231" i="10"/>
  <c r="BY288" i="10" s="1"/>
  <c r="P232" i="10"/>
  <c r="BY289" i="10" s="1"/>
  <c r="P233" i="10"/>
  <c r="P234" i="10"/>
  <c r="BY291" i="10" s="1"/>
  <c r="P235" i="10"/>
  <c r="P236" i="10"/>
  <c r="BY293" i="10" s="1"/>
  <c r="P237" i="10"/>
  <c r="P238" i="10"/>
  <c r="Q237" i="10" s="1"/>
  <c r="BZ294" i="10" s="1"/>
  <c r="P239" i="10"/>
  <c r="Q239" i="10"/>
  <c r="BZ296" i="10" s="1"/>
  <c r="P240" i="10"/>
  <c r="BY297" i="10"/>
  <c r="P241" i="10"/>
  <c r="Q240" i="10"/>
  <c r="BZ297" i="10" s="1"/>
  <c r="P242" i="10"/>
  <c r="P243" i="10"/>
  <c r="Q242" i="10" s="1"/>
  <c r="BZ299" i="10" s="1"/>
  <c r="P244" i="10"/>
  <c r="Q244" i="10" s="1"/>
  <c r="BZ301" i="10" s="1"/>
  <c r="P245" i="10"/>
  <c r="BY302" i="10"/>
  <c r="P246" i="10"/>
  <c r="BY303" i="10" s="1"/>
  <c r="P247" i="10"/>
  <c r="P248" i="10"/>
  <c r="P249" i="10"/>
  <c r="P250" i="10"/>
  <c r="BY307" i="10"/>
  <c r="P251" i="10"/>
  <c r="BY308" i="10" s="1"/>
  <c r="P252" i="10"/>
  <c r="BY309" i="10" s="1"/>
  <c r="P253" i="10"/>
  <c r="BY310" i="10"/>
  <c r="P254" i="10"/>
  <c r="P255" i="10"/>
  <c r="Q254" i="10" s="1"/>
  <c r="BZ311" i="10" s="1"/>
  <c r="P256" i="10"/>
  <c r="P257" i="10"/>
  <c r="Q257" i="10" s="1"/>
  <c r="BZ314" i="10" s="1"/>
  <c r="P258" i="10"/>
  <c r="P259" i="10"/>
  <c r="BY316" i="10"/>
  <c r="P260" i="10"/>
  <c r="P261" i="10"/>
  <c r="BY318" i="10"/>
  <c r="P262" i="10"/>
  <c r="Q262" i="10" s="1"/>
  <c r="BZ319" i="10" s="1"/>
  <c r="P263" i="10"/>
  <c r="P264" i="10"/>
  <c r="Q263" i="10" s="1"/>
  <c r="BZ320" i="10" s="1"/>
  <c r="P265" i="10"/>
  <c r="Q265" i="10"/>
  <c r="BZ322" i="10" s="1"/>
  <c r="P266" i="10"/>
  <c r="P267" i="10"/>
  <c r="BY324" i="10"/>
  <c r="P268" i="10"/>
  <c r="BY325" i="10"/>
  <c r="P269" i="10"/>
  <c r="Q269" i="10" s="1"/>
  <c r="BZ326" i="10" s="1"/>
  <c r="P270" i="10"/>
  <c r="P271" i="10"/>
  <c r="Q270" i="10" s="1"/>
  <c r="BZ327" i="10" s="1"/>
  <c r="P272" i="10"/>
  <c r="P273" i="10"/>
  <c r="P274" i="10"/>
  <c r="BY331" i="10"/>
  <c r="P275" i="10"/>
  <c r="P276" i="10"/>
  <c r="Q275" i="10" s="1"/>
  <c r="BZ332" i="10" s="1"/>
  <c r="P277" i="10"/>
  <c r="BY334" i="10"/>
  <c r="P278" i="10"/>
  <c r="BY335" i="10"/>
  <c r="P279" i="10"/>
  <c r="P280" i="10"/>
  <c r="P281" i="10"/>
  <c r="BY338" i="10" s="1"/>
  <c r="P282" i="10"/>
  <c r="BY339" i="10" s="1"/>
  <c r="P283" i="10"/>
  <c r="Q283" i="10"/>
  <c r="BZ340" i="10" s="1"/>
  <c r="P284" i="10"/>
  <c r="BY341" i="10"/>
  <c r="P285" i="10"/>
  <c r="Q285" i="10" s="1"/>
  <c r="BZ342" i="10" s="1"/>
  <c r="P286" i="10"/>
  <c r="P287" i="10"/>
  <c r="BY344" i="10" s="1"/>
  <c r="P288" i="10"/>
  <c r="BY345" i="10" s="1"/>
  <c r="P289" i="10"/>
  <c r="Q289" i="10"/>
  <c r="BZ346" i="10" s="1"/>
  <c r="P290" i="10"/>
  <c r="BY347" i="10" s="1"/>
  <c r="P291" i="10"/>
  <c r="P292" i="10"/>
  <c r="BY349" i="10" s="1"/>
  <c r="P293" i="10"/>
  <c r="Q293" i="10" s="1"/>
  <c r="BZ350" i="10" s="1"/>
  <c r="P294" i="10"/>
  <c r="P295" i="10"/>
  <c r="Q295" i="10" s="1"/>
  <c r="BZ352" i="10" s="1"/>
  <c r="P296" i="10"/>
  <c r="Q296" i="10" s="1"/>
  <c r="BZ353" i="10" s="1"/>
  <c r="P297" i="10"/>
  <c r="P298" i="10"/>
  <c r="BY355" i="10"/>
  <c r="P299" i="10"/>
  <c r="BY356" i="10" s="1"/>
  <c r="P300" i="10"/>
  <c r="P301" i="10"/>
  <c r="P302" i="10"/>
  <c r="BY359" i="10" s="1"/>
  <c r="P303" i="10"/>
  <c r="BY360" i="10"/>
  <c r="P304" i="10"/>
  <c r="BY361" i="10" s="1"/>
  <c r="P305" i="10"/>
  <c r="BY362" i="10"/>
  <c r="P306" i="10"/>
  <c r="BY363" i="10"/>
  <c r="P307" i="10"/>
  <c r="BY364" i="10" s="1"/>
  <c r="P308" i="10"/>
  <c r="P309" i="10"/>
  <c r="P310" i="10"/>
  <c r="BY367" i="10" s="1"/>
  <c r="P311" i="10"/>
  <c r="BY368" i="10" s="1"/>
  <c r="P312" i="10"/>
  <c r="P313" i="10"/>
  <c r="BY370" i="10" s="1"/>
  <c r="P314" i="10"/>
  <c r="P315" i="10"/>
  <c r="BY372" i="10"/>
  <c r="P316" i="10"/>
  <c r="BY373" i="10"/>
  <c r="P317" i="10"/>
  <c r="P318" i="10"/>
  <c r="P319" i="10"/>
  <c r="BY376" i="10"/>
  <c r="P320" i="10"/>
  <c r="BY377" i="10" s="1"/>
  <c r="P321" i="10"/>
  <c r="P322" i="10"/>
  <c r="Q322" i="10" s="1"/>
  <c r="BZ379" i="10" s="1"/>
  <c r="P323" i="10"/>
  <c r="BY380" i="10" s="1"/>
  <c r="P324" i="10"/>
  <c r="Q323" i="10" s="1"/>
  <c r="BZ380" i="10" s="1"/>
  <c r="P325" i="10"/>
  <c r="P326" i="10"/>
  <c r="P327" i="10"/>
  <c r="BY384" i="10" s="1"/>
  <c r="Q326" i="10"/>
  <c r="BZ383" i="10" s="1"/>
  <c r="P328" i="10"/>
  <c r="BY385" i="10" s="1"/>
  <c r="P329" i="10"/>
  <c r="BY386" i="10"/>
  <c r="P330" i="10"/>
  <c r="Q330" i="10"/>
  <c r="BZ387" i="10" s="1"/>
  <c r="P331" i="10"/>
  <c r="BY388" i="10" s="1"/>
  <c r="P332" i="10"/>
  <c r="BY389" i="10"/>
  <c r="P333" i="10"/>
  <c r="Q333" i="10" s="1"/>
  <c r="BZ390" i="10" s="1"/>
  <c r="P334" i="10"/>
  <c r="P335" i="10"/>
  <c r="BY392" i="10"/>
  <c r="P336" i="10"/>
  <c r="Q336" i="10"/>
  <c r="BZ393" i="10" s="1"/>
  <c r="P337" i="10"/>
  <c r="P338" i="10"/>
  <c r="P339" i="10"/>
  <c r="BY396" i="10"/>
  <c r="P340" i="10"/>
  <c r="BY397" i="10" s="1"/>
  <c r="P341" i="10"/>
  <c r="P342" i="10"/>
  <c r="P343" i="10"/>
  <c r="BY400" i="10"/>
  <c r="P344" i="10"/>
  <c r="P346" i="10"/>
  <c r="BY403" i="10" s="1"/>
  <c r="P349" i="10"/>
  <c r="P351" i="10"/>
  <c r="P352" i="10"/>
  <c r="BY409" i="10"/>
  <c r="P353" i="10"/>
  <c r="P354" i="10"/>
  <c r="BY411" i="10"/>
  <c r="P355" i="10"/>
  <c r="P356" i="10"/>
  <c r="Q356" i="10" s="1"/>
  <c r="BZ413" i="10" s="1"/>
  <c r="P357" i="10"/>
  <c r="P358" i="10"/>
  <c r="P359" i="10"/>
  <c r="Q359" i="10" s="1"/>
  <c r="BZ416" i="10" s="1"/>
  <c r="P360" i="10"/>
  <c r="P361" i="10"/>
  <c r="BY418" i="10" s="1"/>
  <c r="P362" i="10"/>
  <c r="BY419" i="10" s="1"/>
  <c r="P363" i="10"/>
  <c r="Q363" i="10" s="1"/>
  <c r="BZ420" i="10" s="1"/>
  <c r="P364" i="10"/>
  <c r="BY421" i="10"/>
  <c r="P365" i="10"/>
  <c r="P366" i="10"/>
  <c r="BY423" i="10"/>
  <c r="P367" i="10"/>
  <c r="BY424" i="10" s="1"/>
  <c r="P368" i="10"/>
  <c r="P369" i="10"/>
  <c r="P370" i="10"/>
  <c r="BY427" i="10" s="1"/>
  <c r="P371" i="10"/>
  <c r="BY428" i="10"/>
  <c r="P372" i="10"/>
  <c r="BY429" i="10"/>
  <c r="P373" i="10"/>
  <c r="Q373" i="10"/>
  <c r="BZ430" i="10" s="1"/>
  <c r="P374" i="10"/>
  <c r="BY431" i="10"/>
  <c r="P375" i="10"/>
  <c r="BY432" i="10"/>
  <c r="P376" i="10"/>
  <c r="BY433" i="10" s="1"/>
  <c r="P377" i="10"/>
  <c r="BY434" i="10"/>
  <c r="P378" i="10"/>
  <c r="P379" i="10"/>
  <c r="Q379" i="10" s="1"/>
  <c r="BZ436" i="10" s="1"/>
  <c r="CA436" i="10" s="1"/>
  <c r="P380" i="10"/>
  <c r="P381" i="10"/>
  <c r="BY438" i="10"/>
  <c r="P382" i="10"/>
  <c r="BY439" i="10"/>
  <c r="P383" i="10"/>
  <c r="BY440" i="10" s="1"/>
  <c r="P384" i="10"/>
  <c r="BY441" i="10"/>
  <c r="P385" i="10"/>
  <c r="Q385" i="10" s="1"/>
  <c r="BZ442" i="10" s="1"/>
  <c r="CA442" i="10" s="1"/>
  <c r="P386" i="10"/>
  <c r="Q386" i="10" s="1"/>
  <c r="BZ443" i="10" s="1"/>
  <c r="CA443" i="10" s="1"/>
  <c r="P387" i="10"/>
  <c r="BY444" i="10"/>
  <c r="P388" i="10"/>
  <c r="P389" i="10"/>
  <c r="BY446" i="10" s="1"/>
  <c r="P390" i="10"/>
  <c r="P391" i="10"/>
  <c r="BY448" i="10"/>
  <c r="P392" i="10"/>
  <c r="BY449" i="10"/>
  <c r="P393" i="10"/>
  <c r="BY450" i="10" s="1"/>
  <c r="P394" i="10"/>
  <c r="BY451" i="10"/>
  <c r="P395" i="10"/>
  <c r="Q395" i="10" s="1"/>
  <c r="BZ452" i="10" s="1"/>
  <c r="CA452" i="10" s="1"/>
  <c r="P396" i="10"/>
  <c r="P397" i="10"/>
  <c r="Q396" i="10" s="1"/>
  <c r="BZ453" i="10" s="1"/>
  <c r="CA453" i="10" s="1"/>
  <c r="P398" i="10"/>
  <c r="P399" i="10"/>
  <c r="BY456" i="10" s="1"/>
  <c r="P400" i="10"/>
  <c r="P401" i="10"/>
  <c r="Q400" i="10" s="1"/>
  <c r="BZ457" i="10" s="1"/>
  <c r="CA457" i="10" s="1"/>
  <c r="P402" i="10"/>
  <c r="P403" i="10"/>
  <c r="BY460" i="10"/>
  <c r="P404" i="10"/>
  <c r="P405" i="10"/>
  <c r="BY462" i="10" s="1"/>
  <c r="P406" i="10"/>
  <c r="BY463" i="10" s="1"/>
  <c r="P407" i="10"/>
  <c r="P408" i="10"/>
  <c r="BY465" i="10"/>
  <c r="P409" i="10"/>
  <c r="BY466" i="10" s="1"/>
  <c r="P410" i="10"/>
  <c r="BY467" i="10"/>
  <c r="P411" i="10"/>
  <c r="Q411" i="10" s="1"/>
  <c r="BZ468" i="10" s="1"/>
  <c r="CA468" i="10" s="1"/>
  <c r="P412" i="10"/>
  <c r="P413" i="10"/>
  <c r="Q412" i="10"/>
  <c r="BZ469" i="10" s="1"/>
  <c r="CA469" i="10" s="1"/>
  <c r="P414" i="10"/>
  <c r="BY471" i="10" s="1"/>
  <c r="P415" i="10"/>
  <c r="BY472" i="10"/>
  <c r="P416" i="10"/>
  <c r="BY473" i="10"/>
  <c r="P417" i="10"/>
  <c r="Q416" i="10"/>
  <c r="BZ473" i="10" s="1"/>
  <c r="CA473" i="10" s="1"/>
  <c r="P418" i="10"/>
  <c r="P419" i="10"/>
  <c r="P420" i="10"/>
  <c r="Q419" i="10" s="1"/>
  <c r="BZ476" i="10" s="1"/>
  <c r="CA476" i="10" s="1"/>
  <c r="P421" i="10"/>
  <c r="BY478" i="10" s="1"/>
  <c r="P422" i="10"/>
  <c r="Q422" i="10"/>
  <c r="BZ479" i="10" s="1"/>
  <c r="CA479" i="10" s="1"/>
  <c r="P423" i="10"/>
  <c r="BY480" i="10" s="1"/>
  <c r="P424" i="10"/>
  <c r="BY481" i="10"/>
  <c r="P425" i="10"/>
  <c r="Q425" i="10"/>
  <c r="BZ482" i="10" s="1"/>
  <c r="CA482" i="10" s="1"/>
  <c r="P426" i="10"/>
  <c r="P427" i="10"/>
  <c r="BY484" i="10" s="1"/>
  <c r="P428" i="10"/>
  <c r="BY485" i="10"/>
  <c r="P429" i="10"/>
  <c r="Q429" i="10" s="1"/>
  <c r="P430" i="10"/>
  <c r="P431" i="10"/>
  <c r="P432" i="10"/>
  <c r="P433" i="10"/>
  <c r="Q432" i="10" s="1"/>
  <c r="P434" i="10"/>
  <c r="Q434" i="10" s="1"/>
  <c r="P435" i="10"/>
  <c r="Q435" i="10" s="1"/>
  <c r="P436" i="10"/>
  <c r="P437" i="10"/>
  <c r="P438" i="10"/>
  <c r="P439" i="10"/>
  <c r="Q438" i="10" s="1"/>
  <c r="P440" i="10"/>
  <c r="Q439" i="10" s="1"/>
  <c r="P441" i="10"/>
  <c r="P442" i="10"/>
  <c r="P443" i="10"/>
  <c r="Q442" i="10" s="1"/>
  <c r="P444" i="10"/>
  <c r="P445" i="10"/>
  <c r="P446" i="10"/>
  <c r="Q446" i="10" s="1"/>
  <c r="P447" i="10"/>
  <c r="P448" i="10"/>
  <c r="P67" i="10"/>
  <c r="Q67" i="10" s="1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J7" i="10"/>
  <c r="K7" i="10" s="1"/>
  <c r="J8" i="10"/>
  <c r="K8" i="10" s="1"/>
  <c r="J9" i="10"/>
  <c r="K9" i="10" s="1"/>
  <c r="J10" i="10"/>
  <c r="K10" i="10" s="1"/>
  <c r="J11" i="10"/>
  <c r="K11" i="10" s="1"/>
  <c r="J12" i="10"/>
  <c r="K12" i="10" s="1"/>
  <c r="J13" i="10"/>
  <c r="K13" i="10" s="1"/>
  <c r="J14" i="10"/>
  <c r="K14" i="10" s="1"/>
  <c r="J15" i="10"/>
  <c r="K15" i="10" s="1"/>
  <c r="J16" i="10"/>
  <c r="K16" i="10" s="1"/>
  <c r="J17" i="10"/>
  <c r="K17" i="10" s="1"/>
  <c r="J18" i="10"/>
  <c r="K18" i="10" s="1"/>
  <c r="J19" i="10"/>
  <c r="K19" i="10" s="1"/>
  <c r="J20" i="10"/>
  <c r="K20" i="10" s="1"/>
  <c r="J21" i="10"/>
  <c r="K21" i="10" s="1"/>
  <c r="J22" i="10"/>
  <c r="K22" i="10" s="1"/>
  <c r="J23" i="10"/>
  <c r="K23" i="10" s="1"/>
  <c r="J24" i="10"/>
  <c r="K24" i="10" s="1"/>
  <c r="J25" i="10"/>
  <c r="K25" i="10" s="1"/>
  <c r="J26" i="10"/>
  <c r="K26" i="10" s="1"/>
  <c r="J27" i="10"/>
  <c r="K27" i="10" s="1"/>
  <c r="J28" i="10"/>
  <c r="K28" i="10" s="1"/>
  <c r="J29" i="10"/>
  <c r="K29" i="10" s="1"/>
  <c r="J30" i="10"/>
  <c r="K30" i="10" s="1"/>
  <c r="J31" i="10"/>
  <c r="K31" i="10" s="1"/>
  <c r="J32" i="10"/>
  <c r="K32" i="10" s="1"/>
  <c r="J33" i="10"/>
  <c r="K33" i="10" s="1"/>
  <c r="J34" i="10"/>
  <c r="K34" i="10" s="1"/>
  <c r="J35" i="10"/>
  <c r="K35" i="10" s="1"/>
  <c r="J36" i="10"/>
  <c r="K36" i="10" s="1"/>
  <c r="J37" i="10"/>
  <c r="K37" i="10" s="1"/>
  <c r="J38" i="10"/>
  <c r="K38" i="10" s="1"/>
  <c r="J39" i="10"/>
  <c r="K39" i="10" s="1"/>
  <c r="J40" i="10"/>
  <c r="K40" i="10" s="1"/>
  <c r="J41" i="10"/>
  <c r="K41" i="10" s="1"/>
  <c r="J42" i="10"/>
  <c r="K42" i="10" s="1"/>
  <c r="J43" i="10"/>
  <c r="K43" i="10" s="1"/>
  <c r="J44" i="10"/>
  <c r="K44" i="10" s="1"/>
  <c r="J45" i="10"/>
  <c r="K45" i="10" s="1"/>
  <c r="J46" i="10"/>
  <c r="K46" i="10" s="1"/>
  <c r="J47" i="10"/>
  <c r="K47" i="10" s="1"/>
  <c r="J48" i="10"/>
  <c r="K48" i="10" s="1"/>
  <c r="J49" i="10"/>
  <c r="K49" i="10" s="1"/>
  <c r="J50" i="10"/>
  <c r="K50" i="10" s="1"/>
  <c r="J51" i="10"/>
  <c r="K51" i="10" s="1"/>
  <c r="J52" i="10"/>
  <c r="K52" i="10" s="1"/>
  <c r="J53" i="10"/>
  <c r="K53" i="10" s="1"/>
  <c r="J54" i="10"/>
  <c r="K54" i="10" s="1"/>
  <c r="J55" i="10"/>
  <c r="K55" i="10" s="1"/>
  <c r="J56" i="10"/>
  <c r="K56" i="10" s="1"/>
  <c r="J57" i="10"/>
  <c r="K57" i="10" s="1"/>
  <c r="J58" i="10"/>
  <c r="K58" i="10" s="1"/>
  <c r="J59" i="10"/>
  <c r="K59" i="10" s="1"/>
  <c r="J60" i="10"/>
  <c r="K60" i="10" s="1"/>
  <c r="J61" i="10"/>
  <c r="K61" i="10" s="1"/>
  <c r="J62" i="10"/>
  <c r="K62" i="10" s="1"/>
  <c r="J63" i="10"/>
  <c r="K63" i="10" s="1"/>
  <c r="J64" i="10"/>
  <c r="K64" i="10" s="1"/>
  <c r="J65" i="10"/>
  <c r="K65" i="10" s="1"/>
  <c r="J66" i="10"/>
  <c r="K66" i="10" s="1"/>
  <c r="J67" i="10"/>
  <c r="K67" i="10" s="1"/>
  <c r="J68" i="10"/>
  <c r="K68" i="10" s="1"/>
  <c r="J69" i="10"/>
  <c r="K69" i="10" s="1"/>
  <c r="J70" i="10"/>
  <c r="K70" i="10" s="1"/>
  <c r="J71" i="10"/>
  <c r="K71" i="10" s="1"/>
  <c r="J72" i="10"/>
  <c r="K72" i="10" s="1"/>
  <c r="J73" i="10"/>
  <c r="K73" i="10" s="1"/>
  <c r="J74" i="10"/>
  <c r="K74" i="10" s="1"/>
  <c r="J75" i="10"/>
  <c r="K75" i="10" s="1"/>
  <c r="J76" i="10"/>
  <c r="K76" i="10" s="1"/>
  <c r="J77" i="10"/>
  <c r="K77" i="10" s="1"/>
  <c r="J78" i="10"/>
  <c r="K78" i="10" s="1"/>
  <c r="J79" i="10"/>
  <c r="K79" i="10" s="1"/>
  <c r="J80" i="10"/>
  <c r="K80" i="10" s="1"/>
  <c r="J81" i="10"/>
  <c r="K81" i="10" s="1"/>
  <c r="J82" i="10"/>
  <c r="K82" i="10" s="1"/>
  <c r="J83" i="10"/>
  <c r="K83" i="10" s="1"/>
  <c r="J84" i="10"/>
  <c r="K84" i="10" s="1"/>
  <c r="J85" i="10"/>
  <c r="K85" i="10" s="1"/>
  <c r="J86" i="10"/>
  <c r="K86" i="10" s="1"/>
  <c r="J87" i="10"/>
  <c r="K87" i="10" s="1"/>
  <c r="J88" i="10"/>
  <c r="K88" i="10" s="1"/>
  <c r="J89" i="10"/>
  <c r="K89" i="10" s="1"/>
  <c r="J90" i="10"/>
  <c r="K90" i="10" s="1"/>
  <c r="J91" i="10"/>
  <c r="K91" i="10" s="1"/>
  <c r="J92" i="10"/>
  <c r="K92" i="10" s="1"/>
  <c r="J93" i="10"/>
  <c r="K93" i="10" s="1"/>
  <c r="J94" i="10"/>
  <c r="K94" i="10" s="1"/>
  <c r="J95" i="10"/>
  <c r="K95" i="10" s="1"/>
  <c r="J96" i="10"/>
  <c r="K96" i="10" s="1"/>
  <c r="J97" i="10"/>
  <c r="K97" i="10" s="1"/>
  <c r="J98" i="10"/>
  <c r="K98" i="10" s="1"/>
  <c r="J99" i="10"/>
  <c r="K99" i="10" s="1"/>
  <c r="J100" i="10"/>
  <c r="K100" i="10" s="1"/>
  <c r="J101" i="10"/>
  <c r="K101" i="10" s="1"/>
  <c r="J102" i="10"/>
  <c r="K102" i="10" s="1"/>
  <c r="J103" i="10"/>
  <c r="K103" i="10" s="1"/>
  <c r="J104" i="10"/>
  <c r="K104" i="10" s="1"/>
  <c r="J105" i="10"/>
  <c r="K105" i="10" s="1"/>
  <c r="J106" i="10"/>
  <c r="K106" i="10" s="1"/>
  <c r="J107" i="10"/>
  <c r="K107" i="10" s="1"/>
  <c r="BO226" i="10" s="1"/>
  <c r="BP226" i="10" s="1"/>
  <c r="J108" i="10"/>
  <c r="K108" i="10" s="1"/>
  <c r="BO227" i="10" s="1"/>
  <c r="BP227" i="10" s="1"/>
  <c r="J109" i="10"/>
  <c r="BN228" i="10"/>
  <c r="CN228" i="10" s="1"/>
  <c r="K109" i="10"/>
  <c r="BO228" i="10" s="1"/>
  <c r="BP228" i="10" s="1"/>
  <c r="J110" i="10"/>
  <c r="K110" i="10" s="1"/>
  <c r="BO229" i="10" s="1"/>
  <c r="BP229" i="10" s="1"/>
  <c r="J111" i="10"/>
  <c r="K111" i="10"/>
  <c r="BO230" i="10" s="1"/>
  <c r="BP230" i="10" s="1"/>
  <c r="J112" i="10"/>
  <c r="K112" i="10" s="1"/>
  <c r="BO231" i="10" s="1"/>
  <c r="BP231" i="10" s="1"/>
  <c r="J113" i="10"/>
  <c r="K113" i="10"/>
  <c r="BO232" i="10" s="1"/>
  <c r="BP232" i="10" s="1"/>
  <c r="BN232" i="10"/>
  <c r="CN232" i="10" s="1"/>
  <c r="J114" i="10"/>
  <c r="BN233" i="10" s="1"/>
  <c r="CN233" i="10" s="1"/>
  <c r="J115" i="10"/>
  <c r="K115" i="10"/>
  <c r="BO234" i="10" s="1"/>
  <c r="BP234" i="10" s="1"/>
  <c r="J116" i="10"/>
  <c r="K116" i="10"/>
  <c r="BO235" i="10" s="1"/>
  <c r="BP235" i="10" s="1"/>
  <c r="J117" i="10"/>
  <c r="K117" i="10"/>
  <c r="BO236" i="10" s="1"/>
  <c r="BP236" i="10" s="1"/>
  <c r="J118" i="10"/>
  <c r="K118" i="10"/>
  <c r="BO237" i="10" s="1"/>
  <c r="BP237" i="10" s="1"/>
  <c r="J119" i="10"/>
  <c r="K119" i="10"/>
  <c r="BO238" i="10" s="1"/>
  <c r="BP238" i="10" s="1"/>
  <c r="J120" i="10"/>
  <c r="K120" i="10"/>
  <c r="BO239" i="10" s="1"/>
  <c r="BP239" i="10" s="1"/>
  <c r="J121" i="10"/>
  <c r="J122" i="10"/>
  <c r="K122" i="10" s="1"/>
  <c r="BO241" i="10" s="1"/>
  <c r="BP241" i="10" s="1"/>
  <c r="J123" i="10"/>
  <c r="K123" i="10"/>
  <c r="BO242" i="10" s="1"/>
  <c r="BP242" i="10" s="1"/>
  <c r="J124" i="10"/>
  <c r="K124" i="10" s="1"/>
  <c r="BO243" i="10" s="1"/>
  <c r="BP243" i="10" s="1"/>
  <c r="J125" i="10"/>
  <c r="K125" i="10"/>
  <c r="BO244" i="10" s="1"/>
  <c r="BP244" i="10" s="1"/>
  <c r="J126" i="10"/>
  <c r="K126" i="10" s="1"/>
  <c r="BO245" i="10" s="1"/>
  <c r="BP245" i="10" s="1"/>
  <c r="J127" i="10"/>
  <c r="K127" i="10"/>
  <c r="BO246" i="10" s="1"/>
  <c r="BP246" i="10" s="1"/>
  <c r="BN246" i="10"/>
  <c r="CN246" i="10" s="1"/>
  <c r="J128" i="10"/>
  <c r="K128" i="10" s="1"/>
  <c r="BO247" i="10" s="1"/>
  <c r="BP247" i="10" s="1"/>
  <c r="J129" i="10"/>
  <c r="K129" i="10" s="1"/>
  <c r="BO248" i="10" s="1"/>
  <c r="BP248" i="10" s="1"/>
  <c r="J130" i="10"/>
  <c r="K130" i="10" s="1"/>
  <c r="BO249" i="10" s="1"/>
  <c r="BP249" i="10" s="1"/>
  <c r="J131" i="10"/>
  <c r="K131" i="10" s="1"/>
  <c r="BO250" i="10" s="1"/>
  <c r="BP250" i="10" s="1"/>
  <c r="J132" i="10"/>
  <c r="K132" i="10" s="1"/>
  <c r="BO251" i="10" s="1"/>
  <c r="BP251" i="10" s="1"/>
  <c r="J133" i="10"/>
  <c r="K133" i="10" s="1"/>
  <c r="BO252" i="10" s="1"/>
  <c r="BP252" i="10" s="1"/>
  <c r="J134" i="10"/>
  <c r="K134" i="10"/>
  <c r="BO253" i="10" s="1"/>
  <c r="BP253" i="10" s="1"/>
  <c r="J135" i="10"/>
  <c r="K135" i="10"/>
  <c r="BO254" i="10" s="1"/>
  <c r="BP254" i="10" s="1"/>
  <c r="J136" i="10"/>
  <c r="K136" i="10"/>
  <c r="BO255" i="10" s="1"/>
  <c r="BP255" i="10" s="1"/>
  <c r="J137" i="10"/>
  <c r="K137" i="10"/>
  <c r="BO256" i="10" s="1"/>
  <c r="BP256" i="10" s="1"/>
  <c r="J138" i="10"/>
  <c r="K138" i="10"/>
  <c r="BO257" i="10" s="1"/>
  <c r="BP257" i="10" s="1"/>
  <c r="J139" i="10"/>
  <c r="J140" i="10"/>
  <c r="K140" i="10" s="1"/>
  <c r="BO259" i="10" s="1"/>
  <c r="BP259" i="10" s="1"/>
  <c r="J141" i="10"/>
  <c r="K141" i="10"/>
  <c r="BO260" i="10" s="1"/>
  <c r="BP260" i="10" s="1"/>
  <c r="J142" i="10"/>
  <c r="K142" i="10" s="1"/>
  <c r="BO261" i="10" s="1"/>
  <c r="BP261" i="10" s="1"/>
  <c r="J143" i="10"/>
  <c r="K143" i="10"/>
  <c r="J144" i="10"/>
  <c r="K144" i="10"/>
  <c r="BO263" i="10" s="1"/>
  <c r="BP263" i="10" s="1"/>
  <c r="J145" i="10"/>
  <c r="K145" i="10" s="1"/>
  <c r="BO264" i="10" s="1"/>
  <c r="BP264" i="10" s="1"/>
  <c r="J146" i="10"/>
  <c r="J147" i="10"/>
  <c r="J148" i="10"/>
  <c r="K148" i="10"/>
  <c r="BO267" i="10" s="1"/>
  <c r="BP267" i="10" s="1"/>
  <c r="J149" i="10"/>
  <c r="K149" i="10" s="1"/>
  <c r="BO268" i="10" s="1"/>
  <c r="BP268" i="10" s="1"/>
  <c r="J150" i="10"/>
  <c r="K150" i="10"/>
  <c r="BO269" i="10" s="1"/>
  <c r="BP269" i="10" s="1"/>
  <c r="J151" i="10"/>
  <c r="K151" i="10" s="1"/>
  <c r="BO270" i="10" s="1"/>
  <c r="BP270" i="10" s="1"/>
  <c r="J152" i="10"/>
  <c r="K152" i="10"/>
  <c r="BO271" i="10" s="1"/>
  <c r="BP271" i="10" s="1"/>
  <c r="J153" i="10"/>
  <c r="K153" i="10" s="1"/>
  <c r="BO272" i="10" s="1"/>
  <c r="BP272" i="10" s="1"/>
  <c r="J154" i="10"/>
  <c r="K154" i="10"/>
  <c r="BO273" i="10" s="1"/>
  <c r="BP273" i="10" s="1"/>
  <c r="J155" i="10"/>
  <c r="K155" i="10" s="1"/>
  <c r="BO274" i="10" s="1"/>
  <c r="BP274" i="10" s="1"/>
  <c r="J156" i="10"/>
  <c r="K156" i="10" s="1"/>
  <c r="BO275" i="10" s="1"/>
  <c r="BP275" i="10" s="1"/>
  <c r="J157" i="10"/>
  <c r="K157" i="10"/>
  <c r="BO276" i="10" s="1"/>
  <c r="BP276" i="10" s="1"/>
  <c r="J158" i="10"/>
  <c r="K158" i="10" s="1"/>
  <c r="BO277" i="10" s="1"/>
  <c r="BP277" i="10" s="1"/>
  <c r="J159" i="10"/>
  <c r="K159" i="10"/>
  <c r="BO278" i="10" s="1"/>
  <c r="BP278" i="10" s="1"/>
  <c r="J160" i="10"/>
  <c r="K160" i="10" s="1"/>
  <c r="BO279" i="10" s="1"/>
  <c r="BP279" i="10" s="1"/>
  <c r="J161" i="10"/>
  <c r="K161" i="10"/>
  <c r="BO280" i="10" s="1"/>
  <c r="BP280" i="10" s="1"/>
  <c r="J162" i="10"/>
  <c r="K162" i="10" s="1"/>
  <c r="BO281" i="10" s="1"/>
  <c r="BP281" i="10" s="1"/>
  <c r="J163" i="10"/>
  <c r="K163" i="10"/>
  <c r="BO282" i="10" s="1"/>
  <c r="BP282" i="10" s="1"/>
  <c r="J164" i="10"/>
  <c r="K164" i="10" s="1"/>
  <c r="BO283" i="10" s="1"/>
  <c r="BP283" i="10" s="1"/>
  <c r="J165" i="10"/>
  <c r="K165" i="10"/>
  <c r="BO284" i="10" s="1"/>
  <c r="BP284" i="10" s="1"/>
  <c r="J166" i="10"/>
  <c r="K166" i="10" s="1"/>
  <c r="BO285" i="10" s="1"/>
  <c r="BP285" i="10" s="1"/>
  <c r="J167" i="10"/>
  <c r="K167" i="10" s="1"/>
  <c r="BO286" i="10" s="1"/>
  <c r="BP286" i="10" s="1"/>
  <c r="J168" i="10"/>
  <c r="K168" i="10"/>
  <c r="BO287" i="10" s="1"/>
  <c r="BP287" i="10" s="1"/>
  <c r="J169" i="10"/>
  <c r="K169" i="10" s="1"/>
  <c r="BO288" i="10" s="1"/>
  <c r="BP288" i="10" s="1"/>
  <c r="J170" i="10"/>
  <c r="K170" i="10"/>
  <c r="BO289" i="10" s="1"/>
  <c r="BP289" i="10" s="1"/>
  <c r="J171" i="10"/>
  <c r="BN290" i="10" s="1"/>
  <c r="CN290" i="10" s="1"/>
  <c r="J172" i="10"/>
  <c r="K172" i="10"/>
  <c r="BO291" i="10" s="1"/>
  <c r="BP291" i="10" s="1"/>
  <c r="J173" i="10"/>
  <c r="K173" i="10" s="1"/>
  <c r="BO292" i="10" s="1"/>
  <c r="BP292" i="10" s="1"/>
  <c r="J174" i="10"/>
  <c r="K174" i="10"/>
  <c r="BO293" i="10" s="1"/>
  <c r="BP293" i="10" s="1"/>
  <c r="J175" i="10"/>
  <c r="K175" i="10" s="1"/>
  <c r="BO294" i="10" s="1"/>
  <c r="BP294" i="10" s="1"/>
  <c r="J176" i="10"/>
  <c r="K176" i="10"/>
  <c r="BO295" i="10" s="1"/>
  <c r="BP295" i="10" s="1"/>
  <c r="J177" i="10"/>
  <c r="BN296" i="10" s="1"/>
  <c r="CN296" i="10" s="1"/>
  <c r="J178" i="10"/>
  <c r="J179" i="10"/>
  <c r="BN298" i="10" s="1"/>
  <c r="J180" i="10"/>
  <c r="K180" i="10" s="1"/>
  <c r="BO299" i="10" s="1"/>
  <c r="BP299" i="10" s="1"/>
  <c r="J181" i="10"/>
  <c r="BN300" i="10" s="1"/>
  <c r="CN300" i="10" s="1"/>
  <c r="J182" i="10"/>
  <c r="K182" i="10"/>
  <c r="J183" i="10"/>
  <c r="K183" i="10"/>
  <c r="BO302" i="10" s="1"/>
  <c r="BP302" i="10" s="1"/>
  <c r="J184" i="10"/>
  <c r="J185" i="10"/>
  <c r="BN304" i="10" s="1"/>
  <c r="CN304" i="10" s="1"/>
  <c r="J186" i="10"/>
  <c r="K186" i="10"/>
  <c r="BO305" i="10" s="1"/>
  <c r="BP305" i="10" s="1"/>
  <c r="J187" i="10"/>
  <c r="K187" i="10" s="1"/>
  <c r="BO306" i="10" s="1"/>
  <c r="BP306" i="10" s="1"/>
  <c r="J188" i="10"/>
  <c r="BN307" i="10"/>
  <c r="CN307" i="10" s="1"/>
  <c r="J189" i="10"/>
  <c r="K189" i="10" s="1"/>
  <c r="BO308" i="10" s="1"/>
  <c r="BP308" i="10" s="1"/>
  <c r="J190" i="10"/>
  <c r="J191" i="10"/>
  <c r="J192" i="10"/>
  <c r="K192" i="10"/>
  <c r="BO311" i="10" s="1"/>
  <c r="BP311" i="10" s="1"/>
  <c r="J193" i="10"/>
  <c r="K193" i="10" s="1"/>
  <c r="BO312" i="10" s="1"/>
  <c r="BP312" i="10" s="1"/>
  <c r="J194" i="10"/>
  <c r="K194" i="10" s="1"/>
  <c r="BO313" i="10" s="1"/>
  <c r="BP313" i="10" s="1"/>
  <c r="J195" i="10"/>
  <c r="K195" i="10"/>
  <c r="BO314" i="10" s="1"/>
  <c r="BP314" i="10" s="1"/>
  <c r="J196" i="10"/>
  <c r="K196" i="10" s="1"/>
  <c r="BO315" i="10" s="1"/>
  <c r="BP315" i="10" s="1"/>
  <c r="J197" i="10"/>
  <c r="K197" i="10" s="1"/>
  <c r="BO316" i="10" s="1"/>
  <c r="BP316" i="10" s="1"/>
  <c r="J198" i="10"/>
  <c r="K198" i="10" s="1"/>
  <c r="BO317" i="10" s="1"/>
  <c r="BP317" i="10" s="1"/>
  <c r="J199" i="10"/>
  <c r="K199" i="10" s="1"/>
  <c r="BO318" i="10" s="1"/>
  <c r="BP318" i="10" s="1"/>
  <c r="J200" i="10"/>
  <c r="K200" i="10"/>
  <c r="BO319" i="10" s="1"/>
  <c r="BP319" i="10" s="1"/>
  <c r="J201" i="10"/>
  <c r="K201" i="10" s="1"/>
  <c r="BO320" i="10" s="1"/>
  <c r="BP320" i="10" s="1"/>
  <c r="J202" i="10"/>
  <c r="K202" i="10" s="1"/>
  <c r="BO321" i="10" s="1"/>
  <c r="BP321" i="10" s="1"/>
  <c r="J203" i="10"/>
  <c r="K203" i="10"/>
  <c r="BO322" i="10" s="1"/>
  <c r="BP322" i="10" s="1"/>
  <c r="J204" i="10"/>
  <c r="K204" i="10" s="1"/>
  <c r="BO323" i="10" s="1"/>
  <c r="BP323" i="10" s="1"/>
  <c r="J205" i="10"/>
  <c r="K205" i="10" s="1"/>
  <c r="BO324" i="10" s="1"/>
  <c r="BP324" i="10" s="1"/>
  <c r="J206" i="10"/>
  <c r="K206" i="10"/>
  <c r="BO325" i="10" s="1"/>
  <c r="BP325" i="10" s="1"/>
  <c r="J207" i="10"/>
  <c r="K207" i="10" s="1"/>
  <c r="BO326" i="10" s="1"/>
  <c r="BP326" i="10" s="1"/>
  <c r="J208" i="10"/>
  <c r="BN327" i="10" s="1"/>
  <c r="CN327" i="10" s="1"/>
  <c r="J209" i="10"/>
  <c r="K209" i="10"/>
  <c r="BO328" i="10" s="1"/>
  <c r="BP328" i="10" s="1"/>
  <c r="J210" i="10"/>
  <c r="K210" i="10" s="1"/>
  <c r="BO329" i="10" s="1"/>
  <c r="BP329" i="10" s="1"/>
  <c r="J211" i="10"/>
  <c r="K211" i="10" s="1"/>
  <c r="BO330" i="10" s="1"/>
  <c r="BP330" i="10" s="1"/>
  <c r="J212" i="10"/>
  <c r="K212" i="10"/>
  <c r="BO331" i="10" s="1"/>
  <c r="BP331" i="10" s="1"/>
  <c r="J213" i="10"/>
  <c r="BN332" i="10" s="1"/>
  <c r="CN332" i="10" s="1"/>
  <c r="J214" i="10"/>
  <c r="BN333" i="10"/>
  <c r="CN333" i="10" s="1"/>
  <c r="J215" i="10"/>
  <c r="K215" i="10" s="1"/>
  <c r="BO334" i="10" s="1"/>
  <c r="BP334" i="10" s="1"/>
  <c r="J216" i="10"/>
  <c r="K216" i="10" s="1"/>
  <c r="BO335" i="10" s="1"/>
  <c r="BP335" i="10" s="1"/>
  <c r="J217" i="10"/>
  <c r="K217" i="10" s="1"/>
  <c r="BO336" i="10" s="1"/>
  <c r="BP336" i="10" s="1"/>
  <c r="J218" i="10"/>
  <c r="K218" i="10"/>
  <c r="BO337" i="10" s="1"/>
  <c r="BP337" i="10" s="1"/>
  <c r="J219" i="10"/>
  <c r="K219" i="10"/>
  <c r="BO338" i="10" s="1"/>
  <c r="BP338" i="10" s="1"/>
  <c r="J220" i="10"/>
  <c r="K220" i="10"/>
  <c r="J221" i="10"/>
  <c r="J222" i="10"/>
  <c r="K222" i="10" s="1"/>
  <c r="BO341" i="10" s="1"/>
  <c r="BP341" i="10" s="1"/>
  <c r="J223" i="10"/>
  <c r="K223" i="10" s="1"/>
  <c r="BO342" i="10" s="1"/>
  <c r="BP342" i="10" s="1"/>
  <c r="J224" i="10"/>
  <c r="K224" i="10" s="1"/>
  <c r="BO343" i="10" s="1"/>
  <c r="BP343" i="10" s="1"/>
  <c r="J225" i="10"/>
  <c r="K225" i="10" s="1"/>
  <c r="BO344" i="10" s="1"/>
  <c r="BP344" i="10" s="1"/>
  <c r="J226" i="10"/>
  <c r="BN345" i="10" s="1"/>
  <c r="J227" i="10"/>
  <c r="K227" i="10" s="1"/>
  <c r="BO346" i="10" s="1"/>
  <c r="BP346" i="10" s="1"/>
  <c r="J228" i="10"/>
  <c r="K228" i="10"/>
  <c r="BO347" i="10" s="1"/>
  <c r="BP347" i="10" s="1"/>
  <c r="J229" i="10"/>
  <c r="K229" i="10"/>
  <c r="BO348" i="10" s="1"/>
  <c r="BP348" i="10" s="1"/>
  <c r="J230" i="10"/>
  <c r="J231" i="10"/>
  <c r="K231" i="10" s="1"/>
  <c r="BO350" i="10" s="1"/>
  <c r="BP350" i="10" s="1"/>
  <c r="J232" i="10"/>
  <c r="K232" i="10" s="1"/>
  <c r="BO351" i="10" s="1"/>
  <c r="BP351" i="10" s="1"/>
  <c r="J233" i="10"/>
  <c r="K233" i="10"/>
  <c r="BO352" i="10" s="1"/>
  <c r="BP352" i="10" s="1"/>
  <c r="J234" i="10"/>
  <c r="K234" i="10" s="1"/>
  <c r="BO353" i="10" s="1"/>
  <c r="BP353" i="10" s="1"/>
  <c r="J235" i="10"/>
  <c r="K235" i="10" s="1"/>
  <c r="BO354" i="10" s="1"/>
  <c r="BP354" i="10" s="1"/>
  <c r="J236" i="10"/>
  <c r="J237" i="10"/>
  <c r="BN356" i="10" s="1"/>
  <c r="CN356" i="10" s="1"/>
  <c r="J238" i="10"/>
  <c r="K238" i="10"/>
  <c r="BO357" i="10" s="1"/>
  <c r="BP357" i="10" s="1"/>
  <c r="J239" i="10"/>
  <c r="K239" i="10"/>
  <c r="BO358" i="10" s="1"/>
  <c r="BP358" i="10" s="1"/>
  <c r="J240" i="10"/>
  <c r="BN359" i="10"/>
  <c r="CN359" i="10" s="1"/>
  <c r="J241" i="10"/>
  <c r="K241" i="10" s="1"/>
  <c r="BO360" i="10" s="1"/>
  <c r="BP360" i="10" s="1"/>
  <c r="J242" i="10"/>
  <c r="J243" i="10"/>
  <c r="K243" i="10"/>
  <c r="BO362" i="10" s="1"/>
  <c r="BP362" i="10" s="1"/>
  <c r="J244" i="10"/>
  <c r="K244" i="10"/>
  <c r="BO363" i="10" s="1"/>
  <c r="BP363" i="10" s="1"/>
  <c r="J245" i="10"/>
  <c r="J246" i="10"/>
  <c r="K246" i="10" s="1"/>
  <c r="BO365" i="10" s="1"/>
  <c r="BP365" i="10" s="1"/>
  <c r="J247" i="10"/>
  <c r="K247" i="10" s="1"/>
  <c r="BO366" i="10" s="1"/>
  <c r="BP366" i="10" s="1"/>
  <c r="J248" i="10"/>
  <c r="K248" i="10" s="1"/>
  <c r="BO367" i="10" s="1"/>
  <c r="BP367" i="10" s="1"/>
  <c r="J249" i="10"/>
  <c r="K249" i="10"/>
  <c r="BO368" i="10" s="1"/>
  <c r="BP368" i="10" s="1"/>
  <c r="J250" i="10"/>
  <c r="K250" i="10" s="1"/>
  <c r="BO369" i="10" s="1"/>
  <c r="BP369" i="10" s="1"/>
  <c r="J251" i="10"/>
  <c r="K251" i="10" s="1"/>
  <c r="BO370" i="10" s="1"/>
  <c r="BP370" i="10" s="1"/>
  <c r="J252" i="10"/>
  <c r="K252" i="10"/>
  <c r="BO371" i="10" s="1"/>
  <c r="BP371" i="10" s="1"/>
  <c r="J253" i="10"/>
  <c r="K253" i="10"/>
  <c r="BO372" i="10" s="1"/>
  <c r="BP372" i="10" s="1"/>
  <c r="J254" i="10"/>
  <c r="J255" i="10"/>
  <c r="K255" i="10" s="1"/>
  <c r="BO374" i="10" s="1"/>
  <c r="BP374" i="10" s="1"/>
  <c r="J256" i="10"/>
  <c r="K256" i="10" s="1"/>
  <c r="BO375" i="10" s="1"/>
  <c r="BP375" i="10" s="1"/>
  <c r="J257" i="10"/>
  <c r="K257" i="10"/>
  <c r="BO376" i="10" s="1"/>
  <c r="BP376" i="10" s="1"/>
  <c r="J258" i="10"/>
  <c r="K258" i="10"/>
  <c r="BO377" i="10" s="1"/>
  <c r="BP377" i="10" s="1"/>
  <c r="J259" i="10"/>
  <c r="K259" i="10"/>
  <c r="BO378" i="10" s="1"/>
  <c r="BP378" i="10" s="1"/>
  <c r="J260" i="10"/>
  <c r="BN379" i="10" s="1"/>
  <c r="CN379" i="10" s="1"/>
  <c r="J261" i="10"/>
  <c r="K261" i="10"/>
  <c r="BO380" i="10" s="1"/>
  <c r="BP380" i="10" s="1"/>
  <c r="J262" i="10"/>
  <c r="K262" i="10"/>
  <c r="J263" i="10"/>
  <c r="K263" i="10"/>
  <c r="BO382" i="10" s="1"/>
  <c r="BP382" i="10" s="1"/>
  <c r="J264" i="10"/>
  <c r="K264" i="10"/>
  <c r="BO383" i="10" s="1"/>
  <c r="BP383" i="10" s="1"/>
  <c r="J265" i="10"/>
  <c r="K265" i="10"/>
  <c r="BO384" i="10" s="1"/>
  <c r="BP384" i="10" s="1"/>
  <c r="J266" i="10"/>
  <c r="K266" i="10" s="1"/>
  <c r="BO385" i="10" s="1"/>
  <c r="BP385" i="10" s="1"/>
  <c r="J267" i="10"/>
  <c r="K267" i="10" s="1"/>
  <c r="BO386" i="10" s="1"/>
  <c r="BP386" i="10" s="1"/>
  <c r="J268" i="10"/>
  <c r="K268" i="10" s="1"/>
  <c r="BO387" i="10" s="1"/>
  <c r="BP387" i="10" s="1"/>
  <c r="J269" i="10"/>
  <c r="K269" i="10"/>
  <c r="BO388" i="10" s="1"/>
  <c r="BP388" i="10" s="1"/>
  <c r="J270" i="10"/>
  <c r="K270" i="10"/>
  <c r="BO389" i="10" s="1"/>
  <c r="BP389" i="10" s="1"/>
  <c r="J271" i="10"/>
  <c r="K271" i="10"/>
  <c r="BO390" i="10" s="1"/>
  <c r="BP390" i="10" s="1"/>
  <c r="J272" i="10"/>
  <c r="K272" i="10" s="1"/>
  <c r="BO391" i="10" s="1"/>
  <c r="BP391" i="10" s="1"/>
  <c r="J273" i="10"/>
  <c r="K273" i="10" s="1"/>
  <c r="BO392" i="10" s="1"/>
  <c r="BP392" i="10" s="1"/>
  <c r="J274" i="10"/>
  <c r="K274" i="10" s="1"/>
  <c r="BO393" i="10" s="1"/>
  <c r="BP393" i="10" s="1"/>
  <c r="J275" i="10"/>
  <c r="K275" i="10"/>
  <c r="BO394" i="10" s="1"/>
  <c r="BP394" i="10" s="1"/>
  <c r="J276" i="10"/>
  <c r="K276" i="10"/>
  <c r="BO395" i="10" s="1"/>
  <c r="BP395" i="10" s="1"/>
  <c r="J277" i="10"/>
  <c r="K277" i="10"/>
  <c r="BO396" i="10" s="1"/>
  <c r="BP396" i="10" s="1"/>
  <c r="J278" i="10"/>
  <c r="K278" i="10" s="1"/>
  <c r="BO397" i="10" s="1"/>
  <c r="BP397" i="10" s="1"/>
  <c r="J279" i="10"/>
  <c r="K279" i="10" s="1"/>
  <c r="BO398" i="10" s="1"/>
  <c r="BP398" i="10" s="1"/>
  <c r="J280" i="10"/>
  <c r="K280" i="10" s="1"/>
  <c r="BO399" i="10" s="1"/>
  <c r="BP399" i="10" s="1"/>
  <c r="J281" i="10"/>
  <c r="K281" i="10"/>
  <c r="BO400" i="10" s="1"/>
  <c r="BP400" i="10" s="1"/>
  <c r="J282" i="10"/>
  <c r="J283" i="10"/>
  <c r="K283" i="10" s="1"/>
  <c r="BO402" i="10" s="1"/>
  <c r="BP402" i="10" s="1"/>
  <c r="J285" i="10"/>
  <c r="J286" i="10"/>
  <c r="BN405" i="10" s="1"/>
  <c r="J288" i="10"/>
  <c r="BN407" i="10" s="1"/>
  <c r="CN407" i="10" s="1"/>
  <c r="J289" i="10"/>
  <c r="K289" i="10"/>
  <c r="BO408" i="10" s="1"/>
  <c r="BP408" i="10" s="1"/>
  <c r="J290" i="10"/>
  <c r="K290" i="10" s="1"/>
  <c r="BO409" i="10" s="1"/>
  <c r="BP409" i="10" s="1"/>
  <c r="BN409" i="10"/>
  <c r="J291" i="10"/>
  <c r="BN410" i="10" s="1"/>
  <c r="K291" i="10"/>
  <c r="BO410" i="10" s="1"/>
  <c r="BP410" i="10" s="1"/>
  <c r="J292" i="10"/>
  <c r="BN411" i="10" s="1"/>
  <c r="J293" i="10"/>
  <c r="K293" i="10" s="1"/>
  <c r="BO412" i="10" s="1"/>
  <c r="BP412" i="10" s="1"/>
  <c r="J294" i="10"/>
  <c r="BN413" i="10" s="1"/>
  <c r="CN413" i="10" s="1"/>
  <c r="J295" i="10"/>
  <c r="BN414" i="10" s="1"/>
  <c r="J296" i="10"/>
  <c r="K296" i="10" s="1"/>
  <c r="BO415" i="10" s="1"/>
  <c r="BP415" i="10" s="1"/>
  <c r="BN415" i="10"/>
  <c r="J297" i="10"/>
  <c r="K297" i="10" s="1"/>
  <c r="BO416" i="10" s="1"/>
  <c r="BP416" i="10" s="1"/>
  <c r="J298" i="10"/>
  <c r="K298" i="10" s="1"/>
  <c r="BO417" i="10" s="1"/>
  <c r="BP417" i="10" s="1"/>
  <c r="BN417" i="10"/>
  <c r="J299" i="10"/>
  <c r="K299" i="10" s="1"/>
  <c r="BO418" i="10" s="1"/>
  <c r="BP418" i="10" s="1"/>
  <c r="J300" i="10"/>
  <c r="K300" i="10" s="1"/>
  <c r="BO419" i="10" s="1"/>
  <c r="BP419" i="10" s="1"/>
  <c r="BN419" i="10"/>
  <c r="J301" i="10"/>
  <c r="K301" i="10"/>
  <c r="BO420" i="10" s="1"/>
  <c r="BP420" i="10" s="1"/>
  <c r="J302" i="10"/>
  <c r="BN421" i="10"/>
  <c r="K302" i="10"/>
  <c r="BO421" i="10"/>
  <c r="BP421" i="10" s="1"/>
  <c r="J303" i="10"/>
  <c r="BN422" i="10" s="1"/>
  <c r="J304" i="10"/>
  <c r="K304" i="10" s="1"/>
  <c r="BO423" i="10" s="1"/>
  <c r="BP423" i="10" s="1"/>
  <c r="J305" i="10"/>
  <c r="BN424" i="10" s="1"/>
  <c r="J306" i="10"/>
  <c r="K306" i="10" s="1"/>
  <c r="BO425" i="10" s="1"/>
  <c r="BP425" i="10" s="1"/>
  <c r="J307" i="10"/>
  <c r="K307" i="10" s="1"/>
  <c r="BO426" i="10" s="1"/>
  <c r="BP426" i="10" s="1"/>
  <c r="BN426" i="10"/>
  <c r="J308" i="10"/>
  <c r="K308" i="10"/>
  <c r="J309" i="10"/>
  <c r="K309" i="10" s="1"/>
  <c r="BO428" i="10" s="1"/>
  <c r="BP428" i="10" s="1"/>
  <c r="BN428" i="10"/>
  <c r="J310" i="10"/>
  <c r="BN429" i="10"/>
  <c r="K310" i="10"/>
  <c r="BO429" i="10"/>
  <c r="BP429" i="10" s="1"/>
  <c r="J311" i="10"/>
  <c r="K311" i="10" s="1"/>
  <c r="BO430" i="10" s="1"/>
  <c r="BP430" i="10" s="1"/>
  <c r="BN430" i="10"/>
  <c r="J312" i="10"/>
  <c r="K312" i="10" s="1"/>
  <c r="BO431" i="10" s="1"/>
  <c r="BP431" i="10" s="1"/>
  <c r="BN431" i="10"/>
  <c r="J313" i="10"/>
  <c r="BN432" i="10"/>
  <c r="CN432" i="10" s="1"/>
  <c r="K313" i="10"/>
  <c r="J314" i="10"/>
  <c r="K314" i="10"/>
  <c r="BO433" i="10" s="1"/>
  <c r="BP433" i="10" s="1"/>
  <c r="J315" i="10"/>
  <c r="BN434" i="10"/>
  <c r="BQ434" i="10" s="1"/>
  <c r="CJ434" i="10" s="1"/>
  <c r="K315" i="10"/>
  <c r="BO434" i="10" s="1"/>
  <c r="BP434" i="10" s="1"/>
  <c r="J316" i="10"/>
  <c r="K316" i="10"/>
  <c r="BO435" i="10" s="1"/>
  <c r="BP435" i="10" s="1"/>
  <c r="J317" i="10"/>
  <c r="BN436" i="10" s="1"/>
  <c r="K317" i="10"/>
  <c r="BO436" i="10" s="1"/>
  <c r="BP436" i="10" s="1"/>
  <c r="J318" i="10"/>
  <c r="BN437" i="10" s="1"/>
  <c r="K318" i="10"/>
  <c r="BO437" i="10" s="1"/>
  <c r="BP437" i="10" s="1"/>
  <c r="J319" i="10"/>
  <c r="K319" i="10"/>
  <c r="BO438" i="10" s="1"/>
  <c r="BP438" i="10" s="1"/>
  <c r="J320" i="10"/>
  <c r="BN439" i="10" s="1"/>
  <c r="K320" i="10"/>
  <c r="BO439" i="10" s="1"/>
  <c r="BP439" i="10" s="1"/>
  <c r="J321" i="10"/>
  <c r="BN440" i="10" s="1"/>
  <c r="BQ440" i="10" s="1"/>
  <c r="CJ440" i="10" s="1"/>
  <c r="K321" i="10"/>
  <c r="J322" i="10"/>
  <c r="BN441" i="10"/>
  <c r="K322" i="10"/>
  <c r="BO441" i="10"/>
  <c r="BP441" i="10" s="1"/>
  <c r="J323" i="10"/>
  <c r="BN442" i="10"/>
  <c r="K323" i="10"/>
  <c r="J324" i="10"/>
  <c r="K324" i="10"/>
  <c r="BO443" i="10"/>
  <c r="BP443" i="10" s="1"/>
  <c r="J325" i="10"/>
  <c r="BN444" i="10"/>
  <c r="K325" i="10"/>
  <c r="BO444" i="10"/>
  <c r="BP444" i="10" s="1"/>
  <c r="J326" i="10"/>
  <c r="BN445" i="10"/>
  <c r="K326" i="10"/>
  <c r="BO445" i="10" s="1"/>
  <c r="BP445" i="10" s="1"/>
  <c r="J327" i="10"/>
  <c r="BN446" i="10" s="1"/>
  <c r="K327" i="10"/>
  <c r="BO446" i="10" s="1"/>
  <c r="BP446" i="10" s="1"/>
  <c r="J328" i="10"/>
  <c r="BN447" i="10"/>
  <c r="CN447" i="10" s="1"/>
  <c r="CO447" i="10" s="1"/>
  <c r="K328" i="10"/>
  <c r="BO447" i="10" s="1"/>
  <c r="BP447" i="10" s="1"/>
  <c r="J329" i="10"/>
  <c r="K329" i="10"/>
  <c r="BO448" i="10" s="1"/>
  <c r="BP448" i="10" s="1"/>
  <c r="J330" i="10"/>
  <c r="BN449" i="10" s="1"/>
  <c r="K330" i="10"/>
  <c r="BO449" i="10" s="1"/>
  <c r="BP449" i="10" s="1"/>
  <c r="J331" i="10"/>
  <c r="BN450" i="10" s="1"/>
  <c r="BQ450" i="10" s="1"/>
  <c r="K331" i="10"/>
  <c r="BO450" i="10" s="1"/>
  <c r="BP450" i="10" s="1"/>
  <c r="J332" i="10"/>
  <c r="BN451" i="10" s="1"/>
  <c r="K332" i="10"/>
  <c r="BO451" i="10" s="1"/>
  <c r="BP451" i="10" s="1"/>
  <c r="J333" i="10"/>
  <c r="BN452" i="10"/>
  <c r="K333" i="10"/>
  <c r="J334" i="10"/>
  <c r="BN453" i="10" s="1"/>
  <c r="BQ453" i="10" s="1"/>
  <c r="CJ453" i="10" s="1"/>
  <c r="K334" i="10"/>
  <c r="BO453" i="10" s="1"/>
  <c r="BP453" i="10"/>
  <c r="J335" i="10"/>
  <c r="K335" i="10"/>
  <c r="BO454" i="10" s="1"/>
  <c r="BP454" i="10" s="1"/>
  <c r="J336" i="10"/>
  <c r="BN455" i="10"/>
  <c r="BQ455" i="10" s="1"/>
  <c r="CJ455" i="10" s="1"/>
  <c r="K336" i="10"/>
  <c r="BO455" i="10" s="1"/>
  <c r="BP455" i="10" s="1"/>
  <c r="J337" i="10"/>
  <c r="BN456" i="10"/>
  <c r="K337" i="10"/>
  <c r="BO456" i="10" s="1"/>
  <c r="BP456" i="10" s="1"/>
  <c r="J338" i="10"/>
  <c r="BN457" i="10" s="1"/>
  <c r="K338" i="10"/>
  <c r="BO457" i="10" s="1"/>
  <c r="BP457" i="10" s="1"/>
  <c r="J339" i="10"/>
  <c r="BN458" i="10"/>
  <c r="BQ458" i="10" s="1"/>
  <c r="CJ458" i="10" s="1"/>
  <c r="K339" i="10"/>
  <c r="BO458" i="10" s="1"/>
  <c r="BP458" i="10" s="1"/>
  <c r="J340" i="10"/>
  <c r="K340" i="10"/>
  <c r="J341" i="10"/>
  <c r="BN460" i="10"/>
  <c r="K341" i="10"/>
  <c r="BO460" i="10" s="1"/>
  <c r="BP460" i="10" s="1"/>
  <c r="J342" i="10"/>
  <c r="BN461" i="10" s="1"/>
  <c r="K342" i="10"/>
  <c r="BO461" i="10" s="1"/>
  <c r="BP461" i="10" s="1"/>
  <c r="J343" i="10"/>
  <c r="BN462" i="10"/>
  <c r="K343" i="10"/>
  <c r="BO462" i="10" s="1"/>
  <c r="BP462" i="10" s="1"/>
  <c r="J344" i="10"/>
  <c r="BN463" i="10" s="1"/>
  <c r="CN463" i="10" s="1"/>
  <c r="K344" i="10"/>
  <c r="BO463" i="10" s="1"/>
  <c r="BP463" i="10" s="1"/>
  <c r="J345" i="10"/>
  <c r="BN464" i="10"/>
  <c r="K345" i="10"/>
  <c r="BO464" i="10"/>
  <c r="BP464" i="10" s="1"/>
  <c r="J346" i="10"/>
  <c r="K346" i="10"/>
  <c r="BO465" i="10" s="1"/>
  <c r="BP465" i="10" s="1"/>
  <c r="J347" i="10"/>
  <c r="BN466" i="10" s="1"/>
  <c r="CN466" i="10" s="1"/>
  <c r="K347" i="10"/>
  <c r="J348" i="10"/>
  <c r="BN467" i="10" s="1"/>
  <c r="K348" i="10"/>
  <c r="BO467" i="10" s="1"/>
  <c r="BP467" i="10" s="1"/>
  <c r="J349" i="10"/>
  <c r="BN468" i="10" s="1"/>
  <c r="K349" i="10"/>
  <c r="BO468" i="10" s="1"/>
  <c r="BP468" i="10" s="1"/>
  <c r="J350" i="10"/>
  <c r="BN469" i="10" s="1"/>
  <c r="K350" i="10"/>
  <c r="BO469" i="10" s="1"/>
  <c r="BP469" i="10" s="1"/>
  <c r="J351" i="10"/>
  <c r="BN470" i="10"/>
  <c r="K351" i="10"/>
  <c r="J352" i="10"/>
  <c r="K352" i="10"/>
  <c r="BO471" i="10"/>
  <c r="BP471" i="10" s="1"/>
  <c r="J353" i="10"/>
  <c r="BN472" i="10"/>
  <c r="K353" i="10"/>
  <c r="BO472" i="10" s="1"/>
  <c r="BP472" i="10" s="1"/>
  <c r="J354" i="10"/>
  <c r="BN473" i="10" s="1"/>
  <c r="CN473" i="10" s="1"/>
  <c r="CO473" i="10" s="1"/>
  <c r="K354" i="10"/>
  <c r="BO473" i="10" s="1"/>
  <c r="BP473" i="10" s="1"/>
  <c r="J355" i="10"/>
  <c r="K355" i="10"/>
  <c r="BO474" i="10" s="1"/>
  <c r="BP474" i="10" s="1"/>
  <c r="J356" i="10"/>
  <c r="BN475" i="10" s="1"/>
  <c r="BQ475" i="10" s="1"/>
  <c r="CJ475" i="10" s="1"/>
  <c r="K356" i="10"/>
  <c r="J357" i="10"/>
  <c r="BN476" i="10"/>
  <c r="K357" i="10"/>
  <c r="BO476" i="10"/>
  <c r="BP476" i="10" s="1"/>
  <c r="J358" i="10"/>
  <c r="BN477" i="10"/>
  <c r="BQ477" i="10" s="1"/>
  <c r="CJ477" i="10" s="1"/>
  <c r="K358" i="10"/>
  <c r="BO477" i="10" s="1"/>
  <c r="BP477" i="10" s="1"/>
  <c r="J359" i="10"/>
  <c r="BN478" i="10"/>
  <c r="BQ478" i="10" s="1"/>
  <c r="CJ478" i="10" s="1"/>
  <c r="K359" i="10"/>
  <c r="BO478" i="10" s="1"/>
  <c r="BP478" i="10" s="1"/>
  <c r="J360" i="10"/>
  <c r="BN479" i="10"/>
  <c r="K360" i="10"/>
  <c r="BO479" i="10" s="1"/>
  <c r="BP479" i="10" s="1"/>
  <c r="J361" i="10"/>
  <c r="K361" i="10"/>
  <c r="BO480" i="10"/>
  <c r="BP480" i="10" s="1"/>
  <c r="J362" i="10"/>
  <c r="BN481" i="10"/>
  <c r="K362" i="10"/>
  <c r="BO481" i="10" s="1"/>
  <c r="BP481" i="10" s="1"/>
  <c r="J363" i="10"/>
  <c r="BN482" i="10" s="1"/>
  <c r="K363" i="10"/>
  <c r="BO482" i="10" s="1"/>
  <c r="BP482" i="10"/>
  <c r="J364" i="10"/>
  <c r="BN483" i="10"/>
  <c r="K364" i="10"/>
  <c r="BO483" i="10" s="1"/>
  <c r="BP483" i="10" s="1"/>
  <c r="J365" i="10"/>
  <c r="BN484" i="10" s="1"/>
  <c r="K365" i="10"/>
  <c r="BO484" i="10" s="1"/>
  <c r="BP484" i="10" s="1"/>
  <c r="J366" i="10"/>
  <c r="BN485" i="10" s="1"/>
  <c r="K366" i="10"/>
  <c r="BO485" i="10" s="1"/>
  <c r="BP485" i="10" s="1"/>
  <c r="J367" i="10"/>
  <c r="K367" i="10"/>
  <c r="J368" i="10"/>
  <c r="K368" i="10"/>
  <c r="J369" i="10"/>
  <c r="K369" i="10"/>
  <c r="J370" i="10"/>
  <c r="K370" i="10"/>
  <c r="J371" i="10"/>
  <c r="K371" i="10"/>
  <c r="J372" i="10"/>
  <c r="K372" i="10"/>
  <c r="J373" i="10"/>
  <c r="K373" i="10"/>
  <c r="J374" i="10"/>
  <c r="K374" i="10"/>
  <c r="J375" i="10"/>
  <c r="K375" i="10"/>
  <c r="J376" i="10"/>
  <c r="K376" i="10"/>
  <c r="J377" i="10"/>
  <c r="K377" i="10"/>
  <c r="J378" i="10"/>
  <c r="K378" i="10"/>
  <c r="J379" i="10"/>
  <c r="K379" i="10"/>
  <c r="J380" i="10"/>
  <c r="K380" i="10"/>
  <c r="J381" i="10"/>
  <c r="K381" i="10"/>
  <c r="J382" i="10"/>
  <c r="K382" i="10"/>
  <c r="J383" i="10"/>
  <c r="K383" i="10"/>
  <c r="J384" i="10"/>
  <c r="K384" i="10"/>
  <c r="J385" i="10"/>
  <c r="K385" i="10"/>
  <c r="J386" i="10"/>
  <c r="K386" i="10"/>
  <c r="D7" i="10"/>
  <c r="E7" i="10"/>
  <c r="D8" i="10"/>
  <c r="E8" i="10"/>
  <c r="D9" i="10"/>
  <c r="E9" i="10"/>
  <c r="D10" i="10"/>
  <c r="E10" i="10"/>
  <c r="D11" i="10"/>
  <c r="E11" i="10"/>
  <c r="D12" i="10"/>
  <c r="E12" i="10"/>
  <c r="D13" i="10"/>
  <c r="E13" i="10"/>
  <c r="D14" i="10"/>
  <c r="E14" i="10"/>
  <c r="D15" i="10"/>
  <c r="E15" i="10"/>
  <c r="D16" i="10"/>
  <c r="E16" i="10"/>
  <c r="D17" i="10"/>
  <c r="E17" i="10"/>
  <c r="D18" i="10"/>
  <c r="E18" i="10"/>
  <c r="D19" i="10"/>
  <c r="E19" i="10"/>
  <c r="D20" i="10"/>
  <c r="E20" i="10"/>
  <c r="D21" i="10"/>
  <c r="E21" i="10"/>
  <c r="D22" i="10"/>
  <c r="E22" i="10"/>
  <c r="D23" i="10"/>
  <c r="E23" i="10"/>
  <c r="D24" i="10"/>
  <c r="E24" i="10"/>
  <c r="D25" i="10"/>
  <c r="E25" i="10"/>
  <c r="D26" i="10"/>
  <c r="E26" i="10"/>
  <c r="D27" i="10"/>
  <c r="E27" i="10"/>
  <c r="D28" i="10"/>
  <c r="E28" i="10"/>
  <c r="D29" i="10"/>
  <c r="E29" i="10"/>
  <c r="D30" i="10"/>
  <c r="E30" i="10"/>
  <c r="D31" i="10"/>
  <c r="E31" i="10"/>
  <c r="D32" i="10"/>
  <c r="E32" i="10"/>
  <c r="D33" i="10"/>
  <c r="E33" i="10"/>
  <c r="D34" i="10"/>
  <c r="E34" i="10"/>
  <c r="D35" i="10"/>
  <c r="E35" i="10"/>
  <c r="D36" i="10"/>
  <c r="E36" i="10"/>
  <c r="D37" i="10"/>
  <c r="E37" i="10"/>
  <c r="D38" i="10"/>
  <c r="E38" i="10"/>
  <c r="D39" i="10"/>
  <c r="E39" i="10"/>
  <c r="D40" i="10"/>
  <c r="E40" i="10"/>
  <c r="D41" i="10"/>
  <c r="E41" i="10"/>
  <c r="D42" i="10"/>
  <c r="E42" i="10"/>
  <c r="D43" i="10"/>
  <c r="E43" i="10"/>
  <c r="D44" i="10"/>
  <c r="E44" i="10"/>
  <c r="D45" i="10"/>
  <c r="E45" i="10"/>
  <c r="D46" i="10"/>
  <c r="E46" i="10"/>
  <c r="D47" i="10"/>
  <c r="E47" i="10"/>
  <c r="D48" i="10"/>
  <c r="E48" i="10"/>
  <c r="D49" i="10"/>
  <c r="E49" i="10"/>
  <c r="D50" i="10"/>
  <c r="E50" i="10"/>
  <c r="D51" i="10"/>
  <c r="E51" i="10"/>
  <c r="D52" i="10"/>
  <c r="E52" i="10"/>
  <c r="D53" i="10"/>
  <c r="E53" i="10"/>
  <c r="D54" i="10"/>
  <c r="E54" i="10"/>
  <c r="D55" i="10"/>
  <c r="E55" i="10"/>
  <c r="D56" i="10"/>
  <c r="E56" i="10"/>
  <c r="D57" i="10"/>
  <c r="E57" i="10"/>
  <c r="D58" i="10"/>
  <c r="E58" i="10"/>
  <c r="D59" i="10"/>
  <c r="E59" i="10"/>
  <c r="D60" i="10"/>
  <c r="E60" i="10"/>
  <c r="D61" i="10"/>
  <c r="E61" i="10"/>
  <c r="D62" i="10"/>
  <c r="E62" i="10"/>
  <c r="D63" i="10"/>
  <c r="E63" i="10"/>
  <c r="D64" i="10"/>
  <c r="E64" i="10"/>
  <c r="D65" i="10"/>
  <c r="E65" i="10"/>
  <c r="D66" i="10"/>
  <c r="E66" i="10"/>
  <c r="D67" i="10"/>
  <c r="E67" i="10"/>
  <c r="D68" i="10"/>
  <c r="E68" i="10"/>
  <c r="D69" i="10"/>
  <c r="E69" i="10"/>
  <c r="D70" i="10"/>
  <c r="E70" i="10"/>
  <c r="D71" i="10"/>
  <c r="E71" i="10"/>
  <c r="D72" i="10"/>
  <c r="E72" i="10"/>
  <c r="D73" i="10"/>
  <c r="E73" i="10"/>
  <c r="D74" i="10"/>
  <c r="E74" i="10"/>
  <c r="D75" i="10"/>
  <c r="E75" i="10"/>
  <c r="D76" i="10"/>
  <c r="E76" i="10"/>
  <c r="D77" i="10"/>
  <c r="E77" i="10"/>
  <c r="D78" i="10"/>
  <c r="E78" i="10"/>
  <c r="D79" i="10"/>
  <c r="E79" i="10"/>
  <c r="D80" i="10"/>
  <c r="E80" i="10"/>
  <c r="D81" i="10"/>
  <c r="E81" i="10"/>
  <c r="D82" i="10"/>
  <c r="E82" i="10"/>
  <c r="D83" i="10"/>
  <c r="E83" i="10"/>
  <c r="D84" i="10"/>
  <c r="E84" i="10"/>
  <c r="D85" i="10"/>
  <c r="E85" i="10"/>
  <c r="D86" i="10"/>
  <c r="E86" i="10"/>
  <c r="D87" i="10"/>
  <c r="E87" i="10"/>
  <c r="D88" i="10"/>
  <c r="E88" i="10"/>
  <c r="D89" i="10"/>
  <c r="E89" i="10"/>
  <c r="D90" i="10"/>
  <c r="E90" i="10"/>
  <c r="D91" i="10"/>
  <c r="E91" i="10"/>
  <c r="D92" i="10"/>
  <c r="E92" i="10"/>
  <c r="D93" i="10"/>
  <c r="E93" i="10"/>
  <c r="D94" i="10"/>
  <c r="E94" i="10"/>
  <c r="D95" i="10"/>
  <c r="E95" i="10"/>
  <c r="D96" i="10"/>
  <c r="E96" i="10"/>
  <c r="D97" i="10"/>
  <c r="E97" i="10"/>
  <c r="D98" i="10"/>
  <c r="E98" i="10"/>
  <c r="D99" i="10"/>
  <c r="E99" i="10"/>
  <c r="D100" i="10"/>
  <c r="E100" i="10"/>
  <c r="D101" i="10"/>
  <c r="E101" i="10"/>
  <c r="D102" i="10"/>
  <c r="E102" i="10"/>
  <c r="D103" i="10"/>
  <c r="E103" i="10"/>
  <c r="D104" i="10"/>
  <c r="E104" i="10"/>
  <c r="D105" i="10"/>
  <c r="E105" i="10"/>
  <c r="D106" i="10"/>
  <c r="E106" i="10"/>
  <c r="D107" i="10"/>
  <c r="E107" i="10"/>
  <c r="D108" i="10"/>
  <c r="E108" i="10"/>
  <c r="D109" i="10"/>
  <c r="E109" i="10"/>
  <c r="D110" i="10"/>
  <c r="E110" i="10"/>
  <c r="D111" i="10"/>
  <c r="E111" i="10"/>
  <c r="D112" i="10"/>
  <c r="E112" i="10"/>
  <c r="D113" i="10"/>
  <c r="E113" i="10"/>
  <c r="D114" i="10"/>
  <c r="E114" i="10"/>
  <c r="D115" i="10"/>
  <c r="E115" i="10"/>
  <c r="D116" i="10"/>
  <c r="E116" i="10"/>
  <c r="D117" i="10"/>
  <c r="E117" i="10"/>
  <c r="D118" i="10"/>
  <c r="E118" i="10"/>
  <c r="D119" i="10"/>
  <c r="E119" i="10"/>
  <c r="D120" i="10"/>
  <c r="E120" i="10"/>
  <c r="D121" i="10"/>
  <c r="E121" i="10"/>
  <c r="D122" i="10"/>
  <c r="E122" i="10"/>
  <c r="D123" i="10"/>
  <c r="E123" i="10"/>
  <c r="D124" i="10"/>
  <c r="E124" i="10"/>
  <c r="D125" i="10"/>
  <c r="E125" i="10"/>
  <c r="D126" i="10"/>
  <c r="E126" i="10"/>
  <c r="D127" i="10"/>
  <c r="E127" i="10"/>
  <c r="D128" i="10"/>
  <c r="E128" i="10"/>
  <c r="D129" i="10"/>
  <c r="E129" i="10"/>
  <c r="D130" i="10"/>
  <c r="E130" i="10"/>
  <c r="D131" i="10"/>
  <c r="E131" i="10"/>
  <c r="D132" i="10"/>
  <c r="E132" i="10"/>
  <c r="D133" i="10"/>
  <c r="E133" i="10"/>
  <c r="D134" i="10"/>
  <c r="E134" i="10"/>
  <c r="D135" i="10"/>
  <c r="E135" i="10"/>
  <c r="D136" i="10"/>
  <c r="E136" i="10"/>
  <c r="D137" i="10"/>
  <c r="E137" i="10"/>
  <c r="D138" i="10"/>
  <c r="E138" i="10"/>
  <c r="D139" i="10"/>
  <c r="E139" i="10"/>
  <c r="D140" i="10"/>
  <c r="E140" i="10"/>
  <c r="D141" i="10"/>
  <c r="E141" i="10"/>
  <c r="D142" i="10"/>
  <c r="E142" i="10"/>
  <c r="D143" i="10"/>
  <c r="E143" i="10"/>
  <c r="D144" i="10"/>
  <c r="E144" i="10"/>
  <c r="D145" i="10"/>
  <c r="E145" i="10"/>
  <c r="D146" i="10"/>
  <c r="E146" i="10"/>
  <c r="D147" i="10"/>
  <c r="E147" i="10"/>
  <c r="D148" i="10"/>
  <c r="E148" i="10"/>
  <c r="D149" i="10"/>
  <c r="E149" i="10"/>
  <c r="D150" i="10"/>
  <c r="E150" i="10"/>
  <c r="D151" i="10"/>
  <c r="E151" i="10"/>
  <c r="D152" i="10"/>
  <c r="E152" i="10"/>
  <c r="D153" i="10"/>
  <c r="E153" i="10"/>
  <c r="D154" i="10"/>
  <c r="E154" i="10"/>
  <c r="D155" i="10"/>
  <c r="E155" i="10"/>
  <c r="D156" i="10"/>
  <c r="E156" i="10"/>
  <c r="D157" i="10"/>
  <c r="E157" i="10"/>
  <c r="D158" i="10"/>
  <c r="E158" i="10"/>
  <c r="D159" i="10"/>
  <c r="E159" i="10"/>
  <c r="D160" i="10"/>
  <c r="E160" i="10"/>
  <c r="D161" i="10"/>
  <c r="E161" i="10"/>
  <c r="D162" i="10"/>
  <c r="E162" i="10"/>
  <c r="D163" i="10"/>
  <c r="E163" i="10"/>
  <c r="D164" i="10"/>
  <c r="E164" i="10"/>
  <c r="D165" i="10"/>
  <c r="E165" i="10"/>
  <c r="D166" i="10"/>
  <c r="E166" i="10"/>
  <c r="D167" i="10"/>
  <c r="E167" i="10"/>
  <c r="D168" i="10"/>
  <c r="E168" i="10"/>
  <c r="D169" i="10"/>
  <c r="E169" i="10"/>
  <c r="D170" i="10"/>
  <c r="E170" i="10"/>
  <c r="D171" i="10"/>
  <c r="E171" i="10"/>
  <c r="D172" i="10"/>
  <c r="E172" i="10"/>
  <c r="D173" i="10"/>
  <c r="E173" i="10"/>
  <c r="D174" i="10"/>
  <c r="E174" i="10"/>
  <c r="D175" i="10"/>
  <c r="E175" i="10"/>
  <c r="D176" i="10"/>
  <c r="E176" i="10"/>
  <c r="D177" i="10"/>
  <c r="E177" i="10"/>
  <c r="D178" i="10"/>
  <c r="E178" i="10"/>
  <c r="D179" i="10"/>
  <c r="E179" i="10"/>
  <c r="D180" i="10"/>
  <c r="E180" i="10"/>
  <c r="D181" i="10"/>
  <c r="E181" i="10"/>
  <c r="D182" i="10"/>
  <c r="E182" i="10"/>
  <c r="D183" i="10"/>
  <c r="E183" i="10"/>
  <c r="D184" i="10"/>
  <c r="E184" i="10"/>
  <c r="D185" i="10"/>
  <c r="E185" i="10"/>
  <c r="D186" i="10"/>
  <c r="E186" i="10"/>
  <c r="D187" i="10"/>
  <c r="E187" i="10"/>
  <c r="D188" i="10"/>
  <c r="E188" i="10"/>
  <c r="D189" i="10"/>
  <c r="E189" i="10"/>
  <c r="D190" i="10"/>
  <c r="E190" i="10"/>
  <c r="D191" i="10"/>
  <c r="E191" i="10"/>
  <c r="D192" i="10"/>
  <c r="E192" i="10"/>
  <c r="D193" i="10"/>
  <c r="E193" i="10"/>
  <c r="D194" i="10"/>
  <c r="E194" i="10"/>
  <c r="D195" i="10"/>
  <c r="E195" i="10"/>
  <c r="D196" i="10"/>
  <c r="E196" i="10"/>
  <c r="D197" i="10"/>
  <c r="E197" i="10"/>
  <c r="D198" i="10"/>
  <c r="E198" i="10"/>
  <c r="D199" i="10"/>
  <c r="E199" i="10"/>
  <c r="D200" i="10"/>
  <c r="E200" i="10"/>
  <c r="D201" i="10"/>
  <c r="E201" i="10"/>
  <c r="D202" i="10"/>
  <c r="E202" i="10"/>
  <c r="D203" i="10"/>
  <c r="E203" i="10"/>
  <c r="D204" i="10"/>
  <c r="E204" i="10"/>
  <c r="D205" i="10"/>
  <c r="E205" i="10"/>
  <c r="D206" i="10"/>
  <c r="E206" i="10"/>
  <c r="D207" i="10"/>
  <c r="E207" i="10"/>
  <c r="D208" i="10"/>
  <c r="E208" i="10"/>
  <c r="D209" i="10"/>
  <c r="E209" i="10"/>
  <c r="D210" i="10"/>
  <c r="E210" i="10"/>
  <c r="D211" i="10"/>
  <c r="E211" i="10"/>
  <c r="D212" i="10"/>
  <c r="E212" i="10"/>
  <c r="D213" i="10"/>
  <c r="E213" i="10"/>
  <c r="D214" i="10"/>
  <c r="E214" i="10"/>
  <c r="D215" i="10"/>
  <c r="E215" i="10"/>
  <c r="D216" i="10"/>
  <c r="E216" i="10"/>
  <c r="D217" i="10"/>
  <c r="E217" i="10"/>
  <c r="D218" i="10"/>
  <c r="E218" i="10"/>
  <c r="D219" i="10"/>
  <c r="E219" i="10"/>
  <c r="D220" i="10"/>
  <c r="E220" i="10"/>
  <c r="D221" i="10"/>
  <c r="E221" i="10"/>
  <c r="D222" i="10"/>
  <c r="E222" i="10"/>
  <c r="D223" i="10"/>
  <c r="E223" i="10"/>
  <c r="D224" i="10"/>
  <c r="E224" i="10"/>
  <c r="D225" i="10"/>
  <c r="E225" i="10"/>
  <c r="D226" i="10"/>
  <c r="E226" i="10"/>
  <c r="D227" i="10"/>
  <c r="E227" i="10"/>
  <c r="D228" i="10"/>
  <c r="E228" i="10"/>
  <c r="D229" i="10"/>
  <c r="E229" i="10"/>
  <c r="D230" i="10"/>
  <c r="E230" i="10"/>
  <c r="D231" i="10"/>
  <c r="E231" i="10"/>
  <c r="D232" i="10"/>
  <c r="E232" i="10"/>
  <c r="D233" i="10"/>
  <c r="E233" i="10"/>
  <c r="D234" i="10"/>
  <c r="E234" i="10"/>
  <c r="D235" i="10"/>
  <c r="E235" i="10"/>
  <c r="D236" i="10"/>
  <c r="E236" i="10"/>
  <c r="D237" i="10"/>
  <c r="E237" i="10"/>
  <c r="D238" i="10"/>
  <c r="E238" i="10"/>
  <c r="D239" i="10"/>
  <c r="E239" i="10"/>
  <c r="D240" i="10"/>
  <c r="E240" i="10"/>
  <c r="D241" i="10"/>
  <c r="E241" i="10"/>
  <c r="D242" i="10"/>
  <c r="E242" i="10"/>
  <c r="D243" i="10"/>
  <c r="E243" i="10"/>
  <c r="D244" i="10"/>
  <c r="E244" i="10"/>
  <c r="D245" i="10"/>
  <c r="E245" i="10"/>
  <c r="D246" i="10"/>
  <c r="E246" i="10"/>
  <c r="D247" i="10"/>
  <c r="E247" i="10"/>
  <c r="D248" i="10"/>
  <c r="E248" i="10"/>
  <c r="D249" i="10"/>
  <c r="E249" i="10"/>
  <c r="D250" i="10"/>
  <c r="E250" i="10"/>
  <c r="D251" i="10"/>
  <c r="E251" i="10"/>
  <c r="D252" i="10"/>
  <c r="E252" i="10"/>
  <c r="D253" i="10"/>
  <c r="E253" i="10"/>
  <c r="D254" i="10"/>
  <c r="E254" i="10"/>
  <c r="D255" i="10"/>
  <c r="E255" i="10"/>
  <c r="D256" i="10"/>
  <c r="E256" i="10"/>
  <c r="D257" i="10"/>
  <c r="E257" i="10"/>
  <c r="D258" i="10"/>
  <c r="E258" i="10"/>
  <c r="D259" i="10"/>
  <c r="E259" i="10"/>
  <c r="D260" i="10"/>
  <c r="E260" i="10"/>
  <c r="D261" i="10"/>
  <c r="E261" i="10"/>
  <c r="D262" i="10"/>
  <c r="E262" i="10"/>
  <c r="D263" i="10"/>
  <c r="E263" i="10"/>
  <c r="D264" i="10"/>
  <c r="E264" i="10"/>
  <c r="D265" i="10"/>
  <c r="E265" i="10"/>
  <c r="D266" i="10"/>
  <c r="E266" i="10"/>
  <c r="D267" i="10"/>
  <c r="E267" i="10"/>
  <c r="D268" i="10"/>
  <c r="E268" i="10"/>
  <c r="D269" i="10"/>
  <c r="E269" i="10"/>
  <c r="D270" i="10"/>
  <c r="E270" i="10"/>
  <c r="D271" i="10"/>
  <c r="E271" i="10"/>
  <c r="D272" i="10"/>
  <c r="E272" i="10"/>
  <c r="D273" i="10"/>
  <c r="E273" i="10"/>
  <c r="D274" i="10"/>
  <c r="E274" i="10"/>
  <c r="D275" i="10"/>
  <c r="E275" i="10"/>
  <c r="D276" i="10"/>
  <c r="E276" i="10"/>
  <c r="D277" i="10"/>
  <c r="E277" i="10"/>
  <c r="D278" i="10"/>
  <c r="E278" i="10"/>
  <c r="D279" i="10"/>
  <c r="E279" i="10"/>
  <c r="D280" i="10"/>
  <c r="E280" i="10"/>
  <c r="D281" i="10"/>
  <c r="E281" i="10"/>
  <c r="D282" i="10"/>
  <c r="E282" i="10"/>
  <c r="D283" i="10"/>
  <c r="E283" i="10"/>
  <c r="D284" i="10"/>
  <c r="E284" i="10"/>
  <c r="D285" i="10"/>
  <c r="E285" i="10"/>
  <c r="D286" i="10"/>
  <c r="E286" i="10"/>
  <c r="D287" i="10"/>
  <c r="E287" i="10"/>
  <c r="D288" i="10"/>
  <c r="E288" i="10"/>
  <c r="D289" i="10"/>
  <c r="E289" i="10"/>
  <c r="D290" i="10"/>
  <c r="E290" i="10"/>
  <c r="D291" i="10"/>
  <c r="E291" i="10"/>
  <c r="D292" i="10"/>
  <c r="E292" i="10"/>
  <c r="D293" i="10"/>
  <c r="E293" i="10"/>
  <c r="D294" i="10"/>
  <c r="E294" i="10"/>
  <c r="D295" i="10"/>
  <c r="E295" i="10"/>
  <c r="D296" i="10"/>
  <c r="E296" i="10"/>
  <c r="D297" i="10"/>
  <c r="E297" i="10"/>
  <c r="D298" i="10"/>
  <c r="E298" i="10"/>
  <c r="D299" i="10"/>
  <c r="E299" i="10"/>
  <c r="D300" i="10"/>
  <c r="E300" i="10"/>
  <c r="D301" i="10"/>
  <c r="E301" i="10"/>
  <c r="D302" i="10"/>
  <c r="E302" i="10"/>
  <c r="D303" i="10"/>
  <c r="E303" i="10"/>
  <c r="D304" i="10"/>
  <c r="E304" i="10"/>
  <c r="D305" i="10"/>
  <c r="E305" i="10"/>
  <c r="D306" i="10"/>
  <c r="E306" i="10"/>
  <c r="D307" i="10"/>
  <c r="E307" i="10"/>
  <c r="D308" i="10"/>
  <c r="E308" i="10"/>
  <c r="D309" i="10"/>
  <c r="E309" i="10"/>
  <c r="D310" i="10"/>
  <c r="E310" i="10"/>
  <c r="D311" i="10"/>
  <c r="E311" i="10"/>
  <c r="D312" i="10"/>
  <c r="E312" i="10"/>
  <c r="D313" i="10"/>
  <c r="E313" i="10"/>
  <c r="D314" i="10"/>
  <c r="E314" i="10"/>
  <c r="D315" i="10"/>
  <c r="E315" i="10"/>
  <c r="D316" i="10"/>
  <c r="E316" i="10"/>
  <c r="D317" i="10"/>
  <c r="E317" i="10"/>
  <c r="D318" i="10"/>
  <c r="E318" i="10"/>
  <c r="D319" i="10"/>
  <c r="E319" i="10"/>
  <c r="D320" i="10"/>
  <c r="E320" i="10"/>
  <c r="D321" i="10"/>
  <c r="E321" i="10"/>
  <c r="D322" i="10"/>
  <c r="E322" i="10"/>
  <c r="D323" i="10"/>
  <c r="E323" i="10"/>
  <c r="D324" i="10"/>
  <c r="E324" i="10"/>
  <c r="D325" i="10"/>
  <c r="E325" i="10"/>
  <c r="D326" i="10"/>
  <c r="E326" i="10"/>
  <c r="D327" i="10"/>
  <c r="E327" i="10"/>
  <c r="D328" i="10"/>
  <c r="E328" i="10"/>
  <c r="D329" i="10"/>
  <c r="E329" i="10"/>
  <c r="D330" i="10"/>
  <c r="E330" i="10"/>
  <c r="D331" i="10"/>
  <c r="E331" i="10"/>
  <c r="D332" i="10"/>
  <c r="E332" i="10"/>
  <c r="D333" i="10"/>
  <c r="E333" i="10"/>
  <c r="D334" i="10"/>
  <c r="E334" i="10"/>
  <c r="D335" i="10"/>
  <c r="E335" i="10"/>
  <c r="D336" i="10"/>
  <c r="E336" i="10"/>
  <c r="D337" i="10"/>
  <c r="E337" i="10"/>
  <c r="D338" i="10"/>
  <c r="E338" i="10"/>
  <c r="D339" i="10"/>
  <c r="E339" i="10"/>
  <c r="D340" i="10"/>
  <c r="E340" i="10"/>
  <c r="D341" i="10"/>
  <c r="E341" i="10"/>
  <c r="D342" i="10"/>
  <c r="E342" i="10"/>
  <c r="D343" i="10"/>
  <c r="E343" i="10"/>
  <c r="D344" i="10"/>
  <c r="E344" i="10"/>
  <c r="D345" i="10"/>
  <c r="E345" i="10"/>
  <c r="D346" i="10"/>
  <c r="E346" i="10"/>
  <c r="D347" i="10"/>
  <c r="E347" i="10"/>
  <c r="D348" i="10"/>
  <c r="E348" i="10"/>
  <c r="D349" i="10"/>
  <c r="E349" i="10"/>
  <c r="D350" i="10"/>
  <c r="E350" i="10"/>
  <c r="D351" i="10"/>
  <c r="E351" i="10"/>
  <c r="D352" i="10"/>
  <c r="E352" i="10"/>
  <c r="D353" i="10"/>
  <c r="E353" i="10"/>
  <c r="D354" i="10"/>
  <c r="E354" i="10"/>
  <c r="D355" i="10"/>
  <c r="E355" i="10"/>
  <c r="D356" i="10"/>
  <c r="E356" i="10"/>
  <c r="D357" i="10"/>
  <c r="E357" i="10"/>
  <c r="D358" i="10"/>
  <c r="E358" i="10"/>
  <c r="D359" i="10"/>
  <c r="E359" i="10"/>
  <c r="D360" i="10"/>
  <c r="E360" i="10"/>
  <c r="D361" i="10"/>
  <c r="E361" i="10"/>
  <c r="D362" i="10"/>
  <c r="E362" i="10"/>
  <c r="D363" i="10"/>
  <c r="E363" i="10"/>
  <c r="D364" i="10"/>
  <c r="E364" i="10"/>
  <c r="D365" i="10"/>
  <c r="E365" i="10"/>
  <c r="D366" i="10"/>
  <c r="E366" i="10"/>
  <c r="D367" i="10"/>
  <c r="E367" i="10"/>
  <c r="D368" i="10"/>
  <c r="E368" i="10"/>
  <c r="D369" i="10"/>
  <c r="E369" i="10"/>
  <c r="D370" i="10"/>
  <c r="E370" i="10"/>
  <c r="D371" i="10"/>
  <c r="E371" i="10"/>
  <c r="D372" i="10"/>
  <c r="E372" i="10"/>
  <c r="D373" i="10"/>
  <c r="E373" i="10"/>
  <c r="D374" i="10"/>
  <c r="E374" i="10"/>
  <c r="D375" i="10"/>
  <c r="E375" i="10"/>
  <c r="D376" i="10"/>
  <c r="E376" i="10"/>
  <c r="CQ445" i="10"/>
  <c r="CQ446" i="10"/>
  <c r="CQ447" i="10"/>
  <c r="CQ448" i="10"/>
  <c r="CQ449" i="10"/>
  <c r="CQ450" i="10"/>
  <c r="CQ451" i="10"/>
  <c r="CQ452" i="10"/>
  <c r="CQ453" i="10"/>
  <c r="CQ454" i="10"/>
  <c r="CQ455" i="10"/>
  <c r="CQ456" i="10"/>
  <c r="CQ457" i="10"/>
  <c r="CQ458" i="10"/>
  <c r="CQ459" i="10"/>
  <c r="CQ460" i="10"/>
  <c r="CQ461" i="10"/>
  <c r="CQ462" i="10"/>
  <c r="CQ463" i="10"/>
  <c r="CQ464" i="10"/>
  <c r="CQ465" i="10"/>
  <c r="CQ466" i="10"/>
  <c r="CQ467" i="10"/>
  <c r="CQ468" i="10"/>
  <c r="CQ469" i="10"/>
  <c r="CQ470" i="10"/>
  <c r="CQ471" i="10"/>
  <c r="CQ472" i="10"/>
  <c r="CQ473" i="10"/>
  <c r="CQ474" i="10"/>
  <c r="CQ475" i="10"/>
  <c r="CQ476" i="10"/>
  <c r="CQ477" i="10"/>
  <c r="CQ478" i="10"/>
  <c r="CQ479" i="10"/>
  <c r="CQ480" i="10"/>
  <c r="CQ481" i="10"/>
  <c r="CQ482" i="10"/>
  <c r="CQ483" i="10"/>
  <c r="CQ484" i="10"/>
  <c r="CQ485" i="10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W6" i="11"/>
  <c r="W7" i="11"/>
  <c r="W8" i="11"/>
  <c r="W9" i="11"/>
  <c r="W10" i="11"/>
  <c r="W11" i="11"/>
  <c r="W12" i="11"/>
  <c r="W13" i="11"/>
  <c r="W14" i="11"/>
  <c r="W15" i="11"/>
  <c r="W16" i="11"/>
  <c r="W17" i="11"/>
  <c r="W18" i="11"/>
  <c r="W19" i="11"/>
  <c r="W20" i="11"/>
  <c r="W21" i="11"/>
  <c r="W22" i="11"/>
  <c r="W5" i="11"/>
  <c r="G6" i="11"/>
  <c r="T6" i="11" s="1"/>
  <c r="BH40" i="10"/>
  <c r="BH41" i="10"/>
  <c r="BH42" i="10"/>
  <c r="BH43" i="10"/>
  <c r="BH44" i="10"/>
  <c r="BH45" i="10"/>
  <c r="BH46" i="10"/>
  <c r="BH47" i="10"/>
  <c r="BH48" i="10"/>
  <c r="BH49" i="10"/>
  <c r="BH50" i="10"/>
  <c r="BH51" i="10"/>
  <c r="BH52" i="10"/>
  <c r="BH53" i="10"/>
  <c r="BH54" i="10"/>
  <c r="BH55" i="10"/>
  <c r="BH33" i="10"/>
  <c r="BH34" i="10"/>
  <c r="BH35" i="10"/>
  <c r="BH36" i="10"/>
  <c r="BH37" i="10"/>
  <c r="BH38" i="10"/>
  <c r="BH39" i="10"/>
  <c r="BH24" i="10"/>
  <c r="BH25" i="10"/>
  <c r="BH26" i="10"/>
  <c r="BH27" i="10"/>
  <c r="BH28" i="10"/>
  <c r="BH29" i="10"/>
  <c r="BH30" i="10"/>
  <c r="BH31" i="10"/>
  <c r="BH32" i="10"/>
  <c r="BH11" i="10"/>
  <c r="BH12" i="10"/>
  <c r="BH13" i="10"/>
  <c r="BH14" i="10"/>
  <c r="BH15" i="10"/>
  <c r="BH16" i="10"/>
  <c r="BH17" i="10"/>
  <c r="BH18" i="10"/>
  <c r="BH19" i="10"/>
  <c r="BH20" i="10"/>
  <c r="BH21" i="10"/>
  <c r="BH22" i="10"/>
  <c r="BH23" i="10"/>
  <c r="BH7" i="10"/>
  <c r="BH8" i="10"/>
  <c r="BH9" i="10"/>
  <c r="BH10" i="10"/>
  <c r="BH6" i="10"/>
  <c r="BG40" i="10"/>
  <c r="BG41" i="10"/>
  <c r="BG42" i="10"/>
  <c r="BG43" i="10"/>
  <c r="BG44" i="10"/>
  <c r="BG45" i="10"/>
  <c r="BG46" i="10"/>
  <c r="BG47" i="10"/>
  <c r="BG48" i="10"/>
  <c r="BG49" i="10"/>
  <c r="BG50" i="10"/>
  <c r="BG51" i="10"/>
  <c r="BG52" i="10"/>
  <c r="BG53" i="10"/>
  <c r="BG54" i="10"/>
  <c r="BG55" i="10"/>
  <c r="BG7" i="10"/>
  <c r="BG8" i="10"/>
  <c r="BG9" i="10"/>
  <c r="BG10" i="10"/>
  <c r="BG11" i="10"/>
  <c r="BG12" i="10"/>
  <c r="BG13" i="10"/>
  <c r="BG14" i="10"/>
  <c r="BG15" i="10"/>
  <c r="BG16" i="10"/>
  <c r="BG17" i="10"/>
  <c r="BG18" i="10"/>
  <c r="BG19" i="10"/>
  <c r="BG20" i="10"/>
  <c r="BG21" i="10"/>
  <c r="BG22" i="10"/>
  <c r="BG23" i="10"/>
  <c r="BG24" i="10"/>
  <c r="BG25" i="10"/>
  <c r="BG26" i="10"/>
  <c r="BG27" i="10"/>
  <c r="BG28" i="10"/>
  <c r="BG29" i="10"/>
  <c r="BG30" i="10"/>
  <c r="BG31" i="10"/>
  <c r="BG32" i="10"/>
  <c r="BG33" i="10"/>
  <c r="BG34" i="10"/>
  <c r="BG35" i="10"/>
  <c r="BG36" i="10"/>
  <c r="BG37" i="10"/>
  <c r="BG38" i="10"/>
  <c r="BG39" i="10"/>
  <c r="BG6" i="10"/>
  <c r="BF40" i="10"/>
  <c r="BF41" i="10"/>
  <c r="BF42" i="10"/>
  <c r="BF43" i="10"/>
  <c r="BF44" i="10"/>
  <c r="BF45" i="10"/>
  <c r="BF46" i="10"/>
  <c r="BF47" i="10"/>
  <c r="BF48" i="10"/>
  <c r="BF49" i="10"/>
  <c r="BF50" i="10"/>
  <c r="BF51" i="10"/>
  <c r="BF52" i="10"/>
  <c r="BF53" i="10"/>
  <c r="BF54" i="10"/>
  <c r="BF55" i="10"/>
  <c r="BF7" i="10"/>
  <c r="BF8" i="10"/>
  <c r="BF9" i="10"/>
  <c r="BF10" i="10"/>
  <c r="BF11" i="10"/>
  <c r="BF12" i="10"/>
  <c r="BF13" i="10"/>
  <c r="BF14" i="10"/>
  <c r="BF15" i="10"/>
  <c r="BF16" i="10"/>
  <c r="BF17" i="10"/>
  <c r="BF18" i="10"/>
  <c r="BF19" i="10"/>
  <c r="BF20" i="10"/>
  <c r="BF21" i="10"/>
  <c r="BF22" i="10"/>
  <c r="BF23" i="10"/>
  <c r="BF24" i="10"/>
  <c r="BF25" i="10"/>
  <c r="BF26" i="10"/>
  <c r="BF27" i="10"/>
  <c r="BF28" i="10"/>
  <c r="BF29" i="10"/>
  <c r="BF30" i="10"/>
  <c r="BF31" i="10"/>
  <c r="BF32" i="10"/>
  <c r="BF33" i="10"/>
  <c r="BF34" i="10"/>
  <c r="BF35" i="10"/>
  <c r="BF36" i="10"/>
  <c r="BF37" i="10"/>
  <c r="BF38" i="10"/>
  <c r="BF39" i="10"/>
  <c r="BF6" i="10"/>
  <c r="BE40" i="10"/>
  <c r="BE41" i="10"/>
  <c r="BE42" i="10"/>
  <c r="BE43" i="10"/>
  <c r="BE44" i="10"/>
  <c r="BE45" i="10"/>
  <c r="BE46" i="10"/>
  <c r="BE47" i="10"/>
  <c r="BE48" i="10"/>
  <c r="BE49" i="10"/>
  <c r="BE50" i="10"/>
  <c r="BE51" i="10"/>
  <c r="BE52" i="10"/>
  <c r="BE53" i="10"/>
  <c r="BE54" i="10"/>
  <c r="BE55" i="10"/>
  <c r="BE7" i="10"/>
  <c r="BE8" i="10"/>
  <c r="BE9" i="10"/>
  <c r="BE10" i="10"/>
  <c r="BE11" i="10"/>
  <c r="BE12" i="10"/>
  <c r="BE13" i="10"/>
  <c r="BE14" i="10"/>
  <c r="BE15" i="10"/>
  <c r="BE16" i="10"/>
  <c r="BE17" i="10"/>
  <c r="BE18" i="10"/>
  <c r="BE19" i="10"/>
  <c r="BE20" i="10"/>
  <c r="BE21" i="10"/>
  <c r="BE22" i="10"/>
  <c r="BE23" i="10"/>
  <c r="BE24" i="10"/>
  <c r="BE25" i="10"/>
  <c r="BE26" i="10"/>
  <c r="BE27" i="10"/>
  <c r="BE28" i="10"/>
  <c r="BE29" i="10"/>
  <c r="BE30" i="10"/>
  <c r="BE31" i="10"/>
  <c r="BE32" i="10"/>
  <c r="BE33" i="10"/>
  <c r="BE34" i="10"/>
  <c r="BE35" i="10"/>
  <c r="BE36" i="10"/>
  <c r="BE37" i="10"/>
  <c r="BE38" i="10"/>
  <c r="BE39" i="10"/>
  <c r="BE6" i="10"/>
  <c r="BC7" i="10"/>
  <c r="BC8" i="10"/>
  <c r="BC9" i="10"/>
  <c r="BC10" i="10"/>
  <c r="BC11" i="10"/>
  <c r="BC12" i="10"/>
  <c r="BC13" i="10"/>
  <c r="BC14" i="10"/>
  <c r="BC15" i="10"/>
  <c r="BC16" i="10"/>
  <c r="BC17" i="10"/>
  <c r="BC18" i="10"/>
  <c r="BC19" i="10"/>
  <c r="BC20" i="10"/>
  <c r="BC21" i="10"/>
  <c r="BC22" i="10"/>
  <c r="BC23" i="10"/>
  <c r="BC24" i="10"/>
  <c r="BC25" i="10"/>
  <c r="BC26" i="10"/>
  <c r="BC27" i="10"/>
  <c r="BC28" i="10"/>
  <c r="BC29" i="10"/>
  <c r="BC30" i="10"/>
  <c r="BC31" i="10"/>
  <c r="BC32" i="10"/>
  <c r="BC33" i="10"/>
  <c r="BC34" i="10"/>
  <c r="BC35" i="10"/>
  <c r="BC36" i="10"/>
  <c r="BC37" i="10"/>
  <c r="BC38" i="10"/>
  <c r="BC39" i="10"/>
  <c r="BC40" i="10"/>
  <c r="BC41" i="10"/>
  <c r="BC42" i="10"/>
  <c r="BC43" i="10"/>
  <c r="BC44" i="10"/>
  <c r="BC45" i="10"/>
  <c r="BC46" i="10"/>
  <c r="BC47" i="10"/>
  <c r="BC48" i="10"/>
  <c r="BC49" i="10"/>
  <c r="BC50" i="10"/>
  <c r="BC51" i="10"/>
  <c r="BC52" i="10"/>
  <c r="BC53" i="10"/>
  <c r="BC54" i="10"/>
  <c r="BC55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3" i="10"/>
  <c r="BD54" i="10"/>
  <c r="BD55" i="10"/>
  <c r="BD28" i="10"/>
  <c r="BD29" i="10"/>
  <c r="BD30" i="10"/>
  <c r="BD31" i="10"/>
  <c r="BD32" i="10"/>
  <c r="BD33" i="10"/>
  <c r="BD34" i="10"/>
  <c r="BD35" i="10"/>
  <c r="BD36" i="10"/>
  <c r="BD37" i="10"/>
  <c r="BD38" i="10"/>
  <c r="BD39" i="10"/>
  <c r="BD7" i="10"/>
  <c r="BD8" i="10"/>
  <c r="BD9" i="10"/>
  <c r="BD10" i="10"/>
  <c r="BD11" i="10"/>
  <c r="BD12" i="10"/>
  <c r="BD13" i="10"/>
  <c r="BD14" i="10"/>
  <c r="BD15" i="10"/>
  <c r="BD16" i="10"/>
  <c r="BD17" i="10"/>
  <c r="BD18" i="10"/>
  <c r="BD19" i="10"/>
  <c r="BD20" i="10"/>
  <c r="BD21" i="10"/>
  <c r="BD22" i="10"/>
  <c r="BD23" i="10"/>
  <c r="BD24" i="10"/>
  <c r="BD25" i="10"/>
  <c r="BD26" i="10"/>
  <c r="BD27" i="10"/>
  <c r="BD6" i="10"/>
  <c r="BC6" i="10"/>
  <c r="BB40" i="10"/>
  <c r="BB41" i="10"/>
  <c r="BB42" i="10"/>
  <c r="BB43" i="10"/>
  <c r="BB44" i="10"/>
  <c r="BB45" i="10"/>
  <c r="BB46" i="10"/>
  <c r="BB47" i="10"/>
  <c r="BB48" i="10"/>
  <c r="BB49" i="10"/>
  <c r="BB50" i="10"/>
  <c r="BB51" i="10"/>
  <c r="BB52" i="10"/>
  <c r="BB53" i="10"/>
  <c r="BB54" i="10"/>
  <c r="BB55" i="10"/>
  <c r="BB26" i="10"/>
  <c r="BB27" i="10"/>
  <c r="BB28" i="10"/>
  <c r="BB29" i="10"/>
  <c r="BB30" i="10"/>
  <c r="BB31" i="10"/>
  <c r="BB32" i="10"/>
  <c r="BB33" i="10"/>
  <c r="BB34" i="10"/>
  <c r="BB35" i="10"/>
  <c r="BB36" i="10"/>
  <c r="BB37" i="10"/>
  <c r="BB38" i="10"/>
  <c r="BB39" i="10"/>
  <c r="BB7" i="10"/>
  <c r="BB8" i="10"/>
  <c r="BB9" i="10"/>
  <c r="BB10" i="10"/>
  <c r="BB11" i="10"/>
  <c r="BB12" i="10"/>
  <c r="BB13" i="10"/>
  <c r="BB14" i="10"/>
  <c r="BB15" i="10"/>
  <c r="BB16" i="10"/>
  <c r="BB17" i="10"/>
  <c r="BB18" i="10"/>
  <c r="BB19" i="10"/>
  <c r="BB20" i="10"/>
  <c r="BB21" i="10"/>
  <c r="BB22" i="10"/>
  <c r="BB23" i="10"/>
  <c r="BB24" i="10"/>
  <c r="BB25" i="10"/>
  <c r="BB6" i="10"/>
  <c r="BA40" i="10"/>
  <c r="BA41" i="10"/>
  <c r="BA42" i="10"/>
  <c r="BA43" i="10"/>
  <c r="BA44" i="10"/>
  <c r="BA45" i="10"/>
  <c r="BA46" i="10"/>
  <c r="BA47" i="10"/>
  <c r="BA48" i="10"/>
  <c r="BA49" i="10"/>
  <c r="BA50" i="10"/>
  <c r="BA51" i="10"/>
  <c r="BA52" i="10"/>
  <c r="BA53" i="10"/>
  <c r="BA54" i="10"/>
  <c r="BA55" i="10"/>
  <c r="BA14" i="10"/>
  <c r="BA15" i="10"/>
  <c r="BA16" i="10"/>
  <c r="BA17" i="10"/>
  <c r="BA18" i="10"/>
  <c r="BA19" i="10"/>
  <c r="BA20" i="10"/>
  <c r="BA21" i="10"/>
  <c r="BA22" i="10"/>
  <c r="BA23" i="10"/>
  <c r="BA24" i="10"/>
  <c r="BA25" i="10"/>
  <c r="BA26" i="10"/>
  <c r="BA27" i="10"/>
  <c r="BA28" i="10"/>
  <c r="BA29" i="10"/>
  <c r="BA30" i="10"/>
  <c r="BA31" i="10"/>
  <c r="BA32" i="10"/>
  <c r="BA33" i="10"/>
  <c r="BA34" i="10"/>
  <c r="BA35" i="10"/>
  <c r="BA36" i="10"/>
  <c r="BA37" i="10"/>
  <c r="BA38" i="10"/>
  <c r="BA39" i="10"/>
  <c r="BA7" i="10"/>
  <c r="BA8" i="10"/>
  <c r="BA9" i="10"/>
  <c r="BA10" i="10"/>
  <c r="BA11" i="10"/>
  <c r="BA12" i="10"/>
  <c r="BA13" i="10"/>
  <c r="BA6" i="10"/>
  <c r="AZ40" i="10"/>
  <c r="AZ41" i="10"/>
  <c r="AZ42" i="10"/>
  <c r="AZ43" i="10"/>
  <c r="AZ44" i="10"/>
  <c r="AZ45" i="10"/>
  <c r="AZ46" i="10"/>
  <c r="AZ47" i="10"/>
  <c r="AZ48" i="10"/>
  <c r="AZ49" i="10"/>
  <c r="AZ50" i="10"/>
  <c r="AZ51" i="10"/>
  <c r="AZ52" i="10"/>
  <c r="AZ53" i="10"/>
  <c r="AZ54" i="10"/>
  <c r="AZ55" i="10"/>
  <c r="AZ7" i="10"/>
  <c r="AZ8" i="10"/>
  <c r="AZ9" i="10"/>
  <c r="AZ10" i="10"/>
  <c r="AZ11" i="10"/>
  <c r="AZ12" i="10"/>
  <c r="AZ13" i="10"/>
  <c r="AZ14" i="10"/>
  <c r="AZ15" i="10"/>
  <c r="AZ16" i="10"/>
  <c r="AZ17" i="10"/>
  <c r="AZ18" i="10"/>
  <c r="AZ19" i="10"/>
  <c r="AZ20" i="10"/>
  <c r="AZ21" i="10"/>
  <c r="AZ22" i="10"/>
  <c r="AZ23" i="10"/>
  <c r="AZ24" i="10"/>
  <c r="AZ25" i="10"/>
  <c r="AZ26" i="10"/>
  <c r="AZ27" i="10"/>
  <c r="AZ28" i="10"/>
  <c r="AZ29" i="10"/>
  <c r="AZ30" i="10"/>
  <c r="AZ31" i="10"/>
  <c r="AZ32" i="10"/>
  <c r="AZ33" i="10"/>
  <c r="AZ34" i="10"/>
  <c r="AZ35" i="10"/>
  <c r="AZ36" i="10"/>
  <c r="AZ37" i="10"/>
  <c r="AZ38" i="10"/>
  <c r="AZ39" i="10"/>
  <c r="AZ6" i="10"/>
  <c r="AY40" i="10"/>
  <c r="AY41" i="10"/>
  <c r="AY42" i="10"/>
  <c r="AY43" i="10"/>
  <c r="AY44" i="10"/>
  <c r="AY45" i="10"/>
  <c r="AY46" i="10"/>
  <c r="AY47" i="10"/>
  <c r="AY48" i="10"/>
  <c r="AY49" i="10"/>
  <c r="AY50" i="10"/>
  <c r="AY51" i="10"/>
  <c r="AY52" i="10"/>
  <c r="AY53" i="10"/>
  <c r="AY54" i="10"/>
  <c r="AY55" i="10"/>
  <c r="AX40" i="10"/>
  <c r="AX41" i="10"/>
  <c r="AX42" i="10"/>
  <c r="AX43" i="10"/>
  <c r="AX44" i="10"/>
  <c r="AX45" i="10"/>
  <c r="AX46" i="10"/>
  <c r="AX47" i="10"/>
  <c r="AX48" i="10"/>
  <c r="AX49" i="10"/>
  <c r="AX50" i="10"/>
  <c r="AX51" i="10"/>
  <c r="AX52" i="10"/>
  <c r="AX53" i="10"/>
  <c r="AX54" i="10"/>
  <c r="AX55" i="10"/>
  <c r="AY7" i="10"/>
  <c r="AY8" i="10"/>
  <c r="AY9" i="10"/>
  <c r="AY10" i="10"/>
  <c r="AY11" i="10"/>
  <c r="AY12" i="10"/>
  <c r="AY13" i="10"/>
  <c r="AY14" i="10"/>
  <c r="AY15" i="10"/>
  <c r="AY16" i="10"/>
  <c r="AY17" i="10"/>
  <c r="AY18" i="10"/>
  <c r="AY19" i="10"/>
  <c r="AY20" i="10"/>
  <c r="AY21" i="10"/>
  <c r="AY22" i="10"/>
  <c r="AY23" i="10"/>
  <c r="AY24" i="10"/>
  <c r="AY25" i="10"/>
  <c r="AY26" i="10"/>
  <c r="AY27" i="10"/>
  <c r="AY28" i="10"/>
  <c r="AY29" i="10"/>
  <c r="AY30" i="10"/>
  <c r="AY31" i="10"/>
  <c r="AY32" i="10"/>
  <c r="AY33" i="10"/>
  <c r="AY34" i="10"/>
  <c r="AY35" i="10"/>
  <c r="AY36" i="10"/>
  <c r="AY37" i="10"/>
  <c r="AY38" i="10"/>
  <c r="AY39" i="10"/>
  <c r="AY6" i="10"/>
  <c r="AX7" i="10"/>
  <c r="AX8" i="10"/>
  <c r="AX9" i="10"/>
  <c r="AX10" i="10"/>
  <c r="AX11" i="10"/>
  <c r="AX12" i="10"/>
  <c r="AX13" i="10"/>
  <c r="AX14" i="10"/>
  <c r="AX15" i="10"/>
  <c r="AX16" i="10"/>
  <c r="AX17" i="10"/>
  <c r="AX18" i="10"/>
  <c r="AX19" i="10"/>
  <c r="AX20" i="10"/>
  <c r="AX21" i="10"/>
  <c r="AX22" i="10"/>
  <c r="AX23" i="10"/>
  <c r="AX24" i="10"/>
  <c r="AX25" i="10"/>
  <c r="AX26" i="10"/>
  <c r="AX27" i="10"/>
  <c r="AX28" i="10"/>
  <c r="AX29" i="10"/>
  <c r="AX30" i="10"/>
  <c r="AX31" i="10"/>
  <c r="AX32" i="10"/>
  <c r="AX33" i="10"/>
  <c r="AX34" i="10"/>
  <c r="AX35" i="10"/>
  <c r="AX36" i="10"/>
  <c r="AX37" i="10"/>
  <c r="AX38" i="10"/>
  <c r="AX39" i="10"/>
  <c r="AX6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3" i="10"/>
  <c r="AW54" i="10"/>
  <c r="AW55" i="10"/>
  <c r="AW7" i="10"/>
  <c r="AW8" i="10"/>
  <c r="AW9" i="10"/>
  <c r="AW10" i="10"/>
  <c r="AW11" i="10"/>
  <c r="AW12" i="10"/>
  <c r="AW13" i="10"/>
  <c r="AW14" i="10"/>
  <c r="AW15" i="10"/>
  <c r="AW16" i="10"/>
  <c r="AW17" i="10"/>
  <c r="AW18" i="10"/>
  <c r="AW19" i="10"/>
  <c r="AW20" i="10"/>
  <c r="AW21" i="10"/>
  <c r="AW22" i="10"/>
  <c r="AW23" i="10"/>
  <c r="AW24" i="10"/>
  <c r="AW25" i="10"/>
  <c r="AW26" i="10"/>
  <c r="AW27" i="10"/>
  <c r="AW28" i="10"/>
  <c r="AW29" i="10"/>
  <c r="AW30" i="10"/>
  <c r="AW31" i="10"/>
  <c r="AW32" i="10"/>
  <c r="AW33" i="10"/>
  <c r="AW34" i="10"/>
  <c r="AW35" i="10"/>
  <c r="AW36" i="10"/>
  <c r="AW37" i="10"/>
  <c r="AW38" i="10"/>
  <c r="AW39" i="10"/>
  <c r="AW6" i="10"/>
  <c r="AV40" i="10"/>
  <c r="AV41" i="10"/>
  <c r="AV42" i="10"/>
  <c r="AV43" i="10"/>
  <c r="AV44" i="10"/>
  <c r="AV45" i="10"/>
  <c r="AV46" i="10"/>
  <c r="AV47" i="10"/>
  <c r="AV48" i="10"/>
  <c r="AV49" i="10"/>
  <c r="AV50" i="10"/>
  <c r="AV51" i="10"/>
  <c r="AV52" i="10"/>
  <c r="AV53" i="10"/>
  <c r="AV54" i="10"/>
  <c r="AV55" i="10"/>
  <c r="AV33" i="10"/>
  <c r="AV34" i="10"/>
  <c r="AV35" i="10"/>
  <c r="AV36" i="10"/>
  <c r="AV37" i="10"/>
  <c r="AV38" i="10"/>
  <c r="AV39" i="10"/>
  <c r="AV20" i="10"/>
  <c r="AV21" i="10"/>
  <c r="AV22" i="10"/>
  <c r="AV23" i="10"/>
  <c r="AV24" i="10"/>
  <c r="AV25" i="10"/>
  <c r="AV26" i="10"/>
  <c r="AV27" i="10"/>
  <c r="AV28" i="10"/>
  <c r="AV29" i="10"/>
  <c r="AV30" i="10"/>
  <c r="AV31" i="10"/>
  <c r="AV32" i="10"/>
  <c r="AV10" i="10"/>
  <c r="AV11" i="10"/>
  <c r="AV12" i="10"/>
  <c r="AV13" i="10"/>
  <c r="AV14" i="10"/>
  <c r="AV15" i="10"/>
  <c r="AV16" i="10"/>
  <c r="AV17" i="10"/>
  <c r="AV18" i="10"/>
  <c r="AV19" i="10"/>
  <c r="AV7" i="10"/>
  <c r="AV8" i="10"/>
  <c r="AV9" i="10"/>
  <c r="AV6" i="10"/>
  <c r="AU40" i="10"/>
  <c r="AU41" i="10"/>
  <c r="AU42" i="10"/>
  <c r="AU43" i="10"/>
  <c r="AU44" i="10"/>
  <c r="AU45" i="10"/>
  <c r="AU46" i="10"/>
  <c r="AU47" i="10"/>
  <c r="AU48" i="10"/>
  <c r="AU49" i="10"/>
  <c r="AU50" i="10"/>
  <c r="AU51" i="10"/>
  <c r="AU52" i="10"/>
  <c r="AU53" i="10"/>
  <c r="AU54" i="10"/>
  <c r="AU55" i="10"/>
  <c r="AU28" i="10"/>
  <c r="AU29" i="10"/>
  <c r="AU30" i="10"/>
  <c r="AU31" i="10"/>
  <c r="AU32" i="10"/>
  <c r="AU33" i="10"/>
  <c r="AU34" i="10"/>
  <c r="AU35" i="10"/>
  <c r="AU36" i="10"/>
  <c r="AU37" i="10"/>
  <c r="AU38" i="10"/>
  <c r="AU39" i="10"/>
  <c r="AU7" i="10"/>
  <c r="AU8" i="10"/>
  <c r="AU9" i="10"/>
  <c r="AU10" i="10"/>
  <c r="AU11" i="10"/>
  <c r="AU12" i="10"/>
  <c r="AU13" i="10"/>
  <c r="AU14" i="10"/>
  <c r="AU15" i="10"/>
  <c r="AU16" i="10"/>
  <c r="AU17" i="10"/>
  <c r="AU18" i="10"/>
  <c r="AU19" i="10"/>
  <c r="AU20" i="10"/>
  <c r="AU21" i="10"/>
  <c r="AU22" i="10"/>
  <c r="AU23" i="10"/>
  <c r="AU24" i="10"/>
  <c r="AU25" i="10"/>
  <c r="AU26" i="10"/>
  <c r="AU27" i="10"/>
  <c r="AU6" i="10"/>
  <c r="AT9" i="10"/>
  <c r="AT10" i="10"/>
  <c r="AT11" i="10"/>
  <c r="AT12" i="10"/>
  <c r="AT13" i="10"/>
  <c r="AT14" i="10"/>
  <c r="AT15" i="10"/>
  <c r="AT16" i="10"/>
  <c r="AT17" i="10"/>
  <c r="AT18" i="10"/>
  <c r="AT19" i="10"/>
  <c r="AT20" i="10"/>
  <c r="AT21" i="10"/>
  <c r="AT22" i="10"/>
  <c r="AT23" i="10"/>
  <c r="AT24" i="10"/>
  <c r="AT25" i="10"/>
  <c r="AT26" i="10"/>
  <c r="AT27" i="10"/>
  <c r="AT28" i="10"/>
  <c r="AT29" i="10"/>
  <c r="AT30" i="10"/>
  <c r="AT31" i="10"/>
  <c r="AT32" i="10"/>
  <c r="AT33" i="10"/>
  <c r="AT34" i="10"/>
  <c r="AT35" i="10"/>
  <c r="AT36" i="10"/>
  <c r="AT37" i="10"/>
  <c r="AT38" i="10"/>
  <c r="AT39" i="10"/>
  <c r="AT40" i="10"/>
  <c r="AT41" i="10"/>
  <c r="AT42" i="10"/>
  <c r="AT43" i="10"/>
  <c r="AT44" i="10"/>
  <c r="AT45" i="10"/>
  <c r="AT46" i="10"/>
  <c r="AT47" i="10"/>
  <c r="AT48" i="10"/>
  <c r="AT49" i="10"/>
  <c r="AT50" i="10"/>
  <c r="AT51" i="10"/>
  <c r="AT52" i="10"/>
  <c r="AT53" i="10"/>
  <c r="AT54" i="10"/>
  <c r="AT55" i="10"/>
  <c r="AT7" i="10"/>
  <c r="AT8" i="10"/>
  <c r="AT6" i="10"/>
  <c r="AS49" i="10"/>
  <c r="AS50" i="10"/>
  <c r="AS51" i="10"/>
  <c r="AS52" i="10"/>
  <c r="AS53" i="10"/>
  <c r="AS54" i="10"/>
  <c r="AS55" i="10"/>
  <c r="AS16" i="10"/>
  <c r="AS17" i="10"/>
  <c r="AS18" i="10"/>
  <c r="AS19" i="10"/>
  <c r="AS20" i="10"/>
  <c r="AS21" i="10"/>
  <c r="AS22" i="10"/>
  <c r="AS23" i="10"/>
  <c r="AS24" i="10"/>
  <c r="AS25" i="10"/>
  <c r="AS26" i="10"/>
  <c r="AS27" i="10"/>
  <c r="AS28" i="10"/>
  <c r="AS29" i="10"/>
  <c r="AS30" i="10"/>
  <c r="AS31" i="10"/>
  <c r="AS32" i="10"/>
  <c r="AS33" i="10"/>
  <c r="AS34" i="10"/>
  <c r="AS35" i="10"/>
  <c r="AS36" i="10"/>
  <c r="AS37" i="10"/>
  <c r="AS38" i="10"/>
  <c r="AS39" i="10"/>
  <c r="AS40" i="10"/>
  <c r="AS41" i="10"/>
  <c r="AS42" i="10"/>
  <c r="AS43" i="10"/>
  <c r="AS44" i="10"/>
  <c r="AS45" i="10"/>
  <c r="AS46" i="10"/>
  <c r="AS47" i="10"/>
  <c r="AS48" i="10"/>
  <c r="AS7" i="10"/>
  <c r="AS8" i="10"/>
  <c r="AS9" i="10"/>
  <c r="AS10" i="10"/>
  <c r="AS11" i="10"/>
  <c r="AS12" i="10"/>
  <c r="AS13" i="10"/>
  <c r="AS14" i="10"/>
  <c r="AS15" i="10"/>
  <c r="AS6" i="10"/>
  <c r="AR7" i="10"/>
  <c r="AR8" i="10"/>
  <c r="AR9" i="10"/>
  <c r="AR10" i="10"/>
  <c r="AR11" i="10"/>
  <c r="AR12" i="10"/>
  <c r="AR13" i="10"/>
  <c r="AR14" i="10"/>
  <c r="AR15" i="10"/>
  <c r="AR16" i="10"/>
  <c r="AR17" i="10"/>
  <c r="AR18" i="10"/>
  <c r="AR19" i="10"/>
  <c r="AR20" i="10"/>
  <c r="AR21" i="10"/>
  <c r="AR22" i="10"/>
  <c r="AR23" i="10"/>
  <c r="AR24" i="10"/>
  <c r="AR25" i="10"/>
  <c r="AR26" i="10"/>
  <c r="AR27" i="10"/>
  <c r="AR28" i="10"/>
  <c r="AR29" i="10"/>
  <c r="AR30" i="10"/>
  <c r="AR31" i="10"/>
  <c r="AR32" i="10"/>
  <c r="AR33" i="10"/>
  <c r="AR34" i="10"/>
  <c r="AR35" i="10"/>
  <c r="AR36" i="10"/>
  <c r="AR37" i="10"/>
  <c r="AR38" i="10"/>
  <c r="AR39" i="10"/>
  <c r="AR40" i="10"/>
  <c r="AR41" i="10"/>
  <c r="AR42" i="10"/>
  <c r="AR43" i="10"/>
  <c r="AR44" i="10"/>
  <c r="AR45" i="10"/>
  <c r="AR46" i="10"/>
  <c r="AR47" i="10"/>
  <c r="AR48" i="10"/>
  <c r="AR49" i="10"/>
  <c r="AR50" i="10"/>
  <c r="AR51" i="10"/>
  <c r="AR52" i="10"/>
  <c r="AR53" i="10"/>
  <c r="AR54" i="10"/>
  <c r="AR55" i="10"/>
  <c r="AR6" i="10"/>
  <c r="AQ17" i="10"/>
  <c r="X16" i="11"/>
  <c r="Y16" i="11"/>
  <c r="AA16" i="11" s="1"/>
  <c r="AQ18" i="10"/>
  <c r="X17" i="11" s="1"/>
  <c r="Y17" i="11" s="1"/>
  <c r="AA17" i="11" s="1"/>
  <c r="AQ19" i="10"/>
  <c r="X18" i="11" s="1"/>
  <c r="Y18" i="11" s="1"/>
  <c r="AA18" i="11" s="1"/>
  <c r="AQ20" i="10"/>
  <c r="X19" i="11"/>
  <c r="Y19" i="11" s="1"/>
  <c r="AA19" i="11" s="1"/>
  <c r="AQ21" i="10"/>
  <c r="X20" i="11" s="1"/>
  <c r="Y20" i="11" s="1"/>
  <c r="AA20" i="11" s="1"/>
  <c r="AQ22" i="10"/>
  <c r="X21" i="11"/>
  <c r="Y21" i="11" s="1"/>
  <c r="AA21" i="11" s="1"/>
  <c r="AQ23" i="10"/>
  <c r="X22" i="11"/>
  <c r="Y22" i="11" s="1"/>
  <c r="AA22" i="11" s="1"/>
  <c r="AQ24" i="10"/>
  <c r="X23" i="11"/>
  <c r="Y23" i="11" s="1"/>
  <c r="AA23" i="11" s="1"/>
  <c r="AQ25" i="10"/>
  <c r="X24" i="11" s="1"/>
  <c r="Y24" i="11" s="1"/>
  <c r="AA24" i="11" s="1"/>
  <c r="AQ26" i="10"/>
  <c r="X25" i="11"/>
  <c r="Y25" i="11"/>
  <c r="AA25" i="11" s="1"/>
  <c r="AQ27" i="10"/>
  <c r="X26" i="11" s="1"/>
  <c r="Y26" i="11" s="1"/>
  <c r="AA26" i="11" s="1"/>
  <c r="AQ28" i="10"/>
  <c r="X27" i="11" s="1"/>
  <c r="Y27" i="11" s="1"/>
  <c r="AA27" i="11" s="1"/>
  <c r="AQ29" i="10"/>
  <c r="X28" i="11" s="1"/>
  <c r="Y28" i="11" s="1"/>
  <c r="AA28" i="11" s="1"/>
  <c r="AQ30" i="10"/>
  <c r="AQ31" i="10"/>
  <c r="AQ32" i="10"/>
  <c r="AQ33" i="10"/>
  <c r="X32" i="11" s="1"/>
  <c r="Y32" i="11" s="1"/>
  <c r="AA32" i="11" s="1"/>
  <c r="AQ34" i="10"/>
  <c r="AQ35" i="10"/>
  <c r="X34" i="11"/>
  <c r="Y34" i="11" s="1"/>
  <c r="AA34" i="11" s="1"/>
  <c r="AQ36" i="10"/>
  <c r="AQ37" i="10"/>
  <c r="X36" i="11" s="1"/>
  <c r="Y36" i="11" s="1"/>
  <c r="AA36" i="11" s="1"/>
  <c r="AQ38" i="10"/>
  <c r="X37" i="11"/>
  <c r="Y37" i="11" s="1"/>
  <c r="AA37" i="11" s="1"/>
  <c r="AQ39" i="10"/>
  <c r="X38" i="11" s="1"/>
  <c r="Y38" i="11" s="1"/>
  <c r="AA38" i="11" s="1"/>
  <c r="AQ40" i="10"/>
  <c r="X39" i="11" s="1"/>
  <c r="Y39" i="11" s="1"/>
  <c r="AA39" i="11" s="1"/>
  <c r="AQ41" i="10"/>
  <c r="X40" i="11"/>
  <c r="Y40" i="11" s="1"/>
  <c r="AA40" i="11" s="1"/>
  <c r="AQ42" i="10"/>
  <c r="X41" i="11" s="1"/>
  <c r="Y41" i="11" s="1"/>
  <c r="AA41" i="11" s="1"/>
  <c r="AQ43" i="10"/>
  <c r="X42" i="11" s="1"/>
  <c r="Y42" i="11" s="1"/>
  <c r="AA42" i="11" s="1"/>
  <c r="AQ44" i="10"/>
  <c r="X43" i="11"/>
  <c r="Y43" i="11" s="1"/>
  <c r="AA43" i="11" s="1"/>
  <c r="AQ45" i="10"/>
  <c r="X44" i="11" s="1"/>
  <c r="Y44" i="11" s="1"/>
  <c r="AA44" i="11" s="1"/>
  <c r="AQ46" i="10"/>
  <c r="AQ47" i="10"/>
  <c r="AQ48" i="10"/>
  <c r="AQ49" i="10"/>
  <c r="AQ50" i="10"/>
  <c r="AQ51" i="10"/>
  <c r="AQ52" i="10"/>
  <c r="AQ53" i="10"/>
  <c r="AQ54" i="10"/>
  <c r="AQ55" i="10"/>
  <c r="AQ7" i="10"/>
  <c r="AQ8" i="10"/>
  <c r="X7" i="11"/>
  <c r="Y7" i="11" s="1"/>
  <c r="AA7" i="11" s="1"/>
  <c r="AQ9" i="10"/>
  <c r="AQ10" i="10"/>
  <c r="X9" i="11"/>
  <c r="Y9" i="11" s="1"/>
  <c r="AA9" i="11" s="1"/>
  <c r="AQ11" i="10"/>
  <c r="X10" i="11" s="1"/>
  <c r="Y10" i="11" s="1"/>
  <c r="AA10" i="11" s="1"/>
  <c r="AQ12" i="10"/>
  <c r="X11" i="11" s="1"/>
  <c r="Y11" i="11" s="1"/>
  <c r="AA11" i="11" s="1"/>
  <c r="AQ13" i="10"/>
  <c r="X12" i="11"/>
  <c r="Y12" i="11" s="1"/>
  <c r="AA12" i="11" s="1"/>
  <c r="AQ14" i="10"/>
  <c r="X13" i="11" s="1"/>
  <c r="Y13" i="11" s="1"/>
  <c r="AA13" i="11" s="1"/>
  <c r="AQ15" i="10"/>
  <c r="X14" i="11" s="1"/>
  <c r="Y14" i="11" s="1"/>
  <c r="AA14" i="11" s="1"/>
  <c r="AQ16" i="10"/>
  <c r="X15" i="11"/>
  <c r="Y15" i="11" s="1"/>
  <c r="AA15" i="11" s="1"/>
  <c r="AQ6" i="10"/>
  <c r="X5" i="11" s="1"/>
  <c r="Y5" i="11" s="1"/>
  <c r="AA5" i="11" s="1"/>
  <c r="T7" i="11"/>
  <c r="CO261" i="10" s="1"/>
  <c r="T5" i="11"/>
  <c r="T4" i="11"/>
  <c r="B8" i="9"/>
  <c r="U6" i="10"/>
  <c r="BT64" i="10" s="1"/>
  <c r="CQ64" i="10" s="1"/>
  <c r="P6" i="10"/>
  <c r="DA11" i="10"/>
  <c r="BO427" i="10"/>
  <c r="BP427" i="10" s="1"/>
  <c r="BO432" i="10"/>
  <c r="BP432" i="10" s="1"/>
  <c r="BO440" i="10"/>
  <c r="BP440" i="10" s="1"/>
  <c r="BO442" i="10"/>
  <c r="BP442" i="10" s="1"/>
  <c r="BO452" i="10"/>
  <c r="BP452" i="10"/>
  <c r="BO459" i="10"/>
  <c r="BP459" i="10" s="1"/>
  <c r="BO466" i="10"/>
  <c r="BP466" i="10" s="1"/>
  <c r="BO470" i="10"/>
  <c r="BP470" i="10" s="1"/>
  <c r="BO475" i="10"/>
  <c r="BP475" i="10"/>
  <c r="BN480" i="10"/>
  <c r="BQ480" i="10" s="1"/>
  <c r="CJ480" i="10" s="1"/>
  <c r="BN474" i="10"/>
  <c r="BQ474" i="10" s="1"/>
  <c r="CJ474" i="10" s="1"/>
  <c r="BN471" i="10"/>
  <c r="BQ471" i="10"/>
  <c r="CJ471" i="10" s="1"/>
  <c r="BN465" i="10"/>
  <c r="BQ465" i="10"/>
  <c r="CJ465" i="10" s="1"/>
  <c r="BQ464" i="10"/>
  <c r="CJ464" i="10" s="1"/>
  <c r="BN459" i="10"/>
  <c r="BQ459" i="10" s="1"/>
  <c r="CJ459" i="10" s="1"/>
  <c r="BQ456" i="10"/>
  <c r="CJ456" i="10" s="1"/>
  <c r="BN454" i="10"/>
  <c r="BQ454" i="10" s="1"/>
  <c r="CJ454" i="10" s="1"/>
  <c r="BN448" i="10"/>
  <c r="BQ448" i="10" s="1"/>
  <c r="CJ448" i="10" s="1"/>
  <c r="BN443" i="10"/>
  <c r="BN438" i="10"/>
  <c r="BQ438" i="10" s="1"/>
  <c r="CJ438" i="10" s="1"/>
  <c r="BN435" i="10"/>
  <c r="BQ435" i="10" s="1"/>
  <c r="CJ435" i="10" s="1"/>
  <c r="BN433" i="10"/>
  <c r="BN427" i="10"/>
  <c r="BN425" i="10"/>
  <c r="BN423" i="10"/>
  <c r="BN420" i="10"/>
  <c r="BN418" i="10"/>
  <c r="BN416" i="10"/>
  <c r="BN412" i="10"/>
  <c r="BN408" i="10"/>
  <c r="CN408" i="10"/>
  <c r="BN404" i="10"/>
  <c r="CN404" i="10" s="1"/>
  <c r="BN402" i="10"/>
  <c r="CN402" i="10" s="1"/>
  <c r="BN386" i="10"/>
  <c r="CN386" i="10"/>
  <c r="BN374" i="10"/>
  <c r="CN374" i="10"/>
  <c r="BN370" i="10"/>
  <c r="CN370" i="10"/>
  <c r="BN350" i="10"/>
  <c r="CN350" i="10"/>
  <c r="BO339" i="10"/>
  <c r="BP339" i="10"/>
  <c r="BN286" i="10"/>
  <c r="J6" i="10"/>
  <c r="H15" i="12"/>
  <c r="H16" i="12"/>
  <c r="B7" i="12"/>
  <c r="CI424" i="10"/>
  <c r="CI425" i="10"/>
  <c r="CI426" i="10"/>
  <c r="CI427" i="10"/>
  <c r="CI428" i="10"/>
  <c r="CI429" i="10"/>
  <c r="CI430" i="10"/>
  <c r="CI431" i="10"/>
  <c r="CI432" i="10"/>
  <c r="CI433" i="10"/>
  <c r="CI434" i="10"/>
  <c r="CI435" i="10"/>
  <c r="CI436" i="10"/>
  <c r="CI437" i="10"/>
  <c r="CI438" i="10"/>
  <c r="CI439" i="10"/>
  <c r="CI440" i="10"/>
  <c r="CI441" i="10"/>
  <c r="CI442" i="10"/>
  <c r="CI443" i="10"/>
  <c r="CI444" i="10"/>
  <c r="CI445" i="10"/>
  <c r="CI446" i="10"/>
  <c r="CI447" i="10"/>
  <c r="CI448" i="10"/>
  <c r="CI449" i="10"/>
  <c r="CI450" i="10"/>
  <c r="CI451" i="10"/>
  <c r="CI452" i="10"/>
  <c r="CI453" i="10"/>
  <c r="CI454" i="10"/>
  <c r="CI455" i="10"/>
  <c r="CI456" i="10"/>
  <c r="CI457" i="10"/>
  <c r="CI458" i="10"/>
  <c r="CI459" i="10"/>
  <c r="CI460" i="10"/>
  <c r="CI461" i="10"/>
  <c r="CI462" i="10"/>
  <c r="CI463" i="10"/>
  <c r="CI464" i="10"/>
  <c r="CI465" i="10"/>
  <c r="CI466" i="10"/>
  <c r="CI467" i="10"/>
  <c r="CI468" i="10"/>
  <c r="CI469" i="10"/>
  <c r="CI470" i="10"/>
  <c r="CI471" i="10"/>
  <c r="CI472" i="10"/>
  <c r="CI473" i="10"/>
  <c r="CI474" i="10"/>
  <c r="CI475" i="10"/>
  <c r="CI476" i="10"/>
  <c r="CI477" i="10"/>
  <c r="CI478" i="10"/>
  <c r="CI479" i="10"/>
  <c r="CI480" i="10"/>
  <c r="CI481" i="10"/>
  <c r="CI482" i="10"/>
  <c r="CI483" i="10"/>
  <c r="CI484" i="10"/>
  <c r="CI485" i="10"/>
  <c r="CI403" i="10"/>
  <c r="CI404" i="10"/>
  <c r="CI405" i="10"/>
  <c r="CI406" i="10"/>
  <c r="CI407" i="10"/>
  <c r="CI408" i="10"/>
  <c r="CI409" i="10"/>
  <c r="CI410" i="10"/>
  <c r="CI411" i="10"/>
  <c r="CI412" i="10"/>
  <c r="CI413" i="10"/>
  <c r="CI414" i="10"/>
  <c r="CI415" i="10"/>
  <c r="CI416" i="10"/>
  <c r="CI417" i="10"/>
  <c r="CI418" i="10"/>
  <c r="CI419" i="10"/>
  <c r="CI420" i="10"/>
  <c r="CI421" i="10"/>
  <c r="CI422" i="10"/>
  <c r="CI423" i="10"/>
  <c r="CI397" i="10"/>
  <c r="CI398" i="10"/>
  <c r="CI399" i="10"/>
  <c r="CI400" i="10"/>
  <c r="CI401" i="10"/>
  <c r="CI402" i="10"/>
  <c r="H10" i="12"/>
  <c r="CX209" i="10"/>
  <c r="CX208" i="10"/>
  <c r="CX207" i="10"/>
  <c r="CX206" i="10"/>
  <c r="CX205" i="10"/>
  <c r="CX204" i="10"/>
  <c r="CX203" i="10"/>
  <c r="CX202" i="10"/>
  <c r="CX201" i="10"/>
  <c r="CX200" i="10"/>
  <c r="CX199" i="10"/>
  <c r="CX198" i="10"/>
  <c r="CX197" i="10"/>
  <c r="CX196" i="10"/>
  <c r="CX195" i="10"/>
  <c r="CX194" i="10"/>
  <c r="CX193" i="10"/>
  <c r="CX192" i="10"/>
  <c r="CX191" i="10"/>
  <c r="CX190" i="10"/>
  <c r="CX189" i="10"/>
  <c r="CX188" i="10"/>
  <c r="CX187" i="10"/>
  <c r="CX186" i="10"/>
  <c r="CX185" i="10"/>
  <c r="CX184" i="10"/>
  <c r="CX183" i="10"/>
  <c r="CX182" i="10"/>
  <c r="CX181" i="10"/>
  <c r="CX180" i="10"/>
  <c r="CX179" i="10"/>
  <c r="CX178" i="10"/>
  <c r="CX177" i="10"/>
  <c r="CX176" i="10"/>
  <c r="CX175" i="10"/>
  <c r="CX174" i="10"/>
  <c r="CX173" i="10"/>
  <c r="CX172" i="10"/>
  <c r="CX171" i="10"/>
  <c r="CX170" i="10"/>
  <c r="CX169" i="10"/>
  <c r="CX168" i="10"/>
  <c r="CX167" i="10"/>
  <c r="CX166" i="10"/>
  <c r="CX165" i="10"/>
  <c r="CX164" i="10"/>
  <c r="CX163" i="10"/>
  <c r="CX162" i="10"/>
  <c r="CX161" i="10"/>
  <c r="CX160" i="10"/>
  <c r="CX159" i="10"/>
  <c r="CX158" i="10"/>
  <c r="CX157" i="10"/>
  <c r="CX156" i="10"/>
  <c r="CX155" i="10"/>
  <c r="CX154" i="10"/>
  <c r="CX153" i="10"/>
  <c r="CX152" i="10"/>
  <c r="CX151" i="10"/>
  <c r="CX150" i="10"/>
  <c r="CX149" i="10"/>
  <c r="CX148" i="10"/>
  <c r="CX147" i="10"/>
  <c r="CX146" i="10"/>
  <c r="CX145" i="10"/>
  <c r="CX144" i="10"/>
  <c r="CX143" i="10"/>
  <c r="CX142" i="10"/>
  <c r="CX141" i="10"/>
  <c r="CX140" i="10"/>
  <c r="CX139" i="10"/>
  <c r="CX138" i="10"/>
  <c r="CX137" i="10"/>
  <c r="CX136" i="10"/>
  <c r="CX135" i="10"/>
  <c r="CX134" i="10"/>
  <c r="CX133" i="10"/>
  <c r="CX132" i="10"/>
  <c r="CX131" i="10"/>
  <c r="CX130" i="10"/>
  <c r="CX129" i="10"/>
  <c r="CX128" i="10"/>
  <c r="CX127" i="10"/>
  <c r="CX126" i="10"/>
  <c r="CX125" i="10"/>
  <c r="CX124" i="10"/>
  <c r="CX123" i="10"/>
  <c r="CX122" i="10"/>
  <c r="CX121" i="10"/>
  <c r="CX120" i="10"/>
  <c r="CX119" i="10"/>
  <c r="CX118" i="10"/>
  <c r="CX117" i="10"/>
  <c r="CX116" i="10"/>
  <c r="CX115" i="10"/>
  <c r="CX114" i="10"/>
  <c r="CX113" i="10"/>
  <c r="CX112" i="10"/>
  <c r="CX111" i="10"/>
  <c r="CX110" i="10"/>
  <c r="CX109" i="10"/>
  <c r="CX108" i="10"/>
  <c r="CX107" i="10"/>
  <c r="CX106" i="10"/>
  <c r="CX105" i="10"/>
  <c r="CX104" i="10"/>
  <c r="CX103" i="10"/>
  <c r="CX102" i="10"/>
  <c r="CX101" i="10"/>
  <c r="CX100" i="10"/>
  <c r="CX99" i="10"/>
  <c r="CX98" i="10"/>
  <c r="CX97" i="10"/>
  <c r="CX96" i="10"/>
  <c r="CX95" i="10"/>
  <c r="CX94" i="10"/>
  <c r="CX93" i="10"/>
  <c r="CX92" i="10"/>
  <c r="CX91" i="10"/>
  <c r="CX90" i="10"/>
  <c r="CX89" i="10"/>
  <c r="CX88" i="10"/>
  <c r="CX87" i="10"/>
  <c r="CX86" i="10"/>
  <c r="CX85" i="10"/>
  <c r="CX84" i="10"/>
  <c r="CX83" i="10"/>
  <c r="CX82" i="10"/>
  <c r="CX81" i="10"/>
  <c r="CX80" i="10"/>
  <c r="CX79" i="10"/>
  <c r="CX78" i="10"/>
  <c r="CX77" i="10"/>
  <c r="CX76" i="10"/>
  <c r="CX75" i="10"/>
  <c r="CX74" i="10"/>
  <c r="CX73" i="10"/>
  <c r="CX72" i="10"/>
  <c r="CX71" i="10"/>
  <c r="CX70" i="10"/>
  <c r="CX69" i="10"/>
  <c r="CX68" i="10"/>
  <c r="CX67" i="10"/>
  <c r="CX66" i="10"/>
  <c r="CX65" i="10"/>
  <c r="CX64" i="10"/>
  <c r="CX63" i="10"/>
  <c r="CX62" i="10"/>
  <c r="CX61" i="10"/>
  <c r="CX60" i="10"/>
  <c r="CX59" i="10"/>
  <c r="CX58" i="10"/>
  <c r="CX57" i="10"/>
  <c r="CX56" i="10"/>
  <c r="CX55" i="10"/>
  <c r="CX54" i="10"/>
  <c r="CX53" i="10"/>
  <c r="CX52" i="10"/>
  <c r="CX51" i="10"/>
  <c r="CX50" i="10"/>
  <c r="CX49" i="10"/>
  <c r="CX48" i="10"/>
  <c r="CX47" i="10"/>
  <c r="CX46" i="10"/>
  <c r="CX45" i="10"/>
  <c r="CX44" i="10"/>
  <c r="CX43" i="10"/>
  <c r="CX42" i="10"/>
  <c r="CX41" i="10"/>
  <c r="CX40" i="10"/>
  <c r="CX39" i="10"/>
  <c r="CX38" i="10"/>
  <c r="CX37" i="10"/>
  <c r="CX36" i="10"/>
  <c r="CX35" i="10"/>
  <c r="CX34" i="10"/>
  <c r="CX33" i="10"/>
  <c r="CX32" i="10"/>
  <c r="CX31" i="10"/>
  <c r="CX30" i="10"/>
  <c r="CX29" i="10"/>
  <c r="CX28" i="10"/>
  <c r="CX27" i="10"/>
  <c r="CX26" i="10"/>
  <c r="CX25" i="10"/>
  <c r="CX24" i="10"/>
  <c r="CX23" i="10"/>
  <c r="CX22" i="10"/>
  <c r="CX21" i="10"/>
  <c r="CX20" i="10"/>
  <c r="CX19" i="10"/>
  <c r="CX18" i="10"/>
  <c r="CX17" i="10"/>
  <c r="CX16" i="10"/>
  <c r="CX15" i="10"/>
  <c r="CX14" i="10"/>
  <c r="CX13" i="10"/>
  <c r="CX12" i="10"/>
  <c r="CX11" i="10"/>
  <c r="CX10" i="10"/>
  <c r="CW4" i="10"/>
  <c r="N15" i="11"/>
  <c r="E22" i="17"/>
  <c r="B60" i="9"/>
  <c r="B119" i="9" s="1"/>
  <c r="CI300" i="10"/>
  <c r="CI301" i="10"/>
  <c r="CI302" i="10"/>
  <c r="CI303" i="10"/>
  <c r="CI304" i="10"/>
  <c r="CI305" i="10"/>
  <c r="CI306" i="10"/>
  <c r="CI307" i="10"/>
  <c r="CI308" i="10"/>
  <c r="CI309" i="10"/>
  <c r="CI310" i="10"/>
  <c r="CI311" i="10"/>
  <c r="CI312" i="10"/>
  <c r="CI313" i="10"/>
  <c r="CI314" i="10"/>
  <c r="CI315" i="10"/>
  <c r="CI316" i="10"/>
  <c r="CI317" i="10"/>
  <c r="CI318" i="10"/>
  <c r="CI319" i="10"/>
  <c r="CI320" i="10"/>
  <c r="CI321" i="10"/>
  <c r="CI322" i="10"/>
  <c r="CI323" i="10"/>
  <c r="CI324" i="10"/>
  <c r="CI325" i="10"/>
  <c r="CI326" i="10"/>
  <c r="CI327" i="10"/>
  <c r="CI328" i="10"/>
  <c r="CI329" i="10"/>
  <c r="CI330" i="10"/>
  <c r="CI331" i="10"/>
  <c r="CI332" i="10"/>
  <c r="CI333" i="10"/>
  <c r="CI334" i="10"/>
  <c r="CI335" i="10"/>
  <c r="CI336" i="10"/>
  <c r="CI337" i="10"/>
  <c r="CI338" i="10"/>
  <c r="CI339" i="10"/>
  <c r="CI340" i="10"/>
  <c r="CI341" i="10"/>
  <c r="CI342" i="10"/>
  <c r="CI343" i="10"/>
  <c r="CI344" i="10"/>
  <c r="CI345" i="10"/>
  <c r="CI346" i="10"/>
  <c r="CI347" i="10"/>
  <c r="CI348" i="10"/>
  <c r="CI349" i="10"/>
  <c r="CI350" i="10"/>
  <c r="CI351" i="10"/>
  <c r="CI352" i="10"/>
  <c r="CI353" i="10"/>
  <c r="CI354" i="10"/>
  <c r="CI355" i="10"/>
  <c r="CI356" i="10"/>
  <c r="CI357" i="10"/>
  <c r="CI358" i="10"/>
  <c r="CI359" i="10"/>
  <c r="CI360" i="10"/>
  <c r="CI361" i="10"/>
  <c r="CI362" i="10"/>
  <c r="CI363" i="10"/>
  <c r="CI364" i="10"/>
  <c r="CI365" i="10"/>
  <c r="CI366" i="10"/>
  <c r="CI367" i="10"/>
  <c r="CI368" i="10"/>
  <c r="CI369" i="10"/>
  <c r="CI370" i="10"/>
  <c r="CI371" i="10"/>
  <c r="CI372" i="10"/>
  <c r="CI373" i="10"/>
  <c r="CI374" i="10"/>
  <c r="CI375" i="10"/>
  <c r="CI376" i="10"/>
  <c r="CI377" i="10"/>
  <c r="CI378" i="10"/>
  <c r="CI379" i="10"/>
  <c r="CI380" i="10"/>
  <c r="CI381" i="10"/>
  <c r="CI382" i="10"/>
  <c r="CI383" i="10"/>
  <c r="CI384" i="10"/>
  <c r="CI385" i="10"/>
  <c r="CI386" i="10"/>
  <c r="CI387" i="10"/>
  <c r="CI388" i="10"/>
  <c r="CI389" i="10"/>
  <c r="CI390" i="10"/>
  <c r="CI391" i="10"/>
  <c r="CI392" i="10"/>
  <c r="CI393" i="10"/>
  <c r="CI394" i="10"/>
  <c r="CI395" i="10"/>
  <c r="CI396" i="10"/>
  <c r="CI69" i="10"/>
  <c r="CI70" i="10"/>
  <c r="CI71" i="10"/>
  <c r="CI72" i="10"/>
  <c r="CI73" i="10"/>
  <c r="CI74" i="10"/>
  <c r="CI75" i="10"/>
  <c r="CI76" i="10"/>
  <c r="CI77" i="10"/>
  <c r="CI78" i="10"/>
  <c r="CI79" i="10"/>
  <c r="CI80" i="10"/>
  <c r="CI81" i="10"/>
  <c r="CI82" i="10"/>
  <c r="CI83" i="10"/>
  <c r="CI84" i="10"/>
  <c r="CI85" i="10"/>
  <c r="CI86" i="10"/>
  <c r="CI87" i="10"/>
  <c r="CI88" i="10"/>
  <c r="CI89" i="10"/>
  <c r="CI90" i="10"/>
  <c r="CI91" i="10"/>
  <c r="CI92" i="10"/>
  <c r="CI93" i="10"/>
  <c r="CI94" i="10"/>
  <c r="CI95" i="10"/>
  <c r="CI96" i="10"/>
  <c r="CI97" i="10"/>
  <c r="CI98" i="10"/>
  <c r="CI99" i="10"/>
  <c r="CI100" i="10"/>
  <c r="CI101" i="10"/>
  <c r="CI102" i="10"/>
  <c r="CI103" i="10"/>
  <c r="CI104" i="10"/>
  <c r="CI105" i="10"/>
  <c r="CI106" i="10"/>
  <c r="CI107" i="10"/>
  <c r="CI108" i="10"/>
  <c r="CI109" i="10"/>
  <c r="CI110" i="10"/>
  <c r="CI111" i="10"/>
  <c r="CI112" i="10"/>
  <c r="CI113" i="10"/>
  <c r="CI114" i="10"/>
  <c r="CI115" i="10"/>
  <c r="CI116" i="10"/>
  <c r="CI117" i="10"/>
  <c r="CI118" i="10"/>
  <c r="CI119" i="10"/>
  <c r="CI120" i="10"/>
  <c r="CI121" i="10"/>
  <c r="CI122" i="10"/>
  <c r="CI123" i="10"/>
  <c r="CI124" i="10"/>
  <c r="CI125" i="10"/>
  <c r="CI126" i="10"/>
  <c r="CI127" i="10"/>
  <c r="CI128" i="10"/>
  <c r="CI129" i="10"/>
  <c r="CI130" i="10"/>
  <c r="CI131" i="10"/>
  <c r="CI132" i="10"/>
  <c r="CI133" i="10"/>
  <c r="CI134" i="10"/>
  <c r="CI135" i="10"/>
  <c r="CI136" i="10"/>
  <c r="CI137" i="10"/>
  <c r="CI138" i="10"/>
  <c r="CI139" i="10"/>
  <c r="CI140" i="10"/>
  <c r="CI141" i="10"/>
  <c r="CI142" i="10"/>
  <c r="CI143" i="10"/>
  <c r="CI144" i="10"/>
  <c r="CI145" i="10"/>
  <c r="CI146" i="10"/>
  <c r="CI147" i="10"/>
  <c r="CI148" i="10"/>
  <c r="CI149" i="10"/>
  <c r="CI150" i="10"/>
  <c r="CI151" i="10"/>
  <c r="CI152" i="10"/>
  <c r="CI153" i="10"/>
  <c r="CI154" i="10"/>
  <c r="CI155" i="10"/>
  <c r="CI156" i="10"/>
  <c r="CI157" i="10"/>
  <c r="CI158" i="10"/>
  <c r="CI159" i="10"/>
  <c r="CI160" i="10"/>
  <c r="CI161" i="10"/>
  <c r="CI162" i="10"/>
  <c r="CI163" i="10"/>
  <c r="CI164" i="10"/>
  <c r="CI165" i="10"/>
  <c r="CI166" i="10"/>
  <c r="CI167" i="10"/>
  <c r="CI168" i="10"/>
  <c r="CI169" i="10"/>
  <c r="CI170" i="10"/>
  <c r="CI171" i="10"/>
  <c r="CI172" i="10"/>
  <c r="CI173" i="10"/>
  <c r="CI174" i="10"/>
  <c r="CI175" i="10"/>
  <c r="CI176" i="10"/>
  <c r="CI177" i="10"/>
  <c r="CI178" i="10"/>
  <c r="CI179" i="10"/>
  <c r="CI180" i="10"/>
  <c r="CI181" i="10"/>
  <c r="CI182" i="10"/>
  <c r="CI183" i="10"/>
  <c r="CI184" i="10"/>
  <c r="CI185" i="10"/>
  <c r="CI186" i="10"/>
  <c r="CI187" i="10"/>
  <c r="CI188" i="10"/>
  <c r="CI189" i="10"/>
  <c r="CI190" i="10"/>
  <c r="CI191" i="10"/>
  <c r="CI192" i="10"/>
  <c r="CI193" i="10"/>
  <c r="CI194" i="10"/>
  <c r="CI195" i="10"/>
  <c r="CI196" i="10"/>
  <c r="CI197" i="10"/>
  <c r="CI198" i="10"/>
  <c r="CI199" i="10"/>
  <c r="CI200" i="10"/>
  <c r="CI201" i="10"/>
  <c r="CI202" i="10"/>
  <c r="CI203" i="10"/>
  <c r="CI204" i="10"/>
  <c r="CI205" i="10"/>
  <c r="CI206" i="10"/>
  <c r="CI207" i="10"/>
  <c r="CI208" i="10"/>
  <c r="CI209" i="10"/>
  <c r="CI210" i="10"/>
  <c r="CI211" i="10"/>
  <c r="CI212" i="10"/>
  <c r="CI213" i="10"/>
  <c r="CI214" i="10"/>
  <c r="CI215" i="10"/>
  <c r="CI216" i="10"/>
  <c r="CI217" i="10"/>
  <c r="CI218" i="10"/>
  <c r="CI219" i="10"/>
  <c r="CI220" i="10"/>
  <c r="CI221" i="10"/>
  <c r="CI222" i="10"/>
  <c r="CI223" i="10"/>
  <c r="CI224" i="10"/>
  <c r="CI225" i="10"/>
  <c r="CI226" i="10"/>
  <c r="CI227" i="10"/>
  <c r="CI228" i="10"/>
  <c r="CI229" i="10"/>
  <c r="CI230" i="10"/>
  <c r="CI231" i="10"/>
  <c r="CI232" i="10"/>
  <c r="CI233" i="10"/>
  <c r="CI234" i="10"/>
  <c r="CI235" i="10"/>
  <c r="CI236" i="10"/>
  <c r="CI237" i="10"/>
  <c r="CI238" i="10"/>
  <c r="CI239" i="10"/>
  <c r="CI240" i="10"/>
  <c r="CI241" i="10"/>
  <c r="CI242" i="10"/>
  <c r="CI243" i="10"/>
  <c r="CI244" i="10"/>
  <c r="CI245" i="10"/>
  <c r="CI246" i="10"/>
  <c r="CI247" i="10"/>
  <c r="CI248" i="10"/>
  <c r="CI249" i="10"/>
  <c r="CI250" i="10"/>
  <c r="CI251" i="10"/>
  <c r="CI252" i="10"/>
  <c r="CI253" i="10"/>
  <c r="CI254" i="10"/>
  <c r="CI255" i="10"/>
  <c r="CI256" i="10"/>
  <c r="CI257" i="10"/>
  <c r="CI258" i="10"/>
  <c r="CI259" i="10"/>
  <c r="CI260" i="10"/>
  <c r="CI261" i="10"/>
  <c r="CI262" i="10"/>
  <c r="CI263" i="10"/>
  <c r="CI264" i="10"/>
  <c r="CI265" i="10"/>
  <c r="CI266" i="10"/>
  <c r="CI267" i="10"/>
  <c r="CI268" i="10"/>
  <c r="CI269" i="10"/>
  <c r="CI270" i="10"/>
  <c r="CI271" i="10"/>
  <c r="CI272" i="10"/>
  <c r="CI273" i="10"/>
  <c r="CI274" i="10"/>
  <c r="CI275" i="10"/>
  <c r="CI276" i="10"/>
  <c r="CI277" i="10"/>
  <c r="CI278" i="10"/>
  <c r="CI279" i="10"/>
  <c r="CI280" i="10"/>
  <c r="CI281" i="10"/>
  <c r="CI282" i="10"/>
  <c r="CI283" i="10"/>
  <c r="CI284" i="10"/>
  <c r="CI285" i="10"/>
  <c r="CI286" i="10"/>
  <c r="CI287" i="10"/>
  <c r="CI288" i="10"/>
  <c r="CI289" i="10"/>
  <c r="CI290" i="10"/>
  <c r="CI291" i="10"/>
  <c r="CI292" i="10"/>
  <c r="CI293" i="10"/>
  <c r="CI294" i="10"/>
  <c r="CI295" i="10"/>
  <c r="CI296" i="10"/>
  <c r="CI297" i="10"/>
  <c r="CI298" i="10"/>
  <c r="CI299" i="10"/>
  <c r="E6" i="10"/>
  <c r="D6" i="10"/>
  <c r="DA8" i="10" s="1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6" i="13"/>
  <c r="S117" i="9"/>
  <c r="N16" i="11"/>
  <c r="N17" i="11"/>
  <c r="T13" i="11"/>
  <c r="CQ7" i="10"/>
  <c r="CQ8" i="10"/>
  <c r="CQ9" i="10"/>
  <c r="CQ10" i="10"/>
  <c r="CQ11" i="10"/>
  <c r="CQ12" i="10"/>
  <c r="CQ13" i="10"/>
  <c r="CQ14" i="10"/>
  <c r="CQ15" i="10"/>
  <c r="CQ16" i="10"/>
  <c r="CQ17" i="10"/>
  <c r="CQ18" i="10"/>
  <c r="CQ19" i="10"/>
  <c r="CQ20" i="10"/>
  <c r="CQ21" i="10"/>
  <c r="CQ22" i="10"/>
  <c r="CQ23" i="10"/>
  <c r="CQ24" i="10"/>
  <c r="CQ25" i="10"/>
  <c r="CQ26" i="10"/>
  <c r="CQ27" i="10"/>
  <c r="CQ28" i="10"/>
  <c r="CQ29" i="10"/>
  <c r="CQ30" i="10"/>
  <c r="CQ31" i="10"/>
  <c r="CQ32" i="10"/>
  <c r="CQ33" i="10"/>
  <c r="CQ34" i="10"/>
  <c r="CQ35" i="10"/>
  <c r="CQ36" i="10"/>
  <c r="CQ37" i="10"/>
  <c r="CQ38" i="10"/>
  <c r="CQ39" i="10"/>
  <c r="CQ40" i="10"/>
  <c r="CQ41" i="10"/>
  <c r="CQ42" i="10"/>
  <c r="CQ43" i="10"/>
  <c r="CQ44" i="10"/>
  <c r="CQ45" i="10"/>
  <c r="CQ46" i="10"/>
  <c r="CQ47" i="10"/>
  <c r="CQ48" i="10"/>
  <c r="CQ49" i="10"/>
  <c r="CQ50" i="10"/>
  <c r="CQ51" i="10"/>
  <c r="CQ52" i="10"/>
  <c r="CQ53" i="10"/>
  <c r="CQ54" i="10"/>
  <c r="CQ55" i="10"/>
  <c r="CQ56" i="10"/>
  <c r="CQ57" i="10"/>
  <c r="CQ58" i="10"/>
  <c r="CQ59" i="10"/>
  <c r="CQ60" i="10"/>
  <c r="CQ61" i="10"/>
  <c r="CQ62" i="10"/>
  <c r="CQ63" i="10"/>
  <c r="CQ6" i="10"/>
  <c r="CN7" i="10"/>
  <c r="CN8" i="10"/>
  <c r="CN9" i="10"/>
  <c r="CN10" i="10"/>
  <c r="CN11" i="10"/>
  <c r="CN12" i="10"/>
  <c r="CN13" i="10"/>
  <c r="CN14" i="10"/>
  <c r="CN15" i="10"/>
  <c r="CN16" i="10"/>
  <c r="CN17" i="10"/>
  <c r="CN18" i="10"/>
  <c r="CN19" i="10"/>
  <c r="CN20" i="10"/>
  <c r="CN21" i="10"/>
  <c r="CN22" i="10"/>
  <c r="CN23" i="10"/>
  <c r="CN24" i="10"/>
  <c r="CN25" i="10"/>
  <c r="CN26" i="10"/>
  <c r="CN27" i="10"/>
  <c r="CN28" i="10"/>
  <c r="CN29" i="10"/>
  <c r="CN30" i="10"/>
  <c r="CN31" i="10"/>
  <c r="CN32" i="10"/>
  <c r="CN33" i="10"/>
  <c r="CN34" i="10"/>
  <c r="CN35" i="10"/>
  <c r="CN36" i="10"/>
  <c r="CN37" i="10"/>
  <c r="CN38" i="10"/>
  <c r="CN39" i="10"/>
  <c r="CN40" i="10"/>
  <c r="CN41" i="10"/>
  <c r="CN42" i="10"/>
  <c r="CN43" i="10"/>
  <c r="CN44" i="10"/>
  <c r="CN45" i="10"/>
  <c r="CN46" i="10"/>
  <c r="CN47" i="10"/>
  <c r="CN48" i="10"/>
  <c r="CN49" i="10"/>
  <c r="CN50" i="10"/>
  <c r="CN51" i="10"/>
  <c r="CN52" i="10"/>
  <c r="CN53" i="10"/>
  <c r="CN54" i="10"/>
  <c r="CN55" i="10"/>
  <c r="CN56" i="10"/>
  <c r="CN57" i="10"/>
  <c r="CN58" i="10"/>
  <c r="CN59" i="10"/>
  <c r="CN60" i="10"/>
  <c r="CN61" i="10"/>
  <c r="CN62" i="10"/>
  <c r="CN63" i="10"/>
  <c r="CN64" i="10"/>
  <c r="CN6" i="10"/>
  <c r="CG65" i="10"/>
  <c r="CG66" i="10"/>
  <c r="CI68" i="10"/>
  <c r="CI67" i="10"/>
  <c r="CI66" i="10"/>
  <c r="CI65" i="10"/>
  <c r="CI63" i="10"/>
  <c r="CI62" i="10"/>
  <c r="CI61" i="10"/>
  <c r="CI60" i="10"/>
  <c r="CI59" i="10"/>
  <c r="CI58" i="10"/>
  <c r="CI57" i="10"/>
  <c r="CI56" i="10"/>
  <c r="CI55" i="10"/>
  <c r="CI54" i="10"/>
  <c r="CI53" i="10"/>
  <c r="CI52" i="10"/>
  <c r="CI51" i="10"/>
  <c r="CI50" i="10"/>
  <c r="CI49" i="10"/>
  <c r="CI48" i="10"/>
  <c r="CI47" i="10"/>
  <c r="CI46" i="10"/>
  <c r="CI45" i="10"/>
  <c r="CI44" i="10"/>
  <c r="CI43" i="10"/>
  <c r="CI42" i="10"/>
  <c r="CI41" i="10"/>
  <c r="CI40" i="10"/>
  <c r="CI39" i="10"/>
  <c r="CI38" i="10"/>
  <c r="CI37" i="10"/>
  <c r="CI36" i="10"/>
  <c r="CI35" i="10"/>
  <c r="CI34" i="10"/>
  <c r="CI33" i="10"/>
  <c r="CI32" i="10"/>
  <c r="CI31" i="10"/>
  <c r="CI30" i="10"/>
  <c r="CI29" i="10"/>
  <c r="CI28" i="10"/>
  <c r="CI27" i="10"/>
  <c r="CI26" i="10"/>
  <c r="CI25" i="10"/>
  <c r="CI24" i="10"/>
  <c r="CI23" i="10"/>
  <c r="CI22" i="10"/>
  <c r="CI21" i="10"/>
  <c r="CI20" i="10"/>
  <c r="CI19" i="10"/>
  <c r="CI18" i="10"/>
  <c r="CI17" i="10"/>
  <c r="CI16" i="10"/>
  <c r="CI15" i="10"/>
  <c r="CI14" i="10"/>
  <c r="CI13" i="10"/>
  <c r="CI12" i="10"/>
  <c r="CI11" i="10"/>
  <c r="CI10" i="10"/>
  <c r="CI9" i="10"/>
  <c r="CI8" i="10"/>
  <c r="CI7" i="10"/>
  <c r="CI6" i="10"/>
  <c r="BP65" i="10"/>
  <c r="BP66" i="10"/>
  <c r="BP67" i="10"/>
  <c r="BP68" i="10"/>
  <c r="BP69" i="10"/>
  <c r="BP70" i="10"/>
  <c r="BP71" i="10"/>
  <c r="BP72" i="10"/>
  <c r="BP73" i="10"/>
  <c r="BP74" i="10"/>
  <c r="BP75" i="10"/>
  <c r="BP76" i="10"/>
  <c r="BP77" i="10"/>
  <c r="BP78" i="10"/>
  <c r="BP79" i="10"/>
  <c r="BP80" i="10"/>
  <c r="BP81" i="10"/>
  <c r="BP82" i="10"/>
  <c r="BP83" i="10"/>
  <c r="BP84" i="10"/>
  <c r="BP85" i="10"/>
  <c r="BP86" i="10"/>
  <c r="BP87" i="10"/>
  <c r="BP88" i="10"/>
  <c r="BP89" i="10"/>
  <c r="BP90" i="10"/>
  <c r="BP91" i="10"/>
  <c r="BP92" i="10"/>
  <c r="BP93" i="10"/>
  <c r="BP94" i="10"/>
  <c r="BP95" i="10"/>
  <c r="BP96" i="10"/>
  <c r="BP97" i="10"/>
  <c r="BP98" i="10"/>
  <c r="BP99" i="10"/>
  <c r="BP100" i="10"/>
  <c r="BP101" i="10"/>
  <c r="BP102" i="10"/>
  <c r="BP103" i="10"/>
  <c r="BP104" i="10"/>
  <c r="BP105" i="10"/>
  <c r="BP106" i="10"/>
  <c r="BP107" i="10"/>
  <c r="BP108" i="10"/>
  <c r="BP109" i="10"/>
  <c r="BP110" i="10"/>
  <c r="BP111" i="10"/>
  <c r="BP112" i="10"/>
  <c r="BP113" i="10"/>
  <c r="BP114" i="10"/>
  <c r="BP115" i="10"/>
  <c r="BP116" i="10"/>
  <c r="BP117" i="10"/>
  <c r="BP118" i="10"/>
  <c r="BP119" i="10"/>
  <c r="BP120" i="10"/>
  <c r="BP121" i="10"/>
  <c r="BP122" i="10"/>
  <c r="BP123" i="10"/>
  <c r="BP124" i="10"/>
  <c r="BP125" i="10"/>
  <c r="BP126" i="10"/>
  <c r="BP127" i="10"/>
  <c r="BP128" i="10"/>
  <c r="BP129" i="10"/>
  <c r="BP130" i="10"/>
  <c r="BP131" i="10"/>
  <c r="BP132" i="10"/>
  <c r="BP133" i="10"/>
  <c r="BP134" i="10"/>
  <c r="BP135" i="10"/>
  <c r="BP136" i="10"/>
  <c r="BP137" i="10"/>
  <c r="BP138" i="10"/>
  <c r="BP139" i="10"/>
  <c r="BP140" i="10"/>
  <c r="BP141" i="10"/>
  <c r="BP142" i="10"/>
  <c r="BP143" i="10"/>
  <c r="BP144" i="10"/>
  <c r="BP145" i="10"/>
  <c r="BP146" i="10"/>
  <c r="BP147" i="10"/>
  <c r="BP148" i="10"/>
  <c r="BP149" i="10"/>
  <c r="BP150" i="10"/>
  <c r="BP151" i="10"/>
  <c r="BP152" i="10"/>
  <c r="BP153" i="10"/>
  <c r="BP154" i="10"/>
  <c r="BP155" i="10"/>
  <c r="BP156" i="10"/>
  <c r="BP157" i="10"/>
  <c r="BP158" i="10"/>
  <c r="BP159" i="10"/>
  <c r="BP160" i="10"/>
  <c r="BP161" i="10"/>
  <c r="BP162" i="10"/>
  <c r="BP163" i="10"/>
  <c r="BP164" i="10"/>
  <c r="BP165" i="10"/>
  <c r="BP166" i="10"/>
  <c r="BP167" i="10"/>
  <c r="BP168" i="10"/>
  <c r="BP169" i="10"/>
  <c r="BP170" i="10"/>
  <c r="BP171" i="10"/>
  <c r="BP172" i="10"/>
  <c r="BP173" i="10"/>
  <c r="BP174" i="10"/>
  <c r="BP175" i="10"/>
  <c r="BP176" i="10"/>
  <c r="BP177" i="10"/>
  <c r="BP178" i="10"/>
  <c r="BP179" i="10"/>
  <c r="BP180" i="10"/>
  <c r="BP181" i="10"/>
  <c r="BP182" i="10"/>
  <c r="BP183" i="10"/>
  <c r="BP184" i="10"/>
  <c r="BP185" i="10"/>
  <c r="BP186" i="10"/>
  <c r="BP187" i="10"/>
  <c r="BP188" i="10"/>
  <c r="BP189" i="10"/>
  <c r="BP190" i="10"/>
  <c r="BP191" i="10"/>
  <c r="BP192" i="10"/>
  <c r="BP193" i="10"/>
  <c r="BP194" i="10"/>
  <c r="BP195" i="10"/>
  <c r="BP196" i="10"/>
  <c r="BP197" i="10"/>
  <c r="BP198" i="10"/>
  <c r="BP199" i="10"/>
  <c r="BP200" i="10"/>
  <c r="BP201" i="10"/>
  <c r="BP202" i="10"/>
  <c r="BP203" i="10"/>
  <c r="BP204" i="10"/>
  <c r="BP205" i="10"/>
  <c r="BP206" i="10"/>
  <c r="BP207" i="10"/>
  <c r="BP208" i="10"/>
  <c r="BP209" i="10"/>
  <c r="BP210" i="10"/>
  <c r="BP211" i="10"/>
  <c r="BP212" i="10"/>
  <c r="BP213" i="10"/>
  <c r="BP214" i="10"/>
  <c r="BP215" i="10"/>
  <c r="BP216" i="10"/>
  <c r="BP217" i="10"/>
  <c r="BP218" i="10"/>
  <c r="BP219" i="10"/>
  <c r="BP220" i="10"/>
  <c r="BP221" i="10"/>
  <c r="BP222" i="10"/>
  <c r="BP223" i="10"/>
  <c r="BP224" i="10"/>
  <c r="BP225" i="10"/>
  <c r="BP6" i="10"/>
  <c r="BP17" i="10"/>
  <c r="BN65" i="10"/>
  <c r="CN65" i="10"/>
  <c r="D8" i="9"/>
  <c r="U131" i="9"/>
  <c r="V131" i="9"/>
  <c r="W131" i="9"/>
  <c r="X131" i="9"/>
  <c r="U132" i="9"/>
  <c r="V132" i="9"/>
  <c r="W132" i="9"/>
  <c r="X132" i="9"/>
  <c r="U133" i="9"/>
  <c r="V133" i="9"/>
  <c r="W133" i="9"/>
  <c r="X133" i="9"/>
  <c r="U134" i="9"/>
  <c r="V134" i="9"/>
  <c r="W134" i="9"/>
  <c r="X134" i="9"/>
  <c r="U135" i="9"/>
  <c r="V135" i="9"/>
  <c r="W135" i="9"/>
  <c r="X135" i="9"/>
  <c r="U136" i="9"/>
  <c r="V136" i="9"/>
  <c r="W136" i="9"/>
  <c r="X136" i="9"/>
  <c r="U137" i="9"/>
  <c r="V137" i="9"/>
  <c r="W137" i="9"/>
  <c r="X137" i="9"/>
  <c r="U138" i="9"/>
  <c r="V138" i="9"/>
  <c r="W138" i="9"/>
  <c r="X138" i="9"/>
  <c r="U139" i="9"/>
  <c r="V139" i="9"/>
  <c r="W139" i="9"/>
  <c r="X139" i="9"/>
  <c r="U140" i="9"/>
  <c r="V140" i="9"/>
  <c r="W140" i="9"/>
  <c r="X140" i="9"/>
  <c r="U141" i="9"/>
  <c r="V141" i="9"/>
  <c r="W141" i="9"/>
  <c r="X141" i="9"/>
  <c r="U142" i="9"/>
  <c r="V142" i="9"/>
  <c r="W142" i="9"/>
  <c r="X142" i="9"/>
  <c r="U143" i="9"/>
  <c r="V143" i="9"/>
  <c r="W143" i="9"/>
  <c r="X143" i="9"/>
  <c r="U144" i="9"/>
  <c r="V144" i="9"/>
  <c r="W144" i="9"/>
  <c r="X144" i="9"/>
  <c r="U145" i="9"/>
  <c r="V145" i="9"/>
  <c r="W145" i="9"/>
  <c r="X145" i="9"/>
  <c r="U146" i="9"/>
  <c r="V146" i="9"/>
  <c r="W146" i="9"/>
  <c r="X146" i="9"/>
  <c r="U147" i="9"/>
  <c r="V147" i="9"/>
  <c r="W147" i="9"/>
  <c r="X147" i="9"/>
  <c r="U148" i="9"/>
  <c r="V148" i="9"/>
  <c r="W148" i="9"/>
  <c r="X148" i="9"/>
  <c r="X130" i="9"/>
  <c r="W130" i="9"/>
  <c r="V130" i="9"/>
  <c r="U130" i="9"/>
  <c r="U72" i="9"/>
  <c r="V72" i="9"/>
  <c r="W72" i="9"/>
  <c r="X72" i="9"/>
  <c r="U73" i="9"/>
  <c r="V73" i="9"/>
  <c r="W73" i="9"/>
  <c r="X73" i="9"/>
  <c r="U74" i="9"/>
  <c r="V74" i="9"/>
  <c r="W74" i="9"/>
  <c r="X74" i="9"/>
  <c r="U75" i="9"/>
  <c r="V75" i="9"/>
  <c r="W75" i="9"/>
  <c r="X75" i="9"/>
  <c r="U76" i="9"/>
  <c r="V76" i="9"/>
  <c r="W76" i="9"/>
  <c r="X76" i="9"/>
  <c r="U77" i="9"/>
  <c r="V77" i="9"/>
  <c r="W77" i="9"/>
  <c r="X77" i="9"/>
  <c r="U78" i="9"/>
  <c r="V78" i="9"/>
  <c r="W78" i="9"/>
  <c r="X78" i="9"/>
  <c r="U79" i="9"/>
  <c r="V79" i="9"/>
  <c r="W79" i="9"/>
  <c r="X79" i="9"/>
  <c r="U80" i="9"/>
  <c r="V80" i="9"/>
  <c r="W80" i="9"/>
  <c r="X80" i="9"/>
  <c r="U81" i="9"/>
  <c r="V81" i="9"/>
  <c r="W81" i="9"/>
  <c r="X81" i="9"/>
  <c r="U82" i="9"/>
  <c r="V82" i="9"/>
  <c r="W82" i="9"/>
  <c r="X82" i="9"/>
  <c r="U83" i="9"/>
  <c r="V83" i="9"/>
  <c r="W83" i="9"/>
  <c r="X83" i="9"/>
  <c r="U84" i="9"/>
  <c r="V84" i="9"/>
  <c r="W84" i="9"/>
  <c r="X84" i="9"/>
  <c r="U85" i="9"/>
  <c r="V85" i="9"/>
  <c r="W85" i="9"/>
  <c r="X85" i="9"/>
  <c r="U86" i="9"/>
  <c r="V86" i="9"/>
  <c r="W86" i="9"/>
  <c r="X86" i="9"/>
  <c r="U87" i="9"/>
  <c r="V87" i="9"/>
  <c r="W87" i="9"/>
  <c r="X87" i="9"/>
  <c r="U88" i="9"/>
  <c r="V88" i="9"/>
  <c r="W88" i="9"/>
  <c r="X88" i="9"/>
  <c r="U89" i="9"/>
  <c r="V89" i="9"/>
  <c r="W89" i="9"/>
  <c r="X89" i="9"/>
  <c r="U90" i="9"/>
  <c r="V90" i="9"/>
  <c r="W90" i="9"/>
  <c r="X90" i="9"/>
  <c r="U91" i="9"/>
  <c r="V91" i="9"/>
  <c r="W91" i="9"/>
  <c r="X91" i="9"/>
  <c r="U92" i="9"/>
  <c r="V92" i="9"/>
  <c r="W92" i="9"/>
  <c r="X92" i="9"/>
  <c r="U93" i="9"/>
  <c r="V93" i="9"/>
  <c r="W93" i="9"/>
  <c r="X93" i="9"/>
  <c r="U94" i="9"/>
  <c r="V94" i="9"/>
  <c r="W94" i="9"/>
  <c r="X94" i="9"/>
  <c r="U95" i="9"/>
  <c r="V95" i="9"/>
  <c r="W95" i="9"/>
  <c r="X95" i="9"/>
  <c r="U96" i="9"/>
  <c r="V96" i="9"/>
  <c r="W96" i="9"/>
  <c r="X96" i="9"/>
  <c r="U97" i="9"/>
  <c r="V97" i="9"/>
  <c r="W97" i="9"/>
  <c r="X97" i="9"/>
  <c r="U98" i="9"/>
  <c r="V98" i="9"/>
  <c r="W98" i="9"/>
  <c r="X98" i="9"/>
  <c r="U99" i="9"/>
  <c r="V99" i="9"/>
  <c r="W99" i="9"/>
  <c r="X99" i="9"/>
  <c r="U100" i="9"/>
  <c r="V100" i="9"/>
  <c r="W100" i="9"/>
  <c r="X100" i="9"/>
  <c r="U101" i="9"/>
  <c r="V101" i="9"/>
  <c r="W101" i="9"/>
  <c r="X101" i="9"/>
  <c r="U102" i="9"/>
  <c r="V102" i="9"/>
  <c r="W102" i="9"/>
  <c r="X102" i="9"/>
  <c r="U103" i="9"/>
  <c r="V103" i="9"/>
  <c r="W103" i="9"/>
  <c r="X103" i="9"/>
  <c r="U104" i="9"/>
  <c r="V104" i="9"/>
  <c r="W104" i="9"/>
  <c r="X104" i="9"/>
  <c r="U105" i="9"/>
  <c r="V105" i="9"/>
  <c r="W105" i="9"/>
  <c r="X105" i="9"/>
  <c r="U106" i="9"/>
  <c r="V106" i="9"/>
  <c r="W106" i="9"/>
  <c r="X106" i="9"/>
  <c r="U107" i="9"/>
  <c r="V107" i="9"/>
  <c r="W107" i="9"/>
  <c r="X107" i="9"/>
  <c r="U108" i="9"/>
  <c r="V108" i="9"/>
  <c r="W108" i="9"/>
  <c r="X108" i="9"/>
  <c r="U109" i="9"/>
  <c r="V109" i="9"/>
  <c r="W109" i="9"/>
  <c r="X109" i="9"/>
  <c r="U110" i="9"/>
  <c r="V110" i="9"/>
  <c r="W110" i="9"/>
  <c r="X110" i="9"/>
  <c r="U111" i="9"/>
  <c r="V111" i="9"/>
  <c r="W111" i="9"/>
  <c r="X111" i="9"/>
  <c r="U112" i="9"/>
  <c r="V112" i="9"/>
  <c r="W112" i="9"/>
  <c r="X112" i="9"/>
  <c r="U113" i="9"/>
  <c r="V113" i="9"/>
  <c r="W113" i="9"/>
  <c r="X113" i="9"/>
  <c r="U114" i="9"/>
  <c r="V114" i="9"/>
  <c r="W114" i="9"/>
  <c r="X114" i="9"/>
  <c r="U115" i="9"/>
  <c r="V115" i="9"/>
  <c r="W115" i="9"/>
  <c r="X115" i="9"/>
  <c r="X71" i="9"/>
  <c r="W71" i="9"/>
  <c r="V71" i="9"/>
  <c r="U71" i="9"/>
  <c r="U13" i="9"/>
  <c r="V13" i="9"/>
  <c r="W13" i="9"/>
  <c r="X13" i="9"/>
  <c r="U14" i="9"/>
  <c r="V14" i="9"/>
  <c r="W14" i="9"/>
  <c r="X14" i="9"/>
  <c r="U15" i="9"/>
  <c r="V15" i="9"/>
  <c r="W15" i="9"/>
  <c r="X15" i="9"/>
  <c r="U16" i="9"/>
  <c r="V16" i="9"/>
  <c r="W16" i="9"/>
  <c r="X16" i="9"/>
  <c r="U17" i="9"/>
  <c r="V17" i="9"/>
  <c r="W17" i="9"/>
  <c r="X17" i="9"/>
  <c r="U18" i="9"/>
  <c r="V18" i="9"/>
  <c r="W18" i="9"/>
  <c r="X18" i="9"/>
  <c r="U19" i="9"/>
  <c r="V19" i="9"/>
  <c r="W19" i="9"/>
  <c r="X19" i="9"/>
  <c r="U20" i="9"/>
  <c r="V20" i="9"/>
  <c r="W20" i="9"/>
  <c r="X20" i="9"/>
  <c r="U21" i="9"/>
  <c r="V21" i="9"/>
  <c r="W21" i="9"/>
  <c r="X21" i="9"/>
  <c r="U22" i="9"/>
  <c r="V22" i="9"/>
  <c r="W22" i="9"/>
  <c r="X22" i="9"/>
  <c r="U23" i="9"/>
  <c r="V23" i="9"/>
  <c r="W23" i="9"/>
  <c r="X23" i="9"/>
  <c r="U24" i="9"/>
  <c r="V24" i="9"/>
  <c r="W24" i="9"/>
  <c r="X24" i="9"/>
  <c r="U25" i="9"/>
  <c r="V25" i="9"/>
  <c r="W25" i="9"/>
  <c r="X25" i="9"/>
  <c r="U26" i="9"/>
  <c r="V26" i="9"/>
  <c r="W26" i="9"/>
  <c r="X26" i="9"/>
  <c r="U27" i="9"/>
  <c r="V27" i="9"/>
  <c r="W27" i="9"/>
  <c r="X27" i="9"/>
  <c r="U28" i="9"/>
  <c r="V28" i="9"/>
  <c r="W28" i="9"/>
  <c r="X28" i="9"/>
  <c r="U29" i="9"/>
  <c r="V29" i="9"/>
  <c r="W29" i="9"/>
  <c r="X29" i="9"/>
  <c r="U30" i="9"/>
  <c r="V30" i="9"/>
  <c r="W30" i="9"/>
  <c r="X30" i="9"/>
  <c r="U31" i="9"/>
  <c r="V31" i="9"/>
  <c r="W31" i="9"/>
  <c r="X31" i="9"/>
  <c r="U32" i="9"/>
  <c r="V32" i="9"/>
  <c r="W32" i="9"/>
  <c r="X32" i="9"/>
  <c r="U33" i="9"/>
  <c r="V33" i="9"/>
  <c r="W33" i="9"/>
  <c r="X33" i="9"/>
  <c r="U34" i="9"/>
  <c r="V34" i="9"/>
  <c r="W34" i="9"/>
  <c r="X34" i="9"/>
  <c r="U35" i="9"/>
  <c r="V35" i="9"/>
  <c r="W35" i="9"/>
  <c r="X35" i="9"/>
  <c r="U36" i="9"/>
  <c r="V36" i="9"/>
  <c r="W36" i="9"/>
  <c r="X36" i="9"/>
  <c r="U37" i="9"/>
  <c r="V37" i="9"/>
  <c r="W37" i="9"/>
  <c r="X37" i="9"/>
  <c r="U38" i="9"/>
  <c r="V38" i="9"/>
  <c r="W38" i="9"/>
  <c r="X38" i="9"/>
  <c r="U39" i="9"/>
  <c r="V39" i="9"/>
  <c r="W39" i="9"/>
  <c r="X39" i="9"/>
  <c r="U40" i="9"/>
  <c r="V40" i="9"/>
  <c r="W40" i="9"/>
  <c r="X40" i="9"/>
  <c r="U41" i="9"/>
  <c r="V41" i="9"/>
  <c r="W41" i="9"/>
  <c r="X41" i="9"/>
  <c r="U42" i="9"/>
  <c r="V42" i="9"/>
  <c r="W42" i="9"/>
  <c r="X42" i="9"/>
  <c r="U43" i="9"/>
  <c r="V43" i="9"/>
  <c r="W43" i="9"/>
  <c r="X43" i="9"/>
  <c r="U44" i="9"/>
  <c r="V44" i="9"/>
  <c r="W44" i="9"/>
  <c r="X44" i="9"/>
  <c r="U45" i="9"/>
  <c r="V45" i="9"/>
  <c r="W45" i="9"/>
  <c r="X45" i="9"/>
  <c r="U46" i="9"/>
  <c r="V46" i="9"/>
  <c r="W46" i="9"/>
  <c r="X46" i="9"/>
  <c r="U47" i="9"/>
  <c r="V47" i="9"/>
  <c r="W47" i="9"/>
  <c r="X47" i="9"/>
  <c r="U48" i="9"/>
  <c r="V48" i="9"/>
  <c r="W48" i="9"/>
  <c r="X48" i="9"/>
  <c r="U49" i="9"/>
  <c r="V49" i="9"/>
  <c r="W49" i="9"/>
  <c r="X49" i="9"/>
  <c r="U50" i="9"/>
  <c r="V50" i="9"/>
  <c r="W50" i="9"/>
  <c r="X50" i="9"/>
  <c r="U51" i="9"/>
  <c r="V51" i="9"/>
  <c r="W51" i="9"/>
  <c r="X51" i="9"/>
  <c r="U52" i="9"/>
  <c r="V52" i="9"/>
  <c r="W52" i="9"/>
  <c r="X52" i="9"/>
  <c r="U53" i="9"/>
  <c r="V53" i="9"/>
  <c r="W53" i="9"/>
  <c r="X53" i="9"/>
  <c r="U54" i="9"/>
  <c r="V54" i="9"/>
  <c r="W54" i="9"/>
  <c r="X54" i="9"/>
  <c r="U55" i="9"/>
  <c r="V55" i="9"/>
  <c r="W55" i="9"/>
  <c r="X55" i="9"/>
  <c r="U56" i="9"/>
  <c r="V56" i="9"/>
  <c r="W56" i="9"/>
  <c r="X56" i="9"/>
  <c r="U68" i="9"/>
  <c r="N25" i="11"/>
  <c r="K25" i="11"/>
  <c r="N26" i="11"/>
  <c r="K26" i="11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6" i="13"/>
  <c r="I7" i="13"/>
  <c r="I8" i="13"/>
  <c r="I9" i="13"/>
  <c r="I10" i="13"/>
  <c r="N18" i="11"/>
  <c r="I11" i="13"/>
  <c r="N19" i="11"/>
  <c r="I13" i="13"/>
  <c r="N21" i="11"/>
  <c r="I14" i="13"/>
  <c r="N22" i="11"/>
  <c r="I15" i="13"/>
  <c r="N23" i="11"/>
  <c r="I16" i="13"/>
  <c r="N24" i="11"/>
  <c r="I17" i="13"/>
  <c r="I18" i="13"/>
  <c r="I19" i="13"/>
  <c r="I20" i="13"/>
  <c r="I21" i="13"/>
  <c r="I22" i="13"/>
  <c r="I23" i="13"/>
  <c r="I12" i="13"/>
  <c r="N20" i="11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B7" i="13"/>
  <c r="AX7" i="13" s="1"/>
  <c r="B8" i="13"/>
  <c r="AX8" i="13" s="1"/>
  <c r="B9" i="13"/>
  <c r="H9" i="13" s="1"/>
  <c r="AX9" i="13"/>
  <c r="B10" i="13"/>
  <c r="AJ10" i="13" s="1"/>
  <c r="B11" i="13"/>
  <c r="AJ11" i="13"/>
  <c r="B12" i="13"/>
  <c r="AW12" i="13" s="1"/>
  <c r="AJ12" i="13"/>
  <c r="B13" i="13"/>
  <c r="AW13" i="13" s="1"/>
  <c r="B14" i="13"/>
  <c r="E14" i="13" s="1"/>
  <c r="B15" i="13"/>
  <c r="S15" i="13" s="1"/>
  <c r="AW15" i="13"/>
  <c r="B16" i="13"/>
  <c r="AI16" i="13" s="1"/>
  <c r="B17" i="13"/>
  <c r="B18" i="13"/>
  <c r="B19" i="13"/>
  <c r="AL19" i="13" s="1"/>
  <c r="B20" i="13"/>
  <c r="AG20" i="13" s="1"/>
  <c r="B21" i="13"/>
  <c r="AV21" i="13" s="1"/>
  <c r="B22" i="13"/>
  <c r="AS22" i="13" s="1"/>
  <c r="F22" i="13"/>
  <c r="B23" i="13"/>
  <c r="B6" i="13"/>
  <c r="E6" i="13" s="1"/>
  <c r="Z19" i="13"/>
  <c r="AE19" i="13" s="1"/>
  <c r="AF19" i="13" s="1"/>
  <c r="Z20" i="13"/>
  <c r="AE20" i="13" s="1"/>
  <c r="AF20" i="13" s="1"/>
  <c r="Z21" i="13"/>
  <c r="AE21" i="13" s="1"/>
  <c r="AF21" i="13" s="1"/>
  <c r="Z22" i="13"/>
  <c r="AE22" i="13"/>
  <c r="AF22" i="13" s="1"/>
  <c r="Z23" i="13"/>
  <c r="AE23" i="13" s="1"/>
  <c r="AF23" i="13" s="1"/>
  <c r="W12" i="9"/>
  <c r="V12" i="9"/>
  <c r="X8" i="11"/>
  <c r="Y8" i="11" s="1"/>
  <c r="AA8" i="11" s="1"/>
  <c r="X33" i="11"/>
  <c r="X35" i="11"/>
  <c r="L39" i="9"/>
  <c r="L38" i="9"/>
  <c r="L36" i="9"/>
  <c r="L34" i="9"/>
  <c r="L33" i="9"/>
  <c r="L32" i="9"/>
  <c r="K7" i="13"/>
  <c r="L8" i="13"/>
  <c r="K9" i="13"/>
  <c r="K10" i="13"/>
  <c r="K12" i="13"/>
  <c r="K14" i="13"/>
  <c r="L17" i="13"/>
  <c r="K21" i="13"/>
  <c r="L22" i="13"/>
  <c r="N31" i="11"/>
  <c r="N30" i="11"/>
  <c r="K30" i="11"/>
  <c r="N29" i="11"/>
  <c r="K29" i="11"/>
  <c r="N28" i="11"/>
  <c r="K28" i="11"/>
  <c r="N27" i="11"/>
  <c r="K27" i="11"/>
  <c r="L112" i="9"/>
  <c r="O37" i="11"/>
  <c r="O38" i="11"/>
  <c r="O39" i="11"/>
  <c r="O40" i="11"/>
  <c r="O41" i="11"/>
  <c r="O42" i="11"/>
  <c r="O43" i="11"/>
  <c r="O44" i="11"/>
  <c r="O145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36" i="11"/>
  <c r="V8" i="9"/>
  <c r="U12" i="9"/>
  <c r="X12" i="9"/>
  <c r="L9" i="9"/>
  <c r="S58" i="9"/>
  <c r="J354" i="9"/>
  <c r="C22" i="13"/>
  <c r="U22" i="13" s="1"/>
  <c r="C23" i="13"/>
  <c r="N23" i="13" s="1"/>
  <c r="U23" i="13"/>
  <c r="J295" i="9"/>
  <c r="J236" i="9"/>
  <c r="J177" i="9"/>
  <c r="J118" i="9"/>
  <c r="S118" i="9" s="1"/>
  <c r="J59" i="9"/>
  <c r="S59" i="9" s="1"/>
  <c r="X59" i="9" s="1"/>
  <c r="C7" i="13"/>
  <c r="U7" i="13" s="1"/>
  <c r="C8" i="13"/>
  <c r="N8" i="13" s="1"/>
  <c r="U8" i="13"/>
  <c r="C9" i="13"/>
  <c r="N9" i="13" s="1"/>
  <c r="U9" i="13"/>
  <c r="C10" i="13"/>
  <c r="U10" i="13" s="1"/>
  <c r="C11" i="13"/>
  <c r="C12" i="13"/>
  <c r="U12" i="13" s="1"/>
  <c r="C13" i="13"/>
  <c r="U13" i="13" s="1"/>
  <c r="C14" i="13"/>
  <c r="C15" i="13"/>
  <c r="U15" i="13"/>
  <c r="C16" i="13"/>
  <c r="M16" i="13" s="1"/>
  <c r="U16" i="13"/>
  <c r="C17" i="13"/>
  <c r="U17" i="13" s="1"/>
  <c r="C18" i="13"/>
  <c r="C19" i="13"/>
  <c r="U19" i="13" s="1"/>
  <c r="C20" i="13"/>
  <c r="U20" i="13" s="1"/>
  <c r="C21" i="13"/>
  <c r="U21" i="13"/>
  <c r="C6" i="13"/>
  <c r="U6" i="13" s="1"/>
  <c r="V67" i="9"/>
  <c r="V126" i="9" s="1"/>
  <c r="Z17" i="13"/>
  <c r="AE17" i="13" s="1"/>
  <c r="AF17" i="13" s="1"/>
  <c r="Z18" i="13"/>
  <c r="AE18" i="13" s="1"/>
  <c r="AF18" i="13" s="1"/>
  <c r="I6" i="13"/>
  <c r="N14" i="11"/>
  <c r="H11" i="12"/>
  <c r="B59" i="9"/>
  <c r="K31" i="11"/>
  <c r="L31" i="11"/>
  <c r="H23" i="13"/>
  <c r="L27" i="11"/>
  <c r="BN335" i="10"/>
  <c r="CN335" i="10"/>
  <c r="BN285" i="10"/>
  <c r="CN285" i="10" s="1"/>
  <c r="BN344" i="10"/>
  <c r="CN344" i="10" s="1"/>
  <c r="BN320" i="10"/>
  <c r="CN320" i="10"/>
  <c r="BN308" i="10"/>
  <c r="CN308" i="10"/>
  <c r="BN367" i="10"/>
  <c r="CN367" i="10"/>
  <c r="BN343" i="10"/>
  <c r="BN331" i="10"/>
  <c r="CN331" i="10" s="1"/>
  <c r="BN295" i="10"/>
  <c r="CN295" i="10" s="1"/>
  <c r="CO295" i="10" s="1"/>
  <c r="BN259" i="10"/>
  <c r="CN259" i="10" s="1"/>
  <c r="BN378" i="10"/>
  <c r="BN354" i="10"/>
  <c r="CN354" i="10"/>
  <c r="BN306" i="10"/>
  <c r="CN306" i="10" s="1"/>
  <c r="BN282" i="10"/>
  <c r="CN282" i="10"/>
  <c r="BN270" i="10"/>
  <c r="CG67" i="10"/>
  <c r="CG68" i="10"/>
  <c r="CG69" i="10"/>
  <c r="CG70" i="10"/>
  <c r="CG71" i="10"/>
  <c r="CG72" i="10"/>
  <c r="CG73" i="10"/>
  <c r="CG74" i="10"/>
  <c r="CG75" i="10"/>
  <c r="CG76" i="10"/>
  <c r="CG77" i="10"/>
  <c r="CG78" i="10"/>
  <c r="CG79" i="10"/>
  <c r="CG80" i="10"/>
  <c r="CG81" i="10"/>
  <c r="CG82" i="10"/>
  <c r="CG83" i="10"/>
  <c r="CG84" i="10"/>
  <c r="CG85" i="10"/>
  <c r="CG86" i="10"/>
  <c r="CG87" i="10"/>
  <c r="CG88" i="10"/>
  <c r="CG89" i="10"/>
  <c r="CG90" i="10"/>
  <c r="CG91" i="10"/>
  <c r="CG92" i="10"/>
  <c r="CG93" i="10"/>
  <c r="CG94" i="10"/>
  <c r="CG95" i="10"/>
  <c r="CG96" i="10"/>
  <c r="CG97" i="10"/>
  <c r="CG98" i="10"/>
  <c r="CG99" i="10"/>
  <c r="CG100" i="10"/>
  <c r="CG101" i="10"/>
  <c r="CG102" i="10"/>
  <c r="CG103" i="10"/>
  <c r="CG104" i="10"/>
  <c r="CG105" i="10"/>
  <c r="CG106" i="10"/>
  <c r="CG107" i="10"/>
  <c r="CG108" i="10"/>
  <c r="CG109" i="10"/>
  <c r="CG110" i="10"/>
  <c r="CG111" i="10"/>
  <c r="CG112" i="10"/>
  <c r="CG113" i="10"/>
  <c r="CG114" i="10"/>
  <c r="CG115" i="10"/>
  <c r="CG116" i="10"/>
  <c r="CG117" i="10"/>
  <c r="CG118" i="10"/>
  <c r="CG119" i="10"/>
  <c r="CG120" i="10"/>
  <c r="CG121" i="10"/>
  <c r="CG122" i="10"/>
  <c r="CG123" i="10"/>
  <c r="CG124" i="10"/>
  <c r="CG125" i="10"/>
  <c r="CG126" i="10"/>
  <c r="CG127" i="10"/>
  <c r="CG128" i="10"/>
  <c r="CG129" i="10"/>
  <c r="CG130" i="10"/>
  <c r="CG131" i="10"/>
  <c r="CG132" i="10"/>
  <c r="CG133" i="10"/>
  <c r="CG134" i="10"/>
  <c r="CG135" i="10"/>
  <c r="CG136" i="10"/>
  <c r="CG137" i="10"/>
  <c r="CG138" i="10"/>
  <c r="CG139" i="10"/>
  <c r="CG140" i="10"/>
  <c r="CG141" i="10"/>
  <c r="CG142" i="10"/>
  <c r="CG143" i="10"/>
  <c r="CG144" i="10"/>
  <c r="CG145" i="10"/>
  <c r="CG146" i="10"/>
  <c r="CG147" i="10"/>
  <c r="CG148" i="10"/>
  <c r="CG149" i="10"/>
  <c r="CG150" i="10"/>
  <c r="CG151" i="10"/>
  <c r="CG152" i="10"/>
  <c r="CG153" i="10"/>
  <c r="CG154" i="10"/>
  <c r="CG155" i="10"/>
  <c r="CG156" i="10"/>
  <c r="CG157" i="10"/>
  <c r="CG158" i="10"/>
  <c r="CG159" i="10"/>
  <c r="CG160" i="10"/>
  <c r="CG161" i="10"/>
  <c r="CG162" i="10"/>
  <c r="CG163" i="10"/>
  <c r="CG164" i="10"/>
  <c r="CG165" i="10"/>
  <c r="CG166" i="10"/>
  <c r="CG167" i="10"/>
  <c r="CG168" i="10"/>
  <c r="CG169" i="10"/>
  <c r="CG170" i="10"/>
  <c r="CG171" i="10"/>
  <c r="CG172" i="10"/>
  <c r="CG173" i="10"/>
  <c r="CG174" i="10"/>
  <c r="CG175" i="10"/>
  <c r="CG176" i="10"/>
  <c r="CG177" i="10"/>
  <c r="CG178" i="10"/>
  <c r="CG179" i="10"/>
  <c r="CG180" i="10"/>
  <c r="CG181" i="10"/>
  <c r="CG182" i="10"/>
  <c r="CG183" i="10"/>
  <c r="CG184" i="10"/>
  <c r="CG185" i="10"/>
  <c r="CG186" i="10"/>
  <c r="CG187" i="10"/>
  <c r="CG188" i="10"/>
  <c r="CG189" i="10"/>
  <c r="CG190" i="10"/>
  <c r="CG191" i="10"/>
  <c r="CG192" i="10"/>
  <c r="CG193" i="10"/>
  <c r="CG194" i="10"/>
  <c r="CG195" i="10"/>
  <c r="CG196" i="10"/>
  <c r="CG197" i="10"/>
  <c r="CG198" i="10"/>
  <c r="CG199" i="10"/>
  <c r="CG200" i="10"/>
  <c r="CG201" i="10"/>
  <c r="CG202" i="10"/>
  <c r="CG203" i="10"/>
  <c r="CG204" i="10"/>
  <c r="CG205" i="10"/>
  <c r="CG206" i="10"/>
  <c r="CG207" i="10"/>
  <c r="CG208" i="10"/>
  <c r="CG209" i="10"/>
  <c r="CG210" i="10"/>
  <c r="CG211" i="10"/>
  <c r="CG212" i="10"/>
  <c r="CG213" i="10"/>
  <c r="CG214" i="10"/>
  <c r="CG215" i="10"/>
  <c r="CG216" i="10"/>
  <c r="CG217" i="10"/>
  <c r="CG218" i="10"/>
  <c r="CG219" i="10"/>
  <c r="CG220" i="10"/>
  <c r="CG221" i="10"/>
  <c r="CG222" i="10"/>
  <c r="CG223" i="10"/>
  <c r="CG224" i="10"/>
  <c r="CG225" i="10"/>
  <c r="CG226" i="10"/>
  <c r="CG227" i="10"/>
  <c r="CG228" i="10"/>
  <c r="CG229" i="10"/>
  <c r="CG230" i="10"/>
  <c r="CG231" i="10"/>
  <c r="CG232" i="10"/>
  <c r="CG233" i="10"/>
  <c r="CG234" i="10"/>
  <c r="CG235" i="10"/>
  <c r="CG236" i="10"/>
  <c r="CG237" i="10"/>
  <c r="CG238" i="10"/>
  <c r="CG239" i="10"/>
  <c r="CG240" i="10"/>
  <c r="CG241" i="10"/>
  <c r="CG242" i="10"/>
  <c r="CG243" i="10"/>
  <c r="CG244" i="10"/>
  <c r="CG245" i="10"/>
  <c r="CG246" i="10"/>
  <c r="CG247" i="10"/>
  <c r="CG248" i="10"/>
  <c r="CG249" i="10"/>
  <c r="CG250" i="10"/>
  <c r="CG251" i="10"/>
  <c r="CG252" i="10"/>
  <c r="CG253" i="10"/>
  <c r="CG254" i="10"/>
  <c r="CG255" i="10"/>
  <c r="CG256" i="10"/>
  <c r="CG257" i="10"/>
  <c r="CG258" i="10"/>
  <c r="CG259" i="10"/>
  <c r="CG260" i="10"/>
  <c r="CG261" i="10"/>
  <c r="CG262" i="10"/>
  <c r="CG263" i="10"/>
  <c r="CG264" i="10"/>
  <c r="CG265" i="10"/>
  <c r="CG266" i="10"/>
  <c r="CG267" i="10"/>
  <c r="CG268" i="10"/>
  <c r="CG269" i="10"/>
  <c r="CG270" i="10"/>
  <c r="BN322" i="10"/>
  <c r="BN312" i="10"/>
  <c r="CN312" i="10" s="1"/>
  <c r="BN324" i="10"/>
  <c r="CN324" i="10" s="1"/>
  <c r="CO324" i="10" s="1"/>
  <c r="BN360" i="10"/>
  <c r="BN372" i="10"/>
  <c r="CN372" i="10"/>
  <c r="BN384" i="10"/>
  <c r="CN384" i="10" s="1"/>
  <c r="BN396" i="10"/>
  <c r="CN396" i="10"/>
  <c r="BN252" i="10"/>
  <c r="CN252" i="10" s="1"/>
  <c r="BN276" i="10"/>
  <c r="CN276" i="10"/>
  <c r="AG16" i="13"/>
  <c r="O22" i="13"/>
  <c r="K19" i="13"/>
  <c r="L28" i="11"/>
  <c r="G18" i="13"/>
  <c r="L26" i="11"/>
  <c r="M10" i="13"/>
  <c r="O10" i="13"/>
  <c r="BN268" i="10"/>
  <c r="BN280" i="10"/>
  <c r="CN280" i="10"/>
  <c r="BN66" i="10"/>
  <c r="BN67" i="10"/>
  <c r="BN292" i="10"/>
  <c r="CN292" i="10" s="1"/>
  <c r="BN328" i="10"/>
  <c r="CN328" i="10" s="1"/>
  <c r="BN376" i="10"/>
  <c r="CN376" i="10" s="1"/>
  <c r="BN388" i="10"/>
  <c r="CN388" i="10" s="1"/>
  <c r="BN244" i="10"/>
  <c r="CN244" i="10"/>
  <c r="BN313" i="10"/>
  <c r="CN313" i="10"/>
  <c r="BN337" i="10"/>
  <c r="CN337" i="10" s="1"/>
  <c r="BN253" i="10"/>
  <c r="CN253" i="10" s="1"/>
  <c r="CO253" i="10" s="1"/>
  <c r="BN277" i="10"/>
  <c r="CN277" i="10"/>
  <c r="BN289" i="10"/>
  <c r="CN289" i="10" s="1"/>
  <c r="DA12" i="10"/>
  <c r="BN245" i="10"/>
  <c r="CN245" i="10"/>
  <c r="BN257" i="10"/>
  <c r="CN257" i="10" s="1"/>
  <c r="BN269" i="10"/>
  <c r="BN293" i="10"/>
  <c r="CN293" i="10" s="1"/>
  <c r="BN305" i="10"/>
  <c r="CN305" i="10"/>
  <c r="BN317" i="10"/>
  <c r="BN329" i="10"/>
  <c r="CN329" i="10" s="1"/>
  <c r="BN377" i="10"/>
  <c r="CN377" i="10"/>
  <c r="BN369" i="10"/>
  <c r="CN369" i="10"/>
  <c r="BN393" i="10"/>
  <c r="CN393" i="10" s="1"/>
  <c r="BN237" i="10"/>
  <c r="CN237" i="10" s="1"/>
  <c r="BN261" i="10"/>
  <c r="CN261" i="10"/>
  <c r="BN273" i="10"/>
  <c r="CN273" i="10"/>
  <c r="BN383" i="10"/>
  <c r="BN395" i="10"/>
  <c r="CN395" i="10"/>
  <c r="CN67" i="10"/>
  <c r="BN68" i="10"/>
  <c r="BN231" i="10"/>
  <c r="CN231" i="10"/>
  <c r="CO231" i="10"/>
  <c r="BN399" i="10"/>
  <c r="CN399" i="10"/>
  <c r="CN66" i="10"/>
  <c r="BN255" i="10"/>
  <c r="CN255" i="10"/>
  <c r="BN279" i="10"/>
  <c r="CN279" i="10" s="1"/>
  <c r="BN351" i="10"/>
  <c r="CN351" i="10"/>
  <c r="BN358" i="10"/>
  <c r="CN358" i="10" s="1"/>
  <c r="BN251" i="10"/>
  <c r="CN251" i="10"/>
  <c r="BN346" i="10"/>
  <c r="CN346" i="10" s="1"/>
  <c r="BN299" i="10"/>
  <c r="CN299" i="10"/>
  <c r="BN323" i="10"/>
  <c r="CN323" i="10" s="1"/>
  <c r="BN394" i="10"/>
  <c r="CN394" i="10"/>
  <c r="BN341" i="10"/>
  <c r="BN330" i="10"/>
  <c r="CN330" i="10" s="1"/>
  <c r="BN319" i="10"/>
  <c r="CN319" i="10" s="1"/>
  <c r="BN227" i="10"/>
  <c r="BN365" i="10"/>
  <c r="BN375" i="10"/>
  <c r="CN375" i="10"/>
  <c r="BN387" i="10"/>
  <c r="CN387" i="10" s="1"/>
  <c r="BN347" i="10"/>
  <c r="CN347" i="10"/>
  <c r="BN241" i="10"/>
  <c r="CN241" i="10" s="1"/>
  <c r="M9" i="13"/>
  <c r="O9" i="13"/>
  <c r="BN368" i="10"/>
  <c r="CN368" i="10" s="1"/>
  <c r="BN390" i="10"/>
  <c r="CN390" i="10"/>
  <c r="BN272" i="10"/>
  <c r="CN272" i="10" s="1"/>
  <c r="BN357" i="10"/>
  <c r="CN357" i="10" s="1"/>
  <c r="BN284" i="10"/>
  <c r="CN284" i="10" s="1"/>
  <c r="BN342" i="10"/>
  <c r="CN342" i="10"/>
  <c r="BN382" i="10"/>
  <c r="BN263" i="10"/>
  <c r="CN263" i="10" s="1"/>
  <c r="BN315" i="10"/>
  <c r="CN315" i="10"/>
  <c r="BN391" i="10"/>
  <c r="CN391" i="10" s="1"/>
  <c r="BN363" i="10"/>
  <c r="BN229" i="10"/>
  <c r="CN229" i="10" s="1"/>
  <c r="BN325" i="10"/>
  <c r="CN325" i="10"/>
  <c r="BN353" i="10"/>
  <c r="CN353" i="10"/>
  <c r="BN302" i="10"/>
  <c r="CN474" i="10"/>
  <c r="CO474" i="10" s="1"/>
  <c r="CN435" i="10"/>
  <c r="CO435" i="10" s="1"/>
  <c r="BN278" i="10"/>
  <c r="CN278" i="10" s="1"/>
  <c r="CO278" i="10" s="1"/>
  <c r="CN68" i="10"/>
  <c r="BN69" i="10"/>
  <c r="L60" i="9"/>
  <c r="U60" i="9"/>
  <c r="M20" i="13"/>
  <c r="AG13" i="13"/>
  <c r="M21" i="13"/>
  <c r="AG11" i="13"/>
  <c r="L20" i="13"/>
  <c r="Q23" i="13"/>
  <c r="O23" i="13"/>
  <c r="AA23" i="13"/>
  <c r="AB23" i="13"/>
  <c r="AG23" i="13"/>
  <c r="T23" i="13"/>
  <c r="N21" i="13"/>
  <c r="K20" i="13"/>
  <c r="AC23" i="13"/>
  <c r="E23" i="13"/>
  <c r="X23" i="13"/>
  <c r="R23" i="13"/>
  <c r="S23" i="13"/>
  <c r="N20" i="13"/>
  <c r="F23" i="13"/>
  <c r="AD23" i="13"/>
  <c r="L21" i="13"/>
  <c r="P23" i="13"/>
  <c r="W23" i="13"/>
  <c r="P19" i="13"/>
  <c r="AA19" i="13"/>
  <c r="G19" i="13"/>
  <c r="T20" i="13"/>
  <c r="N17" i="13"/>
  <c r="K17" i="13"/>
  <c r="S20" i="13"/>
  <c r="M17" i="13"/>
  <c r="R20" i="13"/>
  <c r="S17" i="13"/>
  <c r="R19" i="13"/>
  <c r="AC19" i="13"/>
  <c r="O19" i="13"/>
  <c r="Q19" i="13"/>
  <c r="T19" i="13"/>
  <c r="F19" i="13"/>
  <c r="X19" i="13"/>
  <c r="AB19" i="13"/>
  <c r="E19" i="13"/>
  <c r="AD19" i="13"/>
  <c r="H19" i="13"/>
  <c r="AG19" i="13"/>
  <c r="W19" i="13"/>
  <c r="S19" i="13"/>
  <c r="AG12" i="13"/>
  <c r="M7" i="13"/>
  <c r="AG9" i="13"/>
  <c r="AB21" i="13"/>
  <c r="G23" i="13"/>
  <c r="AB18" i="13"/>
  <c r="S18" i="13"/>
  <c r="AG18" i="13"/>
  <c r="AD18" i="13"/>
  <c r="P18" i="13"/>
  <c r="W18" i="13"/>
  <c r="AC18" i="13"/>
  <c r="R18" i="13"/>
  <c r="F18" i="13"/>
  <c r="AA18" i="13"/>
  <c r="T18" i="13"/>
  <c r="X18" i="13"/>
  <c r="O18" i="13"/>
  <c r="H18" i="13"/>
  <c r="Q18" i="13"/>
  <c r="E18" i="13"/>
  <c r="AG14" i="13"/>
  <c r="AA22" i="13"/>
  <c r="U18" i="13"/>
  <c r="U11" i="13"/>
  <c r="CN438" i="10"/>
  <c r="CO438" i="10" s="1"/>
  <c r="CN286" i="10"/>
  <c r="BN247" i="10"/>
  <c r="BO262" i="10"/>
  <c r="BP262" i="10"/>
  <c r="K13" i="13"/>
  <c r="L30" i="11"/>
  <c r="P16" i="13"/>
  <c r="P15" i="13"/>
  <c r="M13" i="13"/>
  <c r="O13" i="13"/>
  <c r="AG10" i="13"/>
  <c r="L9" i="13"/>
  <c r="BN274" i="10"/>
  <c r="CN274" i="10"/>
  <c r="BO301" i="10"/>
  <c r="BP301" i="10" s="1"/>
  <c r="BN334" i="10"/>
  <c r="BN260" i="10"/>
  <c r="CN260" i="10"/>
  <c r="CO260" i="10" s="1"/>
  <c r="BN348" i="10"/>
  <c r="CN348" i="10" s="1"/>
  <c r="BN230" i="10"/>
  <c r="CN230" i="10"/>
  <c r="BN316" i="10"/>
  <c r="CN316" i="10"/>
  <c r="BO381" i="10"/>
  <c r="BP381" i="10" s="1"/>
  <c r="BN381" i="10"/>
  <c r="CN381" i="10" s="1"/>
  <c r="BN264" i="10"/>
  <c r="CN264" i="10"/>
  <c r="BN338" i="10"/>
  <c r="BN352" i="10"/>
  <c r="CN352" i="10"/>
  <c r="CO352" i="10" s="1"/>
  <c r="BN249" i="10"/>
  <c r="CN249" i="10" s="1"/>
  <c r="BN256" i="10"/>
  <c r="CN256" i="10"/>
  <c r="BN385" i="10"/>
  <c r="BN236" i="10"/>
  <c r="CN236" i="10" s="1"/>
  <c r="L13" i="13"/>
  <c r="N13" i="13"/>
  <c r="P13" i="13"/>
  <c r="L12" i="13"/>
  <c r="N10" i="13"/>
  <c r="P10" i="13"/>
  <c r="S10" i="13"/>
  <c r="CN459" i="10"/>
  <c r="CO459" i="10"/>
  <c r="CN471" i="10"/>
  <c r="CO471" i="10" s="1"/>
  <c r="BN239" i="10"/>
  <c r="CN239" i="10"/>
  <c r="CN448" i="10"/>
  <c r="CO448" i="10" s="1"/>
  <c r="CN418" i="10"/>
  <c r="BN234" i="10"/>
  <c r="BN336" i="10"/>
  <c r="CN336" i="10"/>
  <c r="BN248" i="10"/>
  <c r="CN248" i="10" s="1"/>
  <c r="CN343" i="10"/>
  <c r="AA21" i="13"/>
  <c r="Q21" i="13"/>
  <c r="E15" i="13"/>
  <c r="G21" i="13"/>
  <c r="E21" i="13"/>
  <c r="O21" i="13"/>
  <c r="P21" i="13"/>
  <c r="AC21" i="13"/>
  <c r="AG21" i="13"/>
  <c r="S21" i="13"/>
  <c r="X21" i="13"/>
  <c r="F21" i="13"/>
  <c r="H21" i="13"/>
  <c r="AG15" i="13"/>
  <c r="O15" i="13"/>
  <c r="Q15" i="13"/>
  <c r="T21" i="13"/>
  <c r="L14" i="13"/>
  <c r="H12" i="12"/>
  <c r="CW5" i="10"/>
  <c r="U126" i="9"/>
  <c r="B67" i="9"/>
  <c r="L67" i="9" s="1"/>
  <c r="B303" i="9"/>
  <c r="U67" i="9"/>
  <c r="B126" i="9"/>
  <c r="B244" i="9"/>
  <c r="U8" i="9"/>
  <c r="B185" i="9"/>
  <c r="L8" i="9"/>
  <c r="P22" i="13"/>
  <c r="W22" i="13"/>
  <c r="AD22" i="13"/>
  <c r="AC22" i="13"/>
  <c r="M22" i="13"/>
  <c r="E22" i="13"/>
  <c r="K22" i="13"/>
  <c r="F10" i="13"/>
  <c r="L10" i="13"/>
  <c r="Q22" i="13"/>
  <c r="L25" i="11"/>
  <c r="X22" i="13"/>
  <c r="M12" i="13"/>
  <c r="O12" i="13"/>
  <c r="AB22" i="13"/>
  <c r="H22" i="13"/>
  <c r="N22" i="13"/>
  <c r="AG22" i="13"/>
  <c r="T22" i="13"/>
  <c r="R22" i="13"/>
  <c r="G22" i="13"/>
  <c r="S22" i="13"/>
  <c r="F11" i="13"/>
  <c r="E16" i="13"/>
  <c r="F15" i="13"/>
  <c r="G15" i="13"/>
  <c r="H15" i="13"/>
  <c r="P17" i="13"/>
  <c r="F17" i="13"/>
  <c r="AJ13" i="9"/>
  <c r="AK15" i="9" s="1"/>
  <c r="AJ15" i="9"/>
  <c r="AI15" i="9" s="1"/>
  <c r="O8" i="13"/>
  <c r="O16" i="13"/>
  <c r="Q16" i="13"/>
  <c r="F14" i="13"/>
  <c r="G14" i="13"/>
  <c r="H14" i="13"/>
  <c r="E17" i="13"/>
  <c r="AC17" i="13"/>
  <c r="O17" i="13"/>
  <c r="AB17" i="13"/>
  <c r="X17" i="13"/>
  <c r="W17" i="13"/>
  <c r="L29" i="11"/>
  <c r="H17" i="13"/>
  <c r="R17" i="13"/>
  <c r="E12" i="13"/>
  <c r="AD17" i="13"/>
  <c r="E9" i="13"/>
  <c r="Q17" i="13"/>
  <c r="AA17" i="13"/>
  <c r="F12" i="13"/>
  <c r="E13" i="13"/>
  <c r="E8" i="13"/>
  <c r="T17" i="13"/>
  <c r="AG17" i="13"/>
  <c r="E11" i="13"/>
  <c r="G11" i="13"/>
  <c r="H11" i="13"/>
  <c r="P11" i="13"/>
  <c r="E10" i="13"/>
  <c r="G10" i="13"/>
  <c r="H10" i="13"/>
  <c r="F13" i="13"/>
  <c r="F9" i="13"/>
  <c r="G9" i="13"/>
  <c r="P9" i="13"/>
  <c r="G17" i="13"/>
  <c r="AG8" i="13"/>
  <c r="F8" i="13"/>
  <c r="N14" i="13"/>
  <c r="P14" i="13"/>
  <c r="U14" i="13"/>
  <c r="M14" i="13"/>
  <c r="O14" i="13"/>
  <c r="AJ14" i="9"/>
  <c r="AI14" i="9" s="1"/>
  <c r="F16" i="13"/>
  <c r="G16" i="13"/>
  <c r="H16" i="13"/>
  <c r="CN465" i="10"/>
  <c r="CO465" i="10" s="1"/>
  <c r="K191" i="10"/>
  <c r="BO310" i="10"/>
  <c r="BP310" i="10" s="1"/>
  <c r="BN310" i="10"/>
  <c r="CN310" i="10"/>
  <c r="K146" i="10"/>
  <c r="BO265" i="10" s="1"/>
  <c r="BP265" i="10" s="1"/>
  <c r="BN265" i="10"/>
  <c r="V311" i="10"/>
  <c r="BU369" i="10" s="1"/>
  <c r="CN455" i="10"/>
  <c r="CO455" i="10"/>
  <c r="BN70" i="10"/>
  <c r="CN69" i="10"/>
  <c r="BN366" i="10"/>
  <c r="V215" i="10"/>
  <c r="BU273" i="10" s="1"/>
  <c r="V143" i="10"/>
  <c r="BU201" i="10" s="1"/>
  <c r="BZ201" i="10" s="1"/>
  <c r="Q241" i="10"/>
  <c r="BZ298" i="10" s="1"/>
  <c r="Q82" i="10"/>
  <c r="Q70" i="10"/>
  <c r="K171" i="10"/>
  <c r="BO290" i="10" s="1"/>
  <c r="BP290" i="10" s="1"/>
  <c r="Q259" i="10"/>
  <c r="BZ316" i="10" s="1"/>
  <c r="U344" i="10"/>
  <c r="BT402" i="10" s="1"/>
  <c r="CQ402" i="10" s="1"/>
  <c r="Q358" i="10"/>
  <c r="BZ415" i="10" s="1"/>
  <c r="Q292" i="10"/>
  <c r="BZ349" i="10" s="1"/>
  <c r="P345" i="10"/>
  <c r="Q345" i="10" s="1"/>
  <c r="BZ402" i="10" s="1"/>
  <c r="K179" i="10"/>
  <c r="BO298" i="10" s="1"/>
  <c r="BP298" i="10" s="1"/>
  <c r="G8" i="13"/>
  <c r="H8" i="13"/>
  <c r="P8" i="13"/>
  <c r="S8" i="13"/>
  <c r="G13" i="13"/>
  <c r="H13" i="13"/>
  <c r="R16" i="13"/>
  <c r="G12" i="13"/>
  <c r="H12" i="13"/>
  <c r="P12" i="13"/>
  <c r="BN71" i="10"/>
  <c r="CN70" i="10"/>
  <c r="BN72" i="10"/>
  <c r="CN71" i="10"/>
  <c r="BN73" i="10"/>
  <c r="CN72" i="10"/>
  <c r="CN73" i="10"/>
  <c r="BN74" i="10"/>
  <c r="CN74" i="10"/>
  <c r="BN75" i="10"/>
  <c r="CN75" i="10"/>
  <c r="BN76" i="10"/>
  <c r="CN76" i="10"/>
  <c r="BN77" i="10"/>
  <c r="CN77" i="10"/>
  <c r="BN78" i="10"/>
  <c r="BN79" i="10"/>
  <c r="CN78" i="10"/>
  <c r="BN80" i="10"/>
  <c r="CN79" i="10"/>
  <c r="BN81" i="10"/>
  <c r="CN80" i="10"/>
  <c r="BN82" i="10"/>
  <c r="CN81" i="10"/>
  <c r="CN82" i="10"/>
  <c r="BN83" i="10"/>
  <c r="BN84" i="10"/>
  <c r="CN83" i="10"/>
  <c r="BN85" i="10"/>
  <c r="CN84" i="10"/>
  <c r="CN85" i="10"/>
  <c r="BN86" i="10"/>
  <c r="BN87" i="10"/>
  <c r="CN86" i="10"/>
  <c r="CN87" i="10"/>
  <c r="BN88" i="10"/>
  <c r="BN89" i="10"/>
  <c r="CN88" i="10"/>
  <c r="BN90" i="10"/>
  <c r="CN89" i="10"/>
  <c r="CN90" i="10"/>
  <c r="BN91" i="10"/>
  <c r="CN91" i="10"/>
  <c r="BN92" i="10"/>
  <c r="CN92" i="10"/>
  <c r="BN93" i="10"/>
  <c r="CN93" i="10"/>
  <c r="BN94" i="10"/>
  <c r="BN95" i="10"/>
  <c r="CN94" i="10"/>
  <c r="BN96" i="10"/>
  <c r="CN95" i="10"/>
  <c r="CN96" i="10"/>
  <c r="BN97" i="10"/>
  <c r="CN97" i="10"/>
  <c r="BN98" i="10"/>
  <c r="BN99" i="10"/>
  <c r="CN98" i="10"/>
  <c r="CN99" i="10"/>
  <c r="BN100" i="10"/>
  <c r="CN100" i="10"/>
  <c r="BN101" i="10"/>
  <c r="BN102" i="10"/>
  <c r="CN101" i="10"/>
  <c r="CN102" i="10"/>
  <c r="BN103" i="10"/>
  <c r="BN104" i="10"/>
  <c r="CN103" i="10"/>
  <c r="CN104" i="10"/>
  <c r="BN105" i="10"/>
  <c r="CN105" i="10"/>
  <c r="BN106" i="10"/>
  <c r="CN106" i="10"/>
  <c r="BN107" i="10"/>
  <c r="BN108" i="10"/>
  <c r="CN107" i="10"/>
  <c r="CN108" i="10"/>
  <c r="BN109" i="10"/>
  <c r="BN110" i="10"/>
  <c r="CN109" i="10"/>
  <c r="BN111" i="10"/>
  <c r="CN110" i="10"/>
  <c r="CN111" i="10"/>
  <c r="BN112" i="10"/>
  <c r="CN112" i="10"/>
  <c r="BN113" i="10"/>
  <c r="CN113" i="10"/>
  <c r="BN114" i="10"/>
  <c r="BN115" i="10"/>
  <c r="CN114" i="10"/>
  <c r="BN116" i="10"/>
  <c r="CN115" i="10"/>
  <c r="CN116" i="10"/>
  <c r="BN117" i="10"/>
  <c r="BN118" i="10"/>
  <c r="CN117" i="10"/>
  <c r="BN119" i="10"/>
  <c r="CN118" i="10"/>
  <c r="CN119" i="10"/>
  <c r="BN120" i="10"/>
  <c r="BN121" i="10"/>
  <c r="CN120" i="10"/>
  <c r="CN121" i="10"/>
  <c r="BN122" i="10"/>
  <c r="CN122" i="10"/>
  <c r="BN123" i="10"/>
  <c r="BN124" i="10"/>
  <c r="CN123" i="10"/>
  <c r="CN124" i="10"/>
  <c r="BN125" i="10"/>
  <c r="CN125" i="10"/>
  <c r="BN126" i="10"/>
  <c r="CN126" i="10"/>
  <c r="BN127" i="10"/>
  <c r="CN127" i="10"/>
  <c r="BN128" i="10"/>
  <c r="BN129" i="10"/>
  <c r="CN128" i="10"/>
  <c r="CN129" i="10"/>
  <c r="BN130" i="10"/>
  <c r="BN131" i="10"/>
  <c r="CN130" i="10"/>
  <c r="BN132" i="10"/>
  <c r="CN131" i="10"/>
  <c r="BN133" i="10"/>
  <c r="CN132" i="10"/>
  <c r="BN134" i="10"/>
  <c r="CN133" i="10"/>
  <c r="BN135" i="10"/>
  <c r="CN134" i="10"/>
  <c r="CN135" i="10"/>
  <c r="BN136" i="10"/>
  <c r="BN137" i="10"/>
  <c r="CN136" i="10"/>
  <c r="BN138" i="10"/>
  <c r="CN137" i="10"/>
  <c r="CN138" i="10"/>
  <c r="BN139" i="10"/>
  <c r="BN140" i="10"/>
  <c r="CN139" i="10"/>
  <c r="BN141" i="10"/>
  <c r="CN140" i="10"/>
  <c r="CN141" i="10"/>
  <c r="BN142" i="10"/>
  <c r="BN143" i="10"/>
  <c r="CN142" i="10"/>
  <c r="BN144" i="10"/>
  <c r="CN143" i="10"/>
  <c r="CN144" i="10"/>
  <c r="BN145" i="10"/>
  <c r="CN145" i="10"/>
  <c r="BN146" i="10"/>
  <c r="BN147" i="10"/>
  <c r="CN146" i="10"/>
  <c r="CN147" i="10"/>
  <c r="BN148" i="10"/>
  <c r="BN149" i="10"/>
  <c r="CN148" i="10"/>
  <c r="CN149" i="10"/>
  <c r="BN150" i="10"/>
  <c r="BN151" i="10"/>
  <c r="CN150" i="10"/>
  <c r="CN151" i="10"/>
  <c r="BN152" i="10"/>
  <c r="BN153" i="10"/>
  <c r="CN152" i="10"/>
  <c r="BN154" i="10"/>
  <c r="CN153" i="10"/>
  <c r="CN154" i="10"/>
  <c r="BN155" i="10"/>
  <c r="CN155" i="10"/>
  <c r="BN156" i="10"/>
  <c r="BN157" i="10"/>
  <c r="CN156" i="10"/>
  <c r="BN158" i="10"/>
  <c r="CN157" i="10"/>
  <c r="CN158" i="10"/>
  <c r="BN159" i="10"/>
  <c r="CN159" i="10"/>
  <c r="BN160" i="10"/>
  <c r="CN160" i="10"/>
  <c r="BN161" i="10"/>
  <c r="BN162" i="10"/>
  <c r="CN161" i="10"/>
  <c r="CN162" i="10"/>
  <c r="BN163" i="10"/>
  <c r="CN163" i="10"/>
  <c r="BN164" i="10"/>
  <c r="CN164" i="10"/>
  <c r="BN165" i="10"/>
  <c r="BN166" i="10"/>
  <c r="CN165" i="10"/>
  <c r="BN167" i="10"/>
  <c r="CN166" i="10"/>
  <c r="CN167" i="10"/>
  <c r="BN168" i="10"/>
  <c r="CN168" i="10"/>
  <c r="BN169" i="10"/>
  <c r="CN169" i="10"/>
  <c r="BN170" i="10"/>
  <c r="BN171" i="10"/>
  <c r="CN170" i="10"/>
  <c r="BN172" i="10"/>
  <c r="CN171" i="10"/>
  <c r="BN173" i="10"/>
  <c r="CN172" i="10"/>
  <c r="BN174" i="10"/>
  <c r="CN173" i="10"/>
  <c r="CN174" i="10"/>
  <c r="BN175" i="10"/>
  <c r="BN176" i="10"/>
  <c r="CN175" i="10"/>
  <c r="BN177" i="10"/>
  <c r="CN176" i="10"/>
  <c r="CN177" i="10"/>
  <c r="BN178" i="10"/>
  <c r="CN178" i="10"/>
  <c r="BN179" i="10"/>
  <c r="CN179" i="10"/>
  <c r="BN180" i="10"/>
  <c r="CN180" i="10"/>
  <c r="BN181" i="10"/>
  <c r="BN182" i="10"/>
  <c r="CN181" i="10"/>
  <c r="BN183" i="10"/>
  <c r="CN182" i="10"/>
  <c r="BN184" i="10"/>
  <c r="CN183" i="10"/>
  <c r="BN185" i="10"/>
  <c r="CN184" i="10"/>
  <c r="BN186" i="10"/>
  <c r="CN185" i="10"/>
  <c r="BN187" i="10"/>
  <c r="CN186" i="10"/>
  <c r="CN187" i="10"/>
  <c r="BN188" i="10"/>
  <c r="CN188" i="10"/>
  <c r="BN189" i="10"/>
  <c r="CN189" i="10"/>
  <c r="BN190" i="10"/>
  <c r="CN190" i="10"/>
  <c r="BN191" i="10"/>
  <c r="CN191" i="10"/>
  <c r="BN192" i="10"/>
  <c r="CN192" i="10"/>
  <c r="BN193" i="10"/>
  <c r="BN194" i="10"/>
  <c r="CN193" i="10"/>
  <c r="BN195" i="10"/>
  <c r="CN194" i="10"/>
  <c r="BN196" i="10"/>
  <c r="CN195" i="10"/>
  <c r="CN196" i="10"/>
  <c r="BN197" i="10"/>
  <c r="BN198" i="10"/>
  <c r="CN197" i="10"/>
  <c r="CN198" i="10"/>
  <c r="BN199" i="10"/>
  <c r="BN200" i="10"/>
  <c r="CN199" i="10"/>
  <c r="BN201" i="10"/>
  <c r="CN200" i="10"/>
  <c r="BN202" i="10"/>
  <c r="CN201" i="10"/>
  <c r="BN203" i="10"/>
  <c r="CN202" i="10"/>
  <c r="CN203" i="10"/>
  <c r="BN204" i="10"/>
  <c r="CN204" i="10"/>
  <c r="BN205" i="10"/>
  <c r="BN206" i="10"/>
  <c r="CN205" i="10"/>
  <c r="BN207" i="10"/>
  <c r="CN206" i="10"/>
  <c r="BN208" i="10"/>
  <c r="CN207" i="10"/>
  <c r="CN208" i="10"/>
  <c r="BN209" i="10"/>
  <c r="CN209" i="10"/>
  <c r="BN210" i="10"/>
  <c r="BN211" i="10"/>
  <c r="CN210" i="10"/>
  <c r="CN211" i="10"/>
  <c r="BN212" i="10"/>
  <c r="CN212" i="10"/>
  <c r="BN213" i="10"/>
  <c r="BN214" i="10"/>
  <c r="CN213" i="10"/>
  <c r="BN215" i="10"/>
  <c r="CN214" i="10"/>
  <c r="CN215" i="10"/>
  <c r="BN216" i="10"/>
  <c r="BN217" i="10"/>
  <c r="CN216" i="10"/>
  <c r="CN217" i="10"/>
  <c r="BN218" i="10"/>
  <c r="CN218" i="10"/>
  <c r="BN219" i="10"/>
  <c r="BN220" i="10"/>
  <c r="CN219" i="10"/>
  <c r="CN220" i="10"/>
  <c r="BN221" i="10"/>
  <c r="CN221" i="10"/>
  <c r="BN222" i="10"/>
  <c r="BN223" i="10"/>
  <c r="CN222" i="10"/>
  <c r="BN224" i="10"/>
  <c r="CN223" i="10"/>
  <c r="CN224" i="10"/>
  <c r="BN225" i="10"/>
  <c r="CN225" i="10"/>
  <c r="Q367" i="10"/>
  <c r="BZ424" i="10" s="1"/>
  <c r="Q420" i="10"/>
  <c r="BZ477" i="10" s="1"/>
  <c r="CA477" i="10" s="1"/>
  <c r="BY336" i="10"/>
  <c r="Q227" i="10"/>
  <c r="BZ284" i="10" s="1"/>
  <c r="BY305" i="10"/>
  <c r="BY354" i="10"/>
  <c r="BY330" i="10"/>
  <c r="Q273" i="10"/>
  <c r="BZ330" i="10" s="1"/>
  <c r="BY290" i="10"/>
  <c r="BY329" i="10"/>
  <c r="BY435" i="10"/>
  <c r="Q290" i="10"/>
  <c r="BZ347" i="10"/>
  <c r="Q179" i="10"/>
  <c r="BZ236" i="10" s="1"/>
  <c r="Q78" i="10"/>
  <c r="Q213" i="10"/>
  <c r="BZ270" i="10" s="1"/>
  <c r="CN427" i="10"/>
  <c r="CN480" i="10"/>
  <c r="CO480" i="10" s="1"/>
  <c r="J284" i="10"/>
  <c r="K284" i="10" s="1"/>
  <c r="BO403" i="10" s="1"/>
  <c r="BP403" i="10" s="1"/>
  <c r="V293" i="10"/>
  <c r="BU351" i="10" s="1"/>
  <c r="V269" i="10"/>
  <c r="BU327" i="10" s="1"/>
  <c r="V257" i="10"/>
  <c r="BU315" i="10" s="1"/>
  <c r="V251" i="10"/>
  <c r="BU309" i="10" s="1"/>
  <c r="V245" i="10"/>
  <c r="BU303" i="10" s="1"/>
  <c r="V239" i="10"/>
  <c r="BU297" i="10" s="1"/>
  <c r="V233" i="10"/>
  <c r="BU291" i="10"/>
  <c r="V227" i="10"/>
  <c r="BU285" i="10" s="1"/>
  <c r="V221" i="10"/>
  <c r="BU279" i="10" s="1"/>
  <c r="V190" i="10"/>
  <c r="BU248" i="10"/>
  <c r="V178" i="10"/>
  <c r="BU236" i="10" s="1"/>
  <c r="V172" i="10"/>
  <c r="BU230" i="10" s="1"/>
  <c r="V166" i="10"/>
  <c r="BU224" i="10" s="1"/>
  <c r="BZ224" i="10" s="1"/>
  <c r="V160" i="10"/>
  <c r="BU218" i="10" s="1"/>
  <c r="BZ218" i="10" s="1"/>
  <c r="V148" i="10"/>
  <c r="BU206" i="10"/>
  <c r="BZ206" i="10" s="1"/>
  <c r="BT149" i="10"/>
  <c r="CQ149" i="10"/>
  <c r="V79" i="10"/>
  <c r="BU137" i="10" s="1"/>
  <c r="BZ137" i="10" s="1"/>
  <c r="BT137" i="10"/>
  <c r="BY137" i="10" s="1"/>
  <c r="V341" i="10"/>
  <c r="BU399" i="10" s="1"/>
  <c r="V335" i="10"/>
  <c r="BU393" i="10"/>
  <c r="V323" i="10"/>
  <c r="BU381" i="10"/>
  <c r="V317" i="10"/>
  <c r="BU375" i="10" s="1"/>
  <c r="V208" i="10"/>
  <c r="BU266" i="10" s="1"/>
  <c r="V202" i="10"/>
  <c r="BU260" i="10" s="1"/>
  <c r="V196" i="10"/>
  <c r="BU254" i="10" s="1"/>
  <c r="BT148" i="10"/>
  <c r="BY148" i="10" s="1"/>
  <c r="V78" i="10"/>
  <c r="BU136" i="10"/>
  <c r="BT136" i="10"/>
  <c r="BY136" i="10" s="1"/>
  <c r="V66" i="10"/>
  <c r="BU124" i="10" s="1"/>
  <c r="BZ124" i="10" s="1"/>
  <c r="V89" i="10"/>
  <c r="BU147" i="10" s="1"/>
  <c r="BZ147" i="10" s="1"/>
  <c r="BT147" i="10"/>
  <c r="CQ147" i="10"/>
  <c r="V77" i="10"/>
  <c r="BU135" i="10" s="1"/>
  <c r="BZ135" i="10" s="1"/>
  <c r="BT135" i="10"/>
  <c r="BY135" i="10"/>
  <c r="V65" i="10"/>
  <c r="BU123" i="10" s="1"/>
  <c r="V41" i="10"/>
  <c r="BU99" i="10" s="1"/>
  <c r="BT99" i="10"/>
  <c r="CQ99" i="10" s="1"/>
  <c r="V88" i="10"/>
  <c r="BU146" i="10"/>
  <c r="BT146" i="10"/>
  <c r="BY146" i="10" s="1"/>
  <c r="V309" i="10"/>
  <c r="BU367" i="10" s="1"/>
  <c r="V303" i="10"/>
  <c r="BU361" i="10" s="1"/>
  <c r="V297" i="10"/>
  <c r="BU355" i="10" s="1"/>
  <c r="V291" i="10"/>
  <c r="BU349" i="10" s="1"/>
  <c r="V285" i="10"/>
  <c r="BU343" i="10" s="1"/>
  <c r="V273" i="10"/>
  <c r="BU331" i="10" s="1"/>
  <c r="V261" i="10"/>
  <c r="BU319" i="10" s="1"/>
  <c r="V255" i="10"/>
  <c r="BU313" i="10" s="1"/>
  <c r="V249" i="10"/>
  <c r="BU307" i="10" s="1"/>
  <c r="V243" i="10"/>
  <c r="BU301" i="10" s="1"/>
  <c r="V237" i="10"/>
  <c r="BU295" i="10" s="1"/>
  <c r="V231" i="10"/>
  <c r="BU289" i="10" s="1"/>
  <c r="V225" i="10"/>
  <c r="BU283" i="10" s="1"/>
  <c r="V219" i="10"/>
  <c r="BU277" i="10" s="1"/>
  <c r="V188" i="10"/>
  <c r="BU246" i="10"/>
  <c r="V182" i="10"/>
  <c r="BU240" i="10" s="1"/>
  <c r="V176" i="10"/>
  <c r="BU234" i="10" s="1"/>
  <c r="V170" i="10"/>
  <c r="BU228" i="10" s="1"/>
  <c r="V164" i="10"/>
  <c r="BU222" i="10" s="1"/>
  <c r="BZ222" i="10" s="1"/>
  <c r="V158" i="10"/>
  <c r="BU216" i="10" s="1"/>
  <c r="V152" i="10"/>
  <c r="BU210" i="10" s="1"/>
  <c r="BZ210" i="10" s="1"/>
  <c r="V146" i="10"/>
  <c r="BU204" i="10" s="1"/>
  <c r="V87" i="10"/>
  <c r="BU145" i="10" s="1"/>
  <c r="BZ145" i="10" s="1"/>
  <c r="BT145" i="10"/>
  <c r="V63" i="10"/>
  <c r="BU121" i="10" s="1"/>
  <c r="BZ121" i="10" s="1"/>
  <c r="V74" i="10"/>
  <c r="BU132" i="10" s="1"/>
  <c r="BZ132" i="10" s="1"/>
  <c r="V62" i="10"/>
  <c r="BU120" i="10" s="1"/>
  <c r="BZ120" i="10" s="1"/>
  <c r="V50" i="10"/>
  <c r="BU108" i="10" s="1"/>
  <c r="BZ108" i="10" s="1"/>
  <c r="V38" i="10"/>
  <c r="BU96" i="10" s="1"/>
  <c r="BZ96" i="10" s="1"/>
  <c r="V308" i="10"/>
  <c r="BU366" i="10" s="1"/>
  <c r="V302" i="10"/>
  <c r="BU360" i="10" s="1"/>
  <c r="V296" i="10"/>
  <c r="BU354" i="10" s="1"/>
  <c r="V290" i="10"/>
  <c r="BU348" i="10" s="1"/>
  <c r="V284" i="10"/>
  <c r="BU342" i="10" s="1"/>
  <c r="V278" i="10"/>
  <c r="BU336" i="10" s="1"/>
  <c r="V272" i="10"/>
  <c r="BU330" i="10" s="1"/>
  <c r="V266" i="10"/>
  <c r="BU324" i="10" s="1"/>
  <c r="V260" i="10"/>
  <c r="BU318" i="10" s="1"/>
  <c r="V254" i="10"/>
  <c r="BU312" i="10" s="1"/>
  <c r="V248" i="10"/>
  <c r="BU306" i="10" s="1"/>
  <c r="V242" i="10"/>
  <c r="BU300" i="10" s="1"/>
  <c r="V236" i="10"/>
  <c r="BU294" i="10"/>
  <c r="V230" i="10"/>
  <c r="BU288" i="10" s="1"/>
  <c r="V224" i="10"/>
  <c r="BU282" i="10" s="1"/>
  <c r="V218" i="10"/>
  <c r="BU276" i="10" s="1"/>
  <c r="V187" i="10"/>
  <c r="BU245" i="10" s="1"/>
  <c r="V181" i="10"/>
  <c r="BU239" i="10" s="1"/>
  <c r="V175" i="10"/>
  <c r="BU233" i="10" s="1"/>
  <c r="V169" i="10"/>
  <c r="BU227" i="10" s="1"/>
  <c r="V163" i="10"/>
  <c r="BU221" i="10" s="1"/>
  <c r="V157" i="10"/>
  <c r="BU215" i="10" s="1"/>
  <c r="BZ215" i="10" s="1"/>
  <c r="V151" i="10"/>
  <c r="BU209" i="10" s="1"/>
  <c r="BZ209" i="10" s="1"/>
  <c r="V145" i="10"/>
  <c r="BU203" i="10"/>
  <c r="V85" i="10"/>
  <c r="BU143" i="10" s="1"/>
  <c r="BZ143" i="10" s="1"/>
  <c r="V73" i="10"/>
  <c r="BU131" i="10"/>
  <c r="BZ131" i="10" s="1"/>
  <c r="BT131" i="10"/>
  <c r="CQ131" i="10"/>
  <c r="V338" i="10"/>
  <c r="BU396" i="10" s="1"/>
  <c r="V332" i="10"/>
  <c r="BU390" i="10" s="1"/>
  <c r="V326" i="10"/>
  <c r="BU384" i="10"/>
  <c r="V320" i="10"/>
  <c r="BU378" i="10" s="1"/>
  <c r="V314" i="10"/>
  <c r="BU372" i="10" s="1"/>
  <c r="V211" i="10"/>
  <c r="BU269" i="10" s="1"/>
  <c r="V205" i="10"/>
  <c r="BU263" i="10" s="1"/>
  <c r="V199" i="10"/>
  <c r="BU257" i="10"/>
  <c r="V193" i="10"/>
  <c r="BU251" i="10" s="1"/>
  <c r="V96" i="10"/>
  <c r="BU154" i="10" s="1"/>
  <c r="V84" i="10"/>
  <c r="BU142" i="10"/>
  <c r="BZ142" i="10" s="1"/>
  <c r="BT142" i="10"/>
  <c r="CQ142" i="10" s="1"/>
  <c r="V72" i="10"/>
  <c r="BU130" i="10"/>
  <c r="BT130" i="10"/>
  <c r="BY130" i="10"/>
  <c r="V95" i="10"/>
  <c r="BU153" i="10" s="1"/>
  <c r="BZ153" i="10" s="1"/>
  <c r="V83" i="10"/>
  <c r="BU141" i="10" s="1"/>
  <c r="BZ141" i="10" s="1"/>
  <c r="BT141" i="10"/>
  <c r="BY141" i="10"/>
  <c r="V71" i="10"/>
  <c r="BU129" i="10" s="1"/>
  <c r="BZ129" i="10" s="1"/>
  <c r="BT129" i="10"/>
  <c r="BY129" i="10" s="1"/>
  <c r="V59" i="10"/>
  <c r="BU117" i="10" s="1"/>
  <c r="V47" i="10"/>
  <c r="BU105" i="10" s="1"/>
  <c r="BZ105" i="10" s="1"/>
  <c r="BT105" i="10"/>
  <c r="CQ105" i="10"/>
  <c r="V94" i="10"/>
  <c r="BU152" i="10" s="1"/>
  <c r="BZ152" i="10" s="1"/>
  <c r="BT152" i="10"/>
  <c r="BY152" i="10"/>
  <c r="V82" i="10"/>
  <c r="BU140" i="10" s="1"/>
  <c r="BT140" i="10"/>
  <c r="BY140" i="10" s="1"/>
  <c r="V306" i="10"/>
  <c r="BU364" i="10"/>
  <c r="V294" i="10"/>
  <c r="BU352" i="10" s="1"/>
  <c r="V288" i="10"/>
  <c r="BU346" i="10" s="1"/>
  <c r="V282" i="10"/>
  <c r="BU340" i="10" s="1"/>
  <c r="V276" i="10"/>
  <c r="BU334" i="10" s="1"/>
  <c r="V270" i="10"/>
  <c r="BU328" i="10" s="1"/>
  <c r="V264" i="10"/>
  <c r="BU322" i="10"/>
  <c r="V258" i="10"/>
  <c r="BU316" i="10" s="1"/>
  <c r="V252" i="10"/>
  <c r="BU310" i="10" s="1"/>
  <c r="V240" i="10"/>
  <c r="BU298" i="10" s="1"/>
  <c r="V234" i="10"/>
  <c r="BU292" i="10" s="1"/>
  <c r="V228" i="10"/>
  <c r="BU286" i="10" s="1"/>
  <c r="V222" i="10"/>
  <c r="BU280" i="10"/>
  <c r="V216" i="10"/>
  <c r="BU274" i="10" s="1"/>
  <c r="V185" i="10"/>
  <c r="BU243" i="10" s="1"/>
  <c r="V179" i="10"/>
  <c r="BU237" i="10" s="1"/>
  <c r="V173" i="10"/>
  <c r="BU231" i="10" s="1"/>
  <c r="V167" i="10"/>
  <c r="BU225" i="10" s="1"/>
  <c r="V161" i="10"/>
  <c r="BU219" i="10" s="1"/>
  <c r="V155" i="10"/>
  <c r="BU213" i="10" s="1"/>
  <c r="V149" i="10"/>
  <c r="BU207" i="10" s="1"/>
  <c r="V69" i="10"/>
  <c r="BU127" i="10" s="1"/>
  <c r="BT127" i="10"/>
  <c r="BY127" i="10"/>
  <c r="V92" i="10"/>
  <c r="BU150" i="10" s="1"/>
  <c r="BT150" i="10"/>
  <c r="BY150" i="10" s="1"/>
  <c r="V80" i="10"/>
  <c r="BU138" i="10" s="1"/>
  <c r="BZ138" i="10" s="1"/>
  <c r="BT138" i="10"/>
  <c r="V68" i="10"/>
  <c r="BU126" i="10" s="1"/>
  <c r="BT126" i="10"/>
  <c r="CQ126" i="10"/>
  <c r="V56" i="10"/>
  <c r="BU114" i="10" s="1"/>
  <c r="BZ114" i="10" s="1"/>
  <c r="BT114" i="10"/>
  <c r="CQ114" i="10"/>
  <c r="V44" i="10"/>
  <c r="BU102" i="10" s="1"/>
  <c r="BZ102" i="10" s="1"/>
  <c r="BZ90" i="10"/>
  <c r="BT72" i="10"/>
  <c r="BY72" i="10" s="1"/>
  <c r="CQ72" i="10"/>
  <c r="BT90" i="10"/>
  <c r="CQ90" i="10"/>
  <c r="V57" i="10"/>
  <c r="BU115" i="10" s="1"/>
  <c r="BZ115" i="10" s="1"/>
  <c r="V51" i="10"/>
  <c r="BU109" i="10" s="1"/>
  <c r="BZ109" i="10" s="1"/>
  <c r="V45" i="10"/>
  <c r="BU103" i="10" s="1"/>
  <c r="V39" i="10"/>
  <c r="BU97" i="10"/>
  <c r="BZ97" i="10"/>
  <c r="V33" i="10"/>
  <c r="BU91" i="10"/>
  <c r="V27" i="10"/>
  <c r="BU85" i="10"/>
  <c r="BZ85" i="10" s="1"/>
  <c r="V21" i="10"/>
  <c r="BU79" i="10" s="1"/>
  <c r="V15" i="10"/>
  <c r="BU73" i="10" s="1"/>
  <c r="BZ73" i="10" s="1"/>
  <c r="V9" i="10"/>
  <c r="BU67" i="10" s="1"/>
  <c r="BZ67" i="10" s="1"/>
  <c r="BT83" i="10"/>
  <c r="CQ83" i="10"/>
  <c r="BT77" i="10"/>
  <c r="BY77" i="10" s="1"/>
  <c r="BT71" i="10"/>
  <c r="CQ71" i="10"/>
  <c r="BT65" i="10"/>
  <c r="BY65" i="10"/>
  <c r="BT113" i="10"/>
  <c r="BY113" i="10" s="1"/>
  <c r="BT107" i="10"/>
  <c r="BY107" i="10"/>
  <c r="BT101" i="10"/>
  <c r="BY101" i="10" s="1"/>
  <c r="BT95" i="10"/>
  <c r="BY95" i="10"/>
  <c r="BT89" i="10"/>
  <c r="BT82" i="10"/>
  <c r="CQ82" i="10" s="1"/>
  <c r="BT70" i="10"/>
  <c r="BY70" i="10" s="1"/>
  <c r="BT118" i="10"/>
  <c r="BY118" i="10"/>
  <c r="BT112" i="10"/>
  <c r="BY112" i="10" s="1"/>
  <c r="BT106" i="10"/>
  <c r="BT94" i="10"/>
  <c r="BY94" i="10"/>
  <c r="BT88" i="10"/>
  <c r="BY88" i="10" s="1"/>
  <c r="BT125" i="10"/>
  <c r="BY125" i="10"/>
  <c r="BT119" i="10"/>
  <c r="BY119" i="10"/>
  <c r="BT87" i="10"/>
  <c r="BY87" i="10"/>
  <c r="BT81" i="10"/>
  <c r="BT93" i="10"/>
  <c r="BT80" i="10"/>
  <c r="CQ80" i="10"/>
  <c r="BT74" i="10"/>
  <c r="CQ74" i="10"/>
  <c r="BT68" i="10"/>
  <c r="CQ68" i="10" s="1"/>
  <c r="BT104" i="10"/>
  <c r="BT98" i="10"/>
  <c r="BY98" i="10" s="1"/>
  <c r="BT128" i="10"/>
  <c r="BY128" i="10"/>
  <c r="BT122" i="10"/>
  <c r="CQ122" i="10" s="1"/>
  <c r="BY142" i="10"/>
  <c r="CQ148" i="10"/>
  <c r="CQ146" i="10"/>
  <c r="CQ137" i="10"/>
  <c r="BY149" i="10"/>
  <c r="BY99" i="10"/>
  <c r="R10" i="13"/>
  <c r="Q202" i="10"/>
  <c r="BZ259" i="10" s="1"/>
  <c r="BY461" i="10"/>
  <c r="BY292" i="10"/>
  <c r="BY436" i="10"/>
  <c r="BY393" i="10"/>
  <c r="BY280" i="10"/>
  <c r="Q327" i="10"/>
  <c r="BZ384" i="10" s="1"/>
  <c r="Q399" i="10"/>
  <c r="BZ456" i="10" s="1"/>
  <c r="CA456" i="10" s="1"/>
  <c r="BY415" i="10"/>
  <c r="Q338" i="10"/>
  <c r="BZ395" i="10" s="1"/>
  <c r="BY327" i="10"/>
  <c r="Q204" i="10"/>
  <c r="BZ261" i="10" s="1"/>
  <c r="BY321" i="10"/>
  <c r="BY410" i="10"/>
  <c r="Q81" i="10"/>
  <c r="Q14" i="13"/>
  <c r="T8" i="13"/>
  <c r="CN425" i="10"/>
  <c r="BT380" i="10"/>
  <c r="CQ380" i="10" s="1"/>
  <c r="V322" i="10"/>
  <c r="BU380" i="10" s="1"/>
  <c r="BT159" i="10"/>
  <c r="CQ159" i="10" s="1"/>
  <c r="V101" i="10"/>
  <c r="BU159" i="10" s="1"/>
  <c r="BZ159" i="10" s="1"/>
  <c r="BT151" i="10"/>
  <c r="V93" i="10"/>
  <c r="BU151" i="10" s="1"/>
  <c r="V81" i="10"/>
  <c r="BU139" i="10" s="1"/>
  <c r="BZ139" i="10" s="1"/>
  <c r="BT139" i="10"/>
  <c r="BY139" i="10"/>
  <c r="BT358" i="10"/>
  <c r="CQ358" i="10"/>
  <c r="V300" i="10"/>
  <c r="BU358" i="10" s="1"/>
  <c r="BT195" i="10"/>
  <c r="V137" i="10"/>
  <c r="BU195" i="10" s="1"/>
  <c r="V17" i="10"/>
  <c r="BU75" i="10"/>
  <c r="BZ75" i="10" s="1"/>
  <c r="V342" i="10"/>
  <c r="BU400" i="10" s="1"/>
  <c r="V334" i="10"/>
  <c r="BU392" i="10"/>
  <c r="BT386" i="10"/>
  <c r="CQ386" i="10"/>
  <c r="V328" i="10"/>
  <c r="BU386" i="10" s="1"/>
  <c r="BT379" i="10"/>
  <c r="CQ379" i="10" s="1"/>
  <c r="V321" i="10"/>
  <c r="BU379" i="10" s="1"/>
  <c r="V333" i="10"/>
  <c r="BU391" i="10" s="1"/>
  <c r="V319" i="10"/>
  <c r="BU377" i="10" s="1"/>
  <c r="V313" i="10"/>
  <c r="BU371" i="10" s="1"/>
  <c r="BT183" i="10"/>
  <c r="V125" i="10"/>
  <c r="BU183" i="10"/>
  <c r="V339" i="10"/>
  <c r="BU397" i="10" s="1"/>
  <c r="V312" i="10"/>
  <c r="BU370" i="10" s="1"/>
  <c r="V337" i="10"/>
  <c r="BU395" i="10"/>
  <c r="V331" i="10"/>
  <c r="BU389" i="10" s="1"/>
  <c r="V113" i="10"/>
  <c r="BU171" i="10" s="1"/>
  <c r="V330" i="10"/>
  <c r="BU388" i="10" s="1"/>
  <c r="V316" i="10"/>
  <c r="BU374" i="10" s="1"/>
  <c r="BT368" i="10"/>
  <c r="CQ368" i="10" s="1"/>
  <c r="V310" i="10"/>
  <c r="BU368" i="10" s="1"/>
  <c r="V301" i="10"/>
  <c r="BU359" i="10" s="1"/>
  <c r="V292" i="10"/>
  <c r="BU350" i="10" s="1"/>
  <c r="V283" i="10"/>
  <c r="BU341" i="10" s="1"/>
  <c r="V274" i="10"/>
  <c r="BU332" i="10" s="1"/>
  <c r="V265" i="10"/>
  <c r="BU323" i="10" s="1"/>
  <c r="V256" i="10"/>
  <c r="BU314" i="10" s="1"/>
  <c r="V247" i="10"/>
  <c r="BU305" i="10" s="1"/>
  <c r="V238" i="10"/>
  <c r="BU296" i="10" s="1"/>
  <c r="V229" i="10"/>
  <c r="BU287" i="10" s="1"/>
  <c r="BT197" i="10"/>
  <c r="BY197" i="10" s="1"/>
  <c r="V136" i="10"/>
  <c r="BU194" i="10"/>
  <c r="BZ194" i="10" s="1"/>
  <c r="V124" i="10"/>
  <c r="BU182" i="10"/>
  <c r="BZ182" i="10" s="1"/>
  <c r="V112" i="10"/>
  <c r="BU170" i="10" s="1"/>
  <c r="BZ170" i="10" s="1"/>
  <c r="V100" i="10"/>
  <c r="BU158" i="10" s="1"/>
  <c r="V207" i="10"/>
  <c r="BU265" i="10"/>
  <c r="V200" i="10"/>
  <c r="BU258" i="10" s="1"/>
  <c r="V159" i="10"/>
  <c r="BU217" i="10"/>
  <c r="V133" i="10"/>
  <c r="BU191" i="10" s="1"/>
  <c r="BZ191" i="10" s="1"/>
  <c r="V121" i="10"/>
  <c r="BU179" i="10" s="1"/>
  <c r="BZ179" i="10" s="1"/>
  <c r="V109" i="10"/>
  <c r="BU167" i="10" s="1"/>
  <c r="V97" i="10"/>
  <c r="BU155" i="10" s="1"/>
  <c r="BZ155" i="10" s="1"/>
  <c r="O7" i="13"/>
  <c r="AI7" i="13"/>
  <c r="AK11" i="13"/>
  <c r="AM11" i="13"/>
  <c r="AO11" i="13"/>
  <c r="AQ11" i="13"/>
  <c r="AS11" i="13"/>
  <c r="AU11" i="13"/>
  <c r="AW11" i="13"/>
  <c r="AI8" i="13"/>
  <c r="AK10" i="13"/>
  <c r="AL16" i="13"/>
  <c r="AM10" i="13"/>
  <c r="AN16" i="13"/>
  <c r="AO10" i="13"/>
  <c r="AP16" i="13"/>
  <c r="AQ10" i="13"/>
  <c r="AR16" i="13"/>
  <c r="AS10" i="13"/>
  <c r="AT16" i="13"/>
  <c r="AU10" i="13"/>
  <c r="AV16" i="13"/>
  <c r="AW10" i="13"/>
  <c r="AX16" i="13"/>
  <c r="AI9" i="13"/>
  <c r="AK9" i="13"/>
  <c r="AL15" i="13"/>
  <c r="AM9" i="13"/>
  <c r="AN15" i="13"/>
  <c r="AO9" i="13"/>
  <c r="AP15" i="13"/>
  <c r="AQ9" i="13"/>
  <c r="AR15" i="13"/>
  <c r="AS9" i="13"/>
  <c r="AT15" i="13"/>
  <c r="AU9" i="13"/>
  <c r="AV15" i="13"/>
  <c r="AW9" i="13"/>
  <c r="AX15" i="13"/>
  <c r="F7" i="13"/>
  <c r="AG7" i="13"/>
  <c r="AI10" i="13"/>
  <c r="AK8" i="13"/>
  <c r="AL14" i="13"/>
  <c r="AM8" i="13"/>
  <c r="AN14" i="13"/>
  <c r="AO8" i="13"/>
  <c r="AP14" i="13"/>
  <c r="AQ8" i="13"/>
  <c r="AR14" i="13"/>
  <c r="AS8" i="13"/>
  <c r="AT14" i="13"/>
  <c r="AU8" i="13"/>
  <c r="AV14" i="13"/>
  <c r="AW8" i="13"/>
  <c r="AX14" i="13"/>
  <c r="AI11" i="13"/>
  <c r="AJ16" i="13"/>
  <c r="AK7" i="13"/>
  <c r="AL13" i="13"/>
  <c r="AM7" i="13"/>
  <c r="AN13" i="13"/>
  <c r="AO7" i="13"/>
  <c r="AP13" i="13"/>
  <c r="AQ7" i="13"/>
  <c r="AR13" i="13"/>
  <c r="AS7" i="13"/>
  <c r="AT13" i="13"/>
  <c r="AU7" i="13"/>
  <c r="AV13" i="13"/>
  <c r="AW7" i="13"/>
  <c r="AX13" i="13"/>
  <c r="E7" i="13"/>
  <c r="Y35" i="11"/>
  <c r="AA35" i="11" s="1"/>
  <c r="AI12" i="13"/>
  <c r="AJ15" i="13"/>
  <c r="AL12" i="13"/>
  <c r="AN12" i="13"/>
  <c r="AP12" i="13"/>
  <c r="AR12" i="13"/>
  <c r="AT12" i="13"/>
  <c r="AV12" i="13"/>
  <c r="AX12" i="13"/>
  <c r="Y33" i="11"/>
  <c r="AA33" i="11" s="1"/>
  <c r="AI13" i="13"/>
  <c r="AJ9" i="13"/>
  <c r="AJ14" i="13"/>
  <c r="AL11" i="13"/>
  <c r="AN11" i="13"/>
  <c r="AP11" i="13"/>
  <c r="AR11" i="13"/>
  <c r="AT11" i="13"/>
  <c r="AV11" i="13"/>
  <c r="AX11" i="13"/>
  <c r="AI14" i="13"/>
  <c r="AJ8" i="13"/>
  <c r="AJ13" i="13"/>
  <c r="AK16" i="13"/>
  <c r="AL10" i="13"/>
  <c r="AM16" i="13"/>
  <c r="AN10" i="13"/>
  <c r="AO16" i="13"/>
  <c r="AP10" i="13"/>
  <c r="AQ16" i="13"/>
  <c r="AR10" i="13"/>
  <c r="AS16" i="13"/>
  <c r="AT10" i="13"/>
  <c r="AU16" i="13"/>
  <c r="AV10" i="13"/>
  <c r="AW16" i="13"/>
  <c r="AX10" i="13"/>
  <c r="AI15" i="13"/>
  <c r="AJ7" i="13"/>
  <c r="AK15" i="13"/>
  <c r="AL9" i="13"/>
  <c r="AM15" i="13"/>
  <c r="AN9" i="13"/>
  <c r="AO15" i="13"/>
  <c r="AP9" i="13"/>
  <c r="AQ15" i="13"/>
  <c r="AR9" i="13"/>
  <c r="AS15" i="13"/>
  <c r="AT9" i="13"/>
  <c r="AU15" i="13"/>
  <c r="AV9" i="13"/>
  <c r="AK14" i="13"/>
  <c r="AL8" i="13"/>
  <c r="AM14" i="13"/>
  <c r="AN8" i="13"/>
  <c r="AO14" i="13"/>
  <c r="AP8" i="13"/>
  <c r="AQ14" i="13"/>
  <c r="AR8" i="13"/>
  <c r="AS14" i="13"/>
  <c r="AT8" i="13"/>
  <c r="AU14" i="13"/>
  <c r="AV8" i="13"/>
  <c r="AK13" i="13"/>
  <c r="AL7" i="13"/>
  <c r="AM13" i="13"/>
  <c r="AN7" i="13"/>
  <c r="AO13" i="13"/>
  <c r="AP7" i="13"/>
  <c r="AQ13" i="13"/>
  <c r="AR7" i="13"/>
  <c r="AS13" i="13"/>
  <c r="AT7" i="13"/>
  <c r="AU13" i="13"/>
  <c r="AV7" i="13"/>
  <c r="S12" i="13"/>
  <c r="S14" i="13"/>
  <c r="T14" i="13"/>
  <c r="N18" i="13"/>
  <c r="R15" i="13"/>
  <c r="M18" i="13"/>
  <c r="L18" i="13"/>
  <c r="T10" i="13"/>
  <c r="X10" i="13"/>
  <c r="AC10" i="13"/>
  <c r="AD10" i="13"/>
  <c r="O11" i="13"/>
  <c r="R12" i="13"/>
  <c r="Q12" i="13"/>
  <c r="R13" i="13"/>
  <c r="Q13" i="13"/>
  <c r="X8" i="13"/>
  <c r="AC8" i="13"/>
  <c r="AD8" i="13"/>
  <c r="T9" i="13"/>
  <c r="T15" i="13"/>
  <c r="X15" i="13"/>
  <c r="AC15" i="13"/>
  <c r="AD15" i="13"/>
  <c r="M23" i="13"/>
  <c r="S9" i="13"/>
  <c r="X12" i="13"/>
  <c r="AC12" i="13"/>
  <c r="AD12" i="13"/>
  <c r="Q388" i="10"/>
  <c r="BZ445" i="10" s="1"/>
  <c r="CA445" i="10" s="1"/>
  <c r="BY445" i="10"/>
  <c r="Q208" i="10"/>
  <c r="BZ265" i="10" s="1"/>
  <c r="BY248" i="10"/>
  <c r="Q303" i="10"/>
  <c r="BZ360" i="10" s="1"/>
  <c r="Q222" i="10"/>
  <c r="BZ279" i="10" s="1"/>
  <c r="BY279" i="10"/>
  <c r="BY247" i="10"/>
  <c r="BY470" i="10"/>
  <c r="Q413" i="10"/>
  <c r="BZ470" i="10" s="1"/>
  <c r="CA470" i="10" s="1"/>
  <c r="BY365" i="10"/>
  <c r="Q220" i="10"/>
  <c r="BZ277" i="10" s="1"/>
  <c r="Q118" i="10"/>
  <c r="Q108" i="10"/>
  <c r="Q90" i="10"/>
  <c r="BY369" i="10"/>
  <c r="BY332" i="10"/>
  <c r="Q219" i="10"/>
  <c r="BZ276" i="10" s="1"/>
  <c r="Q99" i="10"/>
  <c r="BY358" i="10"/>
  <c r="Q174" i="10"/>
  <c r="BZ231" i="10" s="1"/>
  <c r="Q253" i="10"/>
  <c r="BZ310" i="10" s="1"/>
  <c r="BY243" i="10"/>
  <c r="BY425" i="10"/>
  <c r="BY420" i="10"/>
  <c r="BY414" i="10"/>
  <c r="BY311" i="10"/>
  <c r="Q217" i="10"/>
  <c r="BZ274" i="10" s="1"/>
  <c r="Q69" i="10"/>
  <c r="Q331" i="10"/>
  <c r="BZ388" i="10" s="1"/>
  <c r="BY287" i="10"/>
  <c r="R11" i="13"/>
  <c r="Q11" i="13"/>
  <c r="W15" i="13"/>
  <c r="T11" i="13"/>
  <c r="S11" i="13"/>
  <c r="Q9" i="13"/>
  <c r="R9" i="13"/>
  <c r="R14" i="13"/>
  <c r="W14" i="13"/>
  <c r="S13" i="13"/>
  <c r="T13" i="13"/>
  <c r="T16" i="13"/>
  <c r="S16" i="13"/>
  <c r="X16" i="13"/>
  <c r="AC16" i="13"/>
  <c r="AD16" i="13"/>
  <c r="W16" i="13"/>
  <c r="W12" i="13"/>
  <c r="R7" i="13"/>
  <c r="Q7" i="13"/>
  <c r="W7" i="13" s="1"/>
  <c r="AA7" i="13" s="1"/>
  <c r="AB7" i="13" s="1"/>
  <c r="Q10" i="13"/>
  <c r="W10" i="13"/>
  <c r="Q8" i="13"/>
  <c r="R8" i="13"/>
  <c r="X29" i="11"/>
  <c r="Y29" i="11" s="1"/>
  <c r="AA29" i="11" s="1"/>
  <c r="CN464" i="10"/>
  <c r="CO464" i="10" s="1"/>
  <c r="BY157" i="10"/>
  <c r="CQ157" i="10"/>
  <c r="CQ94" i="10"/>
  <c r="BT394" i="10"/>
  <c r="CQ394" i="10" s="1"/>
  <c r="BT329" i="10"/>
  <c r="CQ329" i="10" s="1"/>
  <c r="BT250" i="10"/>
  <c r="CQ250" i="10" s="1"/>
  <c r="V156" i="10"/>
  <c r="BU214" i="10" s="1"/>
  <c r="BZ214" i="10" s="1"/>
  <c r="V126" i="10"/>
  <c r="BU184" i="10" s="1"/>
  <c r="BZ184" i="10" s="1"/>
  <c r="V111" i="10"/>
  <c r="BU169" i="10" s="1"/>
  <c r="BZ169" i="10" s="1"/>
  <c r="V325" i="10"/>
  <c r="BU383" i="10" s="1"/>
  <c r="BT241" i="10"/>
  <c r="CQ241" i="10"/>
  <c r="V108" i="10"/>
  <c r="BU166" i="10" s="1"/>
  <c r="BZ166" i="10" s="1"/>
  <c r="V99" i="10"/>
  <c r="BU157" i="10" s="1"/>
  <c r="V198" i="10"/>
  <c r="BU256" i="10"/>
  <c r="BT223" i="10"/>
  <c r="CQ223" i="10" s="1"/>
  <c r="BT174" i="10"/>
  <c r="BY174" i="10" s="1"/>
  <c r="V107" i="10"/>
  <c r="BU165" i="10" s="1"/>
  <c r="V98" i="10"/>
  <c r="BU156" i="10" s="1"/>
  <c r="V324" i="10"/>
  <c r="BU382" i="10" s="1"/>
  <c r="V318" i="10"/>
  <c r="BU376" i="10" s="1"/>
  <c r="V250" i="10"/>
  <c r="BU308" i="10" s="1"/>
  <c r="V217" i="10"/>
  <c r="BU275" i="10" s="1"/>
  <c r="V209" i="10"/>
  <c r="BU267" i="10" s="1"/>
  <c r="V194" i="10"/>
  <c r="BU252" i="10" s="1"/>
  <c r="V259" i="10"/>
  <c r="BU317" i="10"/>
  <c r="V201" i="10"/>
  <c r="BU259" i="10" s="1"/>
  <c r="V343" i="10"/>
  <c r="BU401" i="10" s="1"/>
  <c r="V327" i="10"/>
  <c r="BU385" i="10" s="1"/>
  <c r="V307" i="10"/>
  <c r="BU365" i="10" s="1"/>
  <c r="V268" i="10"/>
  <c r="BU326" i="10" s="1"/>
  <c r="V212" i="10"/>
  <c r="BU270" i="10" s="1"/>
  <c r="BT187" i="10"/>
  <c r="V106" i="10"/>
  <c r="BU164" i="10" s="1"/>
  <c r="X13" i="13"/>
  <c r="AC13" i="13"/>
  <c r="AD13" i="13"/>
  <c r="X11" i="13"/>
  <c r="AC11" i="13"/>
  <c r="AD11" i="13"/>
  <c r="W13" i="13"/>
  <c r="AA13" i="13"/>
  <c r="AB13" i="13"/>
  <c r="K21" i="11"/>
  <c r="X9" i="13"/>
  <c r="AC9" i="13"/>
  <c r="AD9" i="13"/>
  <c r="X14" i="13"/>
  <c r="AC14" i="13"/>
  <c r="AD14" i="13"/>
  <c r="W8" i="13"/>
  <c r="W9" i="13"/>
  <c r="AA12" i="13"/>
  <c r="AA16" i="13"/>
  <c r="AA14" i="13"/>
  <c r="AA15" i="13"/>
  <c r="AA10" i="13"/>
  <c r="W11" i="13"/>
  <c r="Z13" i="13"/>
  <c r="AE13" i="13" s="1"/>
  <c r="AF13" i="13" s="1"/>
  <c r="AA8" i="13"/>
  <c r="AB8" i="13"/>
  <c r="AB15" i="13"/>
  <c r="AA9" i="13"/>
  <c r="AB10" i="13"/>
  <c r="AB12" i="13"/>
  <c r="AA11" i="13"/>
  <c r="AB14" i="13"/>
  <c r="L21" i="11"/>
  <c r="AB16" i="13"/>
  <c r="Z16" i="13"/>
  <c r="AE16" i="13" s="1"/>
  <c r="AF16" i="13" s="1"/>
  <c r="K24" i="11"/>
  <c r="K18" i="11"/>
  <c r="Z10" i="13"/>
  <c r="AE10" i="13" s="1"/>
  <c r="AF10" i="13" s="1"/>
  <c r="K20" i="11"/>
  <c r="Z12" i="13"/>
  <c r="AE12" i="13" s="1"/>
  <c r="AF12" i="13" s="1"/>
  <c r="AB11" i="13"/>
  <c r="Z8" i="13"/>
  <c r="AE8" i="13" s="1"/>
  <c r="AF8" i="13" s="1"/>
  <c r="K16" i="11"/>
  <c r="AB9" i="13"/>
  <c r="Z14" i="13"/>
  <c r="AE14" i="13" s="1"/>
  <c r="AF14" i="13" s="1"/>
  <c r="K22" i="11"/>
  <c r="K23" i="11"/>
  <c r="Z15" i="13"/>
  <c r="AE15" i="13"/>
  <c r="AF15" i="13" s="1"/>
  <c r="L18" i="11"/>
  <c r="K15" i="11"/>
  <c r="Z7" i="13"/>
  <c r="AE7" i="13" s="1"/>
  <c r="AF7" i="13" s="1"/>
  <c r="K17" i="11"/>
  <c r="Z9" i="13"/>
  <c r="AE9" i="13" s="1"/>
  <c r="AF9" i="13" s="1"/>
  <c r="L23" i="11"/>
  <c r="Z11" i="13"/>
  <c r="AE11" i="13" s="1"/>
  <c r="AF11" i="13" s="1"/>
  <c r="K19" i="11"/>
  <c r="L24" i="11"/>
  <c r="L20" i="11"/>
  <c r="L16" i="11"/>
  <c r="L22" i="11"/>
  <c r="L19" i="11"/>
  <c r="L17" i="11"/>
  <c r="L15" i="11"/>
  <c r="L40" i="11"/>
  <c r="L38" i="11"/>
  <c r="L45" i="11"/>
  <c r="L43" i="11"/>
  <c r="L36" i="11"/>
  <c r="L44" i="11"/>
  <c r="L37" i="11"/>
  <c r="L39" i="11"/>
  <c r="L41" i="11"/>
  <c r="L42" i="11"/>
  <c r="L46" i="11"/>
  <c r="Q382" i="10"/>
  <c r="BZ439" i="10" s="1"/>
  <c r="CA439" i="10" s="1"/>
  <c r="Q302" i="10"/>
  <c r="BZ359" i="10" s="1"/>
  <c r="BY458" i="10"/>
  <c r="Q271" i="10"/>
  <c r="BZ328" i="10" s="1"/>
  <c r="BY201" i="10"/>
  <c r="CQ201" i="10"/>
  <c r="BY213" i="10"/>
  <c r="CQ213" i="10"/>
  <c r="CQ73" i="10"/>
  <c r="BY73" i="10"/>
  <c r="V213" i="10"/>
  <c r="BU271" i="10" s="1"/>
  <c r="V197" i="10"/>
  <c r="BU255" i="10" s="1"/>
  <c r="V186" i="10"/>
  <c r="BU244" i="10" s="1"/>
  <c r="V122" i="10"/>
  <c r="BU180" i="10" s="1"/>
  <c r="V119" i="10"/>
  <c r="BU177" i="10" s="1"/>
  <c r="BZ177" i="10" s="1"/>
  <c r="BT220" i="10"/>
  <c r="BY220" i="10"/>
  <c r="BT205" i="10"/>
  <c r="BY205" i="10"/>
  <c r="BT196" i="10"/>
  <c r="BY196" i="10" s="1"/>
  <c r="V150" i="10"/>
  <c r="BU208" i="10" s="1"/>
  <c r="V315" i="10"/>
  <c r="BU373" i="10" s="1"/>
  <c r="V253" i="10"/>
  <c r="BU311" i="10"/>
  <c r="V110" i="10"/>
  <c r="BU168" i="10"/>
  <c r="BZ168" i="10" s="1"/>
  <c r="BT293" i="10"/>
  <c r="CQ293" i="10" s="1"/>
  <c r="CR293" i="10" s="1"/>
  <c r="BT229" i="10"/>
  <c r="CQ229" i="10"/>
  <c r="V142" i="10"/>
  <c r="BU200" i="10" s="1"/>
  <c r="BZ200" i="10" s="1"/>
  <c r="V117" i="10"/>
  <c r="BU175" i="10"/>
  <c r="BY249" i="10"/>
  <c r="Q100" i="10"/>
  <c r="BY417" i="10"/>
  <c r="BY375" i="10"/>
  <c r="BY231" i="10"/>
  <c r="Q105" i="10"/>
  <c r="Q72" i="10"/>
  <c r="Q319" i="10"/>
  <c r="BZ376" i="10" s="1"/>
  <c r="BY256" i="10"/>
  <c r="Q408" i="10"/>
  <c r="BZ465" i="10" s="1"/>
  <c r="CA465" i="10" s="1"/>
  <c r="CN429" i="10"/>
  <c r="BY166" i="10"/>
  <c r="CQ166" i="10"/>
  <c r="BY162" i="10"/>
  <c r="CQ162" i="10"/>
  <c r="V277" i="10"/>
  <c r="BU335" i="10" s="1"/>
  <c r="BT192" i="10"/>
  <c r="CQ192" i="10" s="1"/>
  <c r="V130" i="10"/>
  <c r="BU188" i="10" s="1"/>
  <c r="BZ188" i="10" s="1"/>
  <c r="CQ113" i="10"/>
  <c r="BT321" i="10"/>
  <c r="CQ321" i="10"/>
  <c r="V263" i="10"/>
  <c r="BU321" i="10" s="1"/>
  <c r="V104" i="10"/>
  <c r="BU162" i="10" s="1"/>
  <c r="BZ162" i="10" s="1"/>
  <c r="CQ95" i="10"/>
  <c r="V203" i="10"/>
  <c r="BU261" i="10"/>
  <c r="BT357" i="10"/>
  <c r="CQ357" i="10"/>
  <c r="V299" i="10"/>
  <c r="BU357" i="10" s="1"/>
  <c r="V184" i="10"/>
  <c r="BU242" i="10" s="1"/>
  <c r="BT212" i="10"/>
  <c r="BY212" i="10"/>
  <c r="V154" i="10"/>
  <c r="BU212" i="10" s="1"/>
  <c r="BY192" i="10"/>
  <c r="L59" i="9"/>
  <c r="U59" i="9"/>
  <c r="B118" i="9"/>
  <c r="B8" i="12"/>
  <c r="BY479" i="10"/>
  <c r="BY416" i="10"/>
  <c r="BY394" i="10"/>
  <c r="BY366" i="10"/>
  <c r="Q264" i="10"/>
  <c r="BZ321" i="10" s="1"/>
  <c r="BY306" i="10"/>
  <c r="BY408" i="10"/>
  <c r="BY320" i="10"/>
  <c r="Q248" i="10"/>
  <c r="BZ305" i="10" s="1"/>
  <c r="Q247" i="10"/>
  <c r="BZ304" i="10" s="1"/>
  <c r="Q175" i="10"/>
  <c r="BZ232" i="10" s="1"/>
  <c r="BY232" i="10"/>
  <c r="BY258" i="10"/>
  <c r="Q201" i="10"/>
  <c r="BZ258" i="10" s="1"/>
  <c r="Q381" i="10"/>
  <c r="BZ438" i="10" s="1"/>
  <c r="CA438" i="10" s="1"/>
  <c r="Q260" i="10"/>
  <c r="BZ317" i="10" s="1"/>
  <c r="BY317" i="10"/>
  <c r="BY455" i="10"/>
  <c r="Q362" i="10"/>
  <c r="BZ419" i="10" s="1"/>
  <c r="Q325" i="10"/>
  <c r="BZ382" i="10" s="1"/>
  <c r="BY382" i="10"/>
  <c r="Q184" i="10"/>
  <c r="BZ241" i="10"/>
  <c r="BY242" i="10"/>
  <c r="Q317" i="10"/>
  <c r="BZ374" i="10" s="1"/>
  <c r="BY322" i="10"/>
  <c r="BY286" i="10"/>
  <c r="BY255" i="10"/>
  <c r="BY234" i="10"/>
  <c r="Q144" i="10"/>
  <c r="Q403" i="10"/>
  <c r="BZ460" i="10" s="1"/>
  <c r="CA460" i="10" s="1"/>
  <c r="BY447" i="10"/>
  <c r="Q378" i="10"/>
  <c r="BZ435" i="10" s="1"/>
  <c r="CA435" i="10" s="1"/>
  <c r="Q315" i="10"/>
  <c r="BZ372" i="10" s="1"/>
  <c r="BY337" i="10"/>
  <c r="Q272" i="10"/>
  <c r="BZ329" i="10" s="1"/>
  <c r="K8" i="13"/>
  <c r="M8" i="13"/>
  <c r="N19" i="13"/>
  <c r="M19" i="13"/>
  <c r="L19" i="13"/>
  <c r="K147" i="10"/>
  <c r="BO266" i="10" s="1"/>
  <c r="BP266" i="10" s="1"/>
  <c r="BN266" i="10"/>
  <c r="BY211" i="10"/>
  <c r="CQ211" i="10"/>
  <c r="BZ69" i="10"/>
  <c r="BT444" i="10"/>
  <c r="CQ444" i="10" s="1"/>
  <c r="CR444" i="10" s="1"/>
  <c r="V262" i="10"/>
  <c r="BU320" i="10" s="1"/>
  <c r="V141" i="10"/>
  <c r="BU199" i="10" s="1"/>
  <c r="BT172" i="10"/>
  <c r="BY172" i="10"/>
  <c r="BT339" i="10"/>
  <c r="CQ339" i="10" s="1"/>
  <c r="BT299" i="10"/>
  <c r="CQ299" i="10" s="1"/>
  <c r="BT247" i="10"/>
  <c r="CQ247" i="10" s="1"/>
  <c r="CR247" i="10" s="1"/>
  <c r="V153" i="10"/>
  <c r="BU211" i="10" s="1"/>
  <c r="V298" i="10"/>
  <c r="BU356" i="10" s="1"/>
  <c r="V286" i="10"/>
  <c r="BU344" i="10" s="1"/>
  <c r="V226" i="10"/>
  <c r="BU284" i="10" s="1"/>
  <c r="V6" i="10"/>
  <c r="BU64" i="10" s="1"/>
  <c r="BZ64" i="10" s="1"/>
  <c r="BT186" i="10"/>
  <c r="BY186" i="10" s="1"/>
  <c r="BT178" i="10"/>
  <c r="BY178" i="10" s="1"/>
  <c r="L118" i="9"/>
  <c r="U118" i="9"/>
  <c r="U177" i="9" s="1"/>
  <c r="B177" i="9"/>
  <c r="B236" i="9" s="1"/>
  <c r="B295" i="9"/>
  <c r="B354" i="9" s="1"/>
  <c r="CN266" i="10"/>
  <c r="CO266" i="10" s="1"/>
  <c r="CO216" i="10"/>
  <c r="CO204" i="10"/>
  <c r="CO192" i="10"/>
  <c r="CO180" i="10"/>
  <c r="CO168" i="10"/>
  <c r="CR157" i="10"/>
  <c r="CO146" i="10"/>
  <c r="CO135" i="10"/>
  <c r="CO123" i="10"/>
  <c r="CO111" i="10"/>
  <c r="CO99" i="10"/>
  <c r="CO87" i="10"/>
  <c r="CO75" i="10"/>
  <c r="CO63" i="10"/>
  <c r="CO57" i="10"/>
  <c r="CO51" i="10"/>
  <c r="CO45" i="10"/>
  <c r="CO39" i="10"/>
  <c r="CO33" i="10"/>
  <c r="CO27" i="10"/>
  <c r="CO21" i="10"/>
  <c r="CO15" i="10"/>
  <c r="CO9" i="10"/>
  <c r="BY304" i="10"/>
  <c r="Q203" i="10"/>
  <c r="BZ260" i="10" s="1"/>
  <c r="Q125" i="10"/>
  <c r="Q102" i="10"/>
  <c r="Q310" i="10"/>
  <c r="BZ367" i="10" s="1"/>
  <c r="Q335" i="10"/>
  <c r="BZ392" i="10" s="1"/>
  <c r="Q185" i="10"/>
  <c r="BZ242" i="10" s="1"/>
  <c r="BY294" i="10"/>
  <c r="BY298" i="10"/>
  <c r="BY268" i="10"/>
  <c r="Q426" i="10"/>
  <c r="BZ483" i="10"/>
  <c r="CA483" i="10" s="1"/>
  <c r="Q176" i="10"/>
  <c r="BZ233" i="10" s="1"/>
  <c r="Q409" i="10"/>
  <c r="BZ466" i="10" s="1"/>
  <c r="CA466" i="10" s="1"/>
  <c r="BY412" i="10"/>
  <c r="Q279" i="10"/>
  <c r="BZ336" i="10" s="1"/>
  <c r="Q261" i="10"/>
  <c r="BZ318" i="10" s="1"/>
  <c r="BY313" i="10"/>
  <c r="Q165" i="10"/>
  <c r="Q311" i="10"/>
  <c r="BZ368" i="10" s="1"/>
  <c r="CQ112" i="10"/>
  <c r="CQ97" i="10"/>
  <c r="BY97" i="10"/>
  <c r="V244" i="10"/>
  <c r="BU302" i="10"/>
  <c r="V206" i="10"/>
  <c r="BU264" i="10"/>
  <c r="V344" i="10"/>
  <c r="BU402" i="10" s="1"/>
  <c r="V177" i="10"/>
  <c r="BU235" i="10" s="1"/>
  <c r="V289" i="10"/>
  <c r="BU347" i="10" s="1"/>
  <c r="V214" i="10"/>
  <c r="BU272" i="10"/>
  <c r="Q235" i="10"/>
  <c r="BZ292" i="10" s="1"/>
  <c r="Q340" i="10"/>
  <c r="BZ397" i="10" s="1"/>
  <c r="Q112" i="10"/>
  <c r="BY314" i="10"/>
  <c r="Q98" i="10"/>
  <c r="Q376" i="10"/>
  <c r="BZ433" i="10" s="1"/>
  <c r="CA433" i="10" s="1"/>
  <c r="Q383" i="10"/>
  <c r="BZ440" i="10" s="1"/>
  <c r="CA440" i="10" s="1"/>
  <c r="Q143" i="10"/>
  <c r="Q226" i="10"/>
  <c r="BZ283" i="10" s="1"/>
  <c r="Q431" i="10"/>
  <c r="Q154" i="10"/>
  <c r="Q286" i="10"/>
  <c r="BZ343" i="10" s="1"/>
  <c r="Q140" i="10"/>
  <c r="BY422" i="10"/>
  <c r="BY399" i="10"/>
  <c r="Q298" i="10"/>
  <c r="BZ355" i="10" s="1"/>
  <c r="Q414" i="10"/>
  <c r="BZ471" i="10" s="1"/>
  <c r="CA471" i="10" s="1"/>
  <c r="Q169" i="10"/>
  <c r="BZ226" i="10"/>
  <c r="Q418" i="10"/>
  <c r="BZ475" i="10"/>
  <c r="CA475" i="10" s="1"/>
  <c r="Q389" i="10"/>
  <c r="BZ446" i="10" s="1"/>
  <c r="CA446" i="10" s="1"/>
  <c r="Q301" i="10"/>
  <c r="BZ358" i="10" s="1"/>
  <c r="Q280" i="10"/>
  <c r="BZ337" i="10" s="1"/>
  <c r="Q229" i="10"/>
  <c r="BZ286" i="10" s="1"/>
  <c r="Q163" i="10"/>
  <c r="Q93" i="10"/>
  <c r="Q377" i="10"/>
  <c r="BZ434" i="10" s="1"/>
  <c r="CA434" i="10" s="1"/>
  <c r="Q267" i="10"/>
  <c r="BZ324" i="10" s="1"/>
  <c r="Q368" i="10"/>
  <c r="BZ425" i="10" s="1"/>
  <c r="Q357" i="10"/>
  <c r="BZ414" i="10"/>
  <c r="Q150" i="10"/>
  <c r="Q447" i="10"/>
  <c r="Q355" i="10"/>
  <c r="BZ412" i="10" s="1"/>
  <c r="Q124" i="10"/>
  <c r="Q89" i="10"/>
  <c r="BQ479" i="10"/>
  <c r="CJ479" i="10"/>
  <c r="CN479" i="10"/>
  <c r="CO479" i="10"/>
  <c r="CN441" i="10"/>
  <c r="CO441" i="10"/>
  <c r="BQ441" i="10"/>
  <c r="CJ441" i="10"/>
  <c r="BN392" i="10"/>
  <c r="BN283" i="10"/>
  <c r="BN291" i="10"/>
  <c r="CN291" i="10"/>
  <c r="BN311" i="10"/>
  <c r="CN311" i="10" s="1"/>
  <c r="BN242" i="10"/>
  <c r="CN242" i="10"/>
  <c r="CN412" i="10"/>
  <c r="CO412" i="10" s="1"/>
  <c r="BN400" i="10"/>
  <c r="BY75" i="10"/>
  <c r="CQ75" i="10"/>
  <c r="CQ103" i="10"/>
  <c r="BY103" i="10"/>
  <c r="BY154" i="10"/>
  <c r="CQ154" i="10"/>
  <c r="BY132" i="10"/>
  <c r="CQ132" i="10"/>
  <c r="CQ199" i="10"/>
  <c r="BY199" i="10"/>
  <c r="BY179" i="10"/>
  <c r="CQ179" i="10"/>
  <c r="CQ182" i="10"/>
  <c r="BY182" i="10"/>
  <c r="BY200" i="10"/>
  <c r="CQ200" i="10"/>
  <c r="CQ215" i="10"/>
  <c r="BY105" i="10"/>
  <c r="BY159" i="10"/>
  <c r="BT110" i="10"/>
  <c r="BY110" i="10" s="1"/>
  <c r="CQ110" i="10"/>
  <c r="BT338" i="10"/>
  <c r="CQ338" i="10"/>
  <c r="BT281" i="10"/>
  <c r="CQ281" i="10"/>
  <c r="CQ127" i="10"/>
  <c r="CQ197" i="10"/>
  <c r="BT66" i="10"/>
  <c r="CQ66" i="10"/>
  <c r="BT189" i="10"/>
  <c r="BY189" i="10" s="1"/>
  <c r="BT173" i="10"/>
  <c r="CQ173" i="10"/>
  <c r="CQ107" i="10"/>
  <c r="Q250" i="10"/>
  <c r="BZ307" i="10" s="1"/>
  <c r="Q448" i="10"/>
  <c r="Q369" i="10"/>
  <c r="BZ426" i="10" s="1"/>
  <c r="Q158" i="10"/>
  <c r="Q147" i="10"/>
  <c r="Q126" i="10"/>
  <c r="Q74" i="10"/>
  <c r="Q212" i="10"/>
  <c r="BZ269" i="10" s="1"/>
  <c r="BY475" i="10"/>
  <c r="BY350" i="10"/>
  <c r="Q210" i="10"/>
  <c r="BZ267" i="10" s="1"/>
  <c r="BY459" i="10"/>
  <c r="Q430" i="10"/>
  <c r="Q393" i="10"/>
  <c r="BZ450" i="10" s="1"/>
  <c r="CA450" i="10" s="1"/>
  <c r="Q421" i="10"/>
  <c r="BZ478" i="10" s="1"/>
  <c r="CA478" i="10" s="1"/>
  <c r="Q83" i="10"/>
  <c r="BY378" i="10"/>
  <c r="Q423" i="10"/>
  <c r="BZ480" i="10"/>
  <c r="CA480" i="10" s="1"/>
  <c r="Q320" i="10"/>
  <c r="BZ377" i="10" s="1"/>
  <c r="Q398" i="10"/>
  <c r="BZ455" i="10" s="1"/>
  <c r="CA455" i="10" s="1"/>
  <c r="Q256" i="10"/>
  <c r="BZ313" i="10"/>
  <c r="Q246" i="10"/>
  <c r="BZ303" i="10"/>
  <c r="Q236" i="10"/>
  <c r="BZ293" i="10"/>
  <c r="Q155" i="10"/>
  <c r="Q117" i="10"/>
  <c r="Q318" i="10"/>
  <c r="BZ375" i="10"/>
  <c r="Q308" i="10"/>
  <c r="BZ365" i="10"/>
  <c r="BY326" i="10"/>
  <c r="Q370" i="10"/>
  <c r="BZ427" i="10" s="1"/>
  <c r="Q329" i="10"/>
  <c r="BZ386" i="10" s="1"/>
  <c r="Q341" i="10"/>
  <c r="BZ398" i="10"/>
  <c r="Q191" i="10"/>
  <c r="BZ248" i="10"/>
  <c r="Q153" i="10"/>
  <c r="Q249" i="10"/>
  <c r="BZ306" i="10" s="1"/>
  <c r="BY398" i="10"/>
  <c r="Q417" i="10"/>
  <c r="BZ474" i="10"/>
  <c r="CA474" i="10" s="1"/>
  <c r="Q268" i="10"/>
  <c r="BZ325" i="10" s="1"/>
  <c r="Q211" i="10"/>
  <c r="BZ268" i="10" s="1"/>
  <c r="Q178" i="10"/>
  <c r="BZ235" i="10" s="1"/>
  <c r="Q443" i="10"/>
  <c r="Q278" i="10"/>
  <c r="BZ335" i="10" s="1"/>
  <c r="Q198" i="10"/>
  <c r="BZ255" i="10" s="1"/>
  <c r="Q129" i="10"/>
  <c r="Q110" i="10"/>
  <c r="Q352" i="10"/>
  <c r="BZ409" i="10" s="1"/>
  <c r="Q361" i="10"/>
  <c r="BZ418" i="10" s="1"/>
  <c r="Q351" i="10"/>
  <c r="BZ408" i="10"/>
  <c r="Q135" i="10"/>
  <c r="Q401" i="10"/>
  <c r="BZ458" i="10" s="1"/>
  <c r="CA458" i="10" s="1"/>
  <c r="Q387" i="10"/>
  <c r="BZ444" i="10" s="1"/>
  <c r="CA444" i="10" s="1"/>
  <c r="Q139" i="10"/>
  <c r="Q109" i="10"/>
  <c r="Q360" i="10"/>
  <c r="BZ417" i="10"/>
  <c r="Q88" i="10"/>
  <c r="Q392" i="10"/>
  <c r="BZ449" i="10" s="1"/>
  <c r="CA449" i="10" s="1"/>
  <c r="BY387" i="10"/>
  <c r="Q424" i="10"/>
  <c r="BZ481" i="10"/>
  <c r="CA481" i="10" s="1"/>
  <c r="BQ445" i="10"/>
  <c r="CJ445" i="10"/>
  <c r="CN445" i="10"/>
  <c r="CO445" i="10" s="1"/>
  <c r="BQ463" i="10"/>
  <c r="CJ463" i="10" s="1"/>
  <c r="CO463" i="10"/>
  <c r="CN421" i="10"/>
  <c r="CN410" i="10"/>
  <c r="BQ437" i="10"/>
  <c r="CJ437" i="10"/>
  <c r="CN437" i="10"/>
  <c r="CO437" i="10"/>
  <c r="BQ431" i="10"/>
  <c r="CN431" i="10"/>
  <c r="CN420" i="10"/>
  <c r="BN250" i="10"/>
  <c r="BN267" i="10"/>
  <c r="CN267" i="10" s="1"/>
  <c r="CN454" i="10"/>
  <c r="CO454" i="10"/>
  <c r="BN275" i="10"/>
  <c r="CN275" i="10"/>
  <c r="BN321" i="10"/>
  <c r="CN321" i="10" s="1"/>
  <c r="BN314" i="10"/>
  <c r="CN314" i="10"/>
  <c r="BN397" i="10"/>
  <c r="CN397" i="10"/>
  <c r="BY457" i="10"/>
  <c r="Q209" i="10"/>
  <c r="BZ266" i="10" s="1"/>
  <c r="BY426" i="10"/>
  <c r="Q170" i="10"/>
  <c r="BZ227" i="10"/>
  <c r="K230" i="10"/>
  <c r="BO349" i="10" s="1"/>
  <c r="BP349" i="10" s="1"/>
  <c r="BN349" i="10"/>
  <c r="CN349" i="10" s="1"/>
  <c r="K190" i="10"/>
  <c r="BO309" i="10" s="1"/>
  <c r="BP309" i="10" s="1"/>
  <c r="BN309" i="10"/>
  <c r="K184" i="10"/>
  <c r="BO303" i="10"/>
  <c r="BP303" i="10" s="1"/>
  <c r="BN303" i="10"/>
  <c r="CN303" i="10" s="1"/>
  <c r="CN268" i="10"/>
  <c r="CN322" i="10"/>
  <c r="CN334" i="10"/>
  <c r="CO334" i="10"/>
  <c r="K282" i="10"/>
  <c r="BO401" i="10"/>
  <c r="BP401" i="10" s="1"/>
  <c r="BN401" i="10"/>
  <c r="CN360" i="10"/>
  <c r="CN392" i="10"/>
  <c r="BT163" i="10"/>
  <c r="BY163" i="10" s="1"/>
  <c r="V105" i="10"/>
  <c r="BU163" i="10" s="1"/>
  <c r="CQ172" i="10"/>
  <c r="BY195" i="10"/>
  <c r="CQ195" i="10"/>
  <c r="CR195" i="10" s="1"/>
  <c r="BT304" i="10"/>
  <c r="CQ304" i="10"/>
  <c r="V246" i="10"/>
  <c r="BU304" i="10" s="1"/>
  <c r="CQ98" i="10"/>
  <c r="BZ150" i="10"/>
  <c r="CQ196" i="10"/>
  <c r="BY80" i="10"/>
  <c r="BT345" i="10"/>
  <c r="CQ345" i="10" s="1"/>
  <c r="V287" i="10"/>
  <c r="BU345" i="10" s="1"/>
  <c r="CQ88" i="10"/>
  <c r="BT337" i="10"/>
  <c r="CQ337" i="10"/>
  <c r="CR337" i="10" s="1"/>
  <c r="V279" i="10"/>
  <c r="BU337" i="10" s="1"/>
  <c r="BT325" i="10"/>
  <c r="CQ325" i="10"/>
  <c r="V267" i="10"/>
  <c r="BU325" i="10" s="1"/>
  <c r="BT363" i="10"/>
  <c r="CQ363" i="10" s="1"/>
  <c r="V305" i="10"/>
  <c r="BU363" i="10" s="1"/>
  <c r="V275" i="10"/>
  <c r="BU333" i="10"/>
  <c r="BT134" i="10"/>
  <c r="V76" i="10"/>
  <c r="BU134" i="10" s="1"/>
  <c r="BZ134" i="10" s="1"/>
  <c r="V140" i="10"/>
  <c r="BU198" i="10" s="1"/>
  <c r="BZ198" i="10" s="1"/>
  <c r="BT198" i="10"/>
  <c r="BY198" i="10"/>
  <c r="V53" i="10"/>
  <c r="BU111" i="10" s="1"/>
  <c r="BZ111" i="10" s="1"/>
  <c r="BT111" i="10"/>
  <c r="CQ111" i="10"/>
  <c r="BY111" i="10"/>
  <c r="V123" i="10"/>
  <c r="BU181" i="10" s="1"/>
  <c r="BT403" i="10"/>
  <c r="CQ403" i="10"/>
  <c r="V304" i="10"/>
  <c r="BU362" i="10" s="1"/>
  <c r="BT176" i="10"/>
  <c r="CQ176" i="10" s="1"/>
  <c r="BY176" i="10"/>
  <c r="V346" i="10"/>
  <c r="BU404" i="10" s="1"/>
  <c r="CN309" i="10"/>
  <c r="K16" i="13"/>
  <c r="N16" i="13"/>
  <c r="L16" i="13"/>
  <c r="CN341" i="10"/>
  <c r="BQ433" i="10"/>
  <c r="BQ432" i="10" s="1"/>
  <c r="CN433" i="10"/>
  <c r="CN366" i="10"/>
  <c r="CN269" i="10"/>
  <c r="CO269" i="10" s="1"/>
  <c r="CN417" i="10"/>
  <c r="CN378" i="10"/>
  <c r="CN423" i="10"/>
  <c r="CN265" i="10"/>
  <c r="BQ443" i="10"/>
  <c r="CJ443" i="10"/>
  <c r="CN443" i="10"/>
  <c r="CO443" i="10"/>
  <c r="CN383" i="10"/>
  <c r="BN258" i="10"/>
  <c r="CN258" i="10"/>
  <c r="K139" i="10"/>
  <c r="BO258" i="10" s="1"/>
  <c r="BP258" i="10" s="1"/>
  <c r="K286" i="10"/>
  <c r="BO405" i="10" s="1"/>
  <c r="BP405" i="10" s="1"/>
  <c r="J287" i="10"/>
  <c r="BN406" i="10"/>
  <c r="K177" i="10"/>
  <c r="BO296" i="10" s="1"/>
  <c r="BP296" i="10" s="1"/>
  <c r="BN243" i="10"/>
  <c r="CN243" i="10" s="1"/>
  <c r="K188" i="10"/>
  <c r="BO307" i="10" s="1"/>
  <c r="BP307" i="10" s="1"/>
  <c r="CQ101" i="10"/>
  <c r="CQ186" i="10"/>
  <c r="CQ220" i="10"/>
  <c r="CQ174" i="10"/>
  <c r="BY126" i="10"/>
  <c r="CQ128" i="10"/>
  <c r="V132" i="10"/>
  <c r="BU190" i="10" s="1"/>
  <c r="BZ190" i="10" s="1"/>
  <c r="BT404" i="10"/>
  <c r="CQ404" i="10"/>
  <c r="V180" i="10"/>
  <c r="BU238" i="10" s="1"/>
  <c r="V329" i="10"/>
  <c r="BU387" i="10" s="1"/>
  <c r="BT226" i="10"/>
  <c r="CQ226" i="10"/>
  <c r="N11" i="13"/>
  <c r="L11" i="13"/>
  <c r="X6" i="11"/>
  <c r="Y6" i="11" s="1"/>
  <c r="AA6" i="11" s="1"/>
  <c r="M11" i="13"/>
  <c r="K23" i="13"/>
  <c r="L23" i="13"/>
  <c r="Q160" i="10"/>
  <c r="Q137" i="10"/>
  <c r="Q342" i="10"/>
  <c r="BZ399" i="10" s="1"/>
  <c r="BY229" i="10"/>
  <c r="Q149" i="10"/>
  <c r="Q324" i="10"/>
  <c r="BZ381" i="10" s="1"/>
  <c r="BY442" i="10"/>
  <c r="Q192" i="10"/>
  <c r="BZ249" i="10" s="1"/>
  <c r="Q159" i="10"/>
  <c r="Q305" i="10"/>
  <c r="BZ362" i="10" s="1"/>
  <c r="Q79" i="10"/>
  <c r="Q312" i="10"/>
  <c r="BZ369" i="10" s="1"/>
  <c r="Q91" i="10"/>
  <c r="Q304" i="10"/>
  <c r="BZ361" i="10"/>
  <c r="BY391" i="10"/>
  <c r="BY381" i="10"/>
  <c r="Q233" i="10"/>
  <c r="BZ290" i="10"/>
  <c r="Q234" i="10"/>
  <c r="BZ291" i="10" s="1"/>
  <c r="Q287" i="10"/>
  <c r="BZ344" i="10" s="1"/>
  <c r="Q334" i="10"/>
  <c r="BZ391" i="10" s="1"/>
  <c r="Q309" i="10"/>
  <c r="BZ366" i="10" s="1"/>
  <c r="Q364" i="10"/>
  <c r="BZ421" i="10" s="1"/>
  <c r="Q266" i="10"/>
  <c r="BZ323" i="10" s="1"/>
  <c r="Q444" i="10"/>
  <c r="Q195" i="10"/>
  <c r="BZ252" i="10" s="1"/>
  <c r="Q328" i="10"/>
  <c r="BZ385" i="10" s="1"/>
  <c r="Q152" i="10"/>
  <c r="Q245" i="10"/>
  <c r="BZ302" i="10" s="1"/>
  <c r="Q127" i="10"/>
  <c r="Q277" i="10"/>
  <c r="BZ334" i="10"/>
  <c r="Q404" i="10"/>
  <c r="BZ461" i="10" s="1"/>
  <c r="CA461" i="10" s="1"/>
  <c r="BY240" i="10"/>
  <c r="Q374" i="10"/>
  <c r="BZ431" i="10"/>
  <c r="Q343" i="10"/>
  <c r="BZ400" i="10" s="1"/>
  <c r="Q297" i="10"/>
  <c r="BZ354" i="10" s="1"/>
  <c r="Q223" i="10"/>
  <c r="BZ280" i="10" s="1"/>
  <c r="Q375" i="10"/>
  <c r="BZ432" i="10"/>
  <c r="CA432" i="10" s="1"/>
  <c r="BY323" i="10"/>
  <c r="CQ185" i="10"/>
  <c r="BY185" i="10"/>
  <c r="CQ222" i="10"/>
  <c r="BY222" i="10"/>
  <c r="BY221" i="10"/>
  <c r="BY175" i="10"/>
  <c r="CQ175" i="10"/>
  <c r="CQ117" i="10"/>
  <c r="CQ165" i="10"/>
  <c r="BY165" i="10"/>
  <c r="BY156" i="10"/>
  <c r="CQ156" i="10"/>
  <c r="CR156" i="10" s="1"/>
  <c r="CQ203" i="10"/>
  <c r="BY203" i="10"/>
  <c r="BY219" i="10"/>
  <c r="CQ219" i="10"/>
  <c r="BY155" i="10"/>
  <c r="CQ155" i="10"/>
  <c r="BY116" i="10"/>
  <c r="CQ116" i="10"/>
  <c r="BY108" i="10"/>
  <c r="CQ108" i="10"/>
  <c r="CR108" i="10"/>
  <c r="BY100" i="10"/>
  <c r="CQ100" i="10"/>
  <c r="BY79" i="10"/>
  <c r="CQ79" i="10"/>
  <c r="CQ217" i="10"/>
  <c r="BY217" i="10"/>
  <c r="CQ171" i="10"/>
  <c r="BY171" i="10"/>
  <c r="BY133" i="10"/>
  <c r="CQ133" i="10"/>
  <c r="BY123" i="10"/>
  <c r="CQ123" i="10"/>
  <c r="BY214" i="10"/>
  <c r="CQ214" i="10"/>
  <c r="CQ161" i="10"/>
  <c r="BY161" i="10"/>
  <c r="BT353" i="10"/>
  <c r="CQ353" i="10" s="1"/>
  <c r="BY131" i="10"/>
  <c r="CQ153" i="10"/>
  <c r="BY76" i="10"/>
  <c r="BY68" i="10"/>
  <c r="CQ70" i="10"/>
  <c r="BY71" i="10"/>
  <c r="BY173" i="10"/>
  <c r="BY74" i="10"/>
  <c r="BY114" i="10"/>
  <c r="CQ135" i="10"/>
  <c r="CQ87" i="10"/>
  <c r="BY82" i="10"/>
  <c r="CQ168" i="10"/>
  <c r="CR168" i="10" s="1"/>
  <c r="BY64" i="10"/>
  <c r="CQ115" i="10"/>
  <c r="CQ141" i="10"/>
  <c r="CQ139" i="10"/>
  <c r="BY210" i="10"/>
  <c r="CQ77" i="10"/>
  <c r="BY109" i="10"/>
  <c r="BY218" i="10"/>
  <c r="BT193" i="10"/>
  <c r="CQ193" i="10" s="1"/>
  <c r="CR193" i="10" s="1"/>
  <c r="BY193" i="10"/>
  <c r="BT86" i="10"/>
  <c r="BY86" i="10" s="1"/>
  <c r="CQ118" i="10"/>
  <c r="CQ184" i="10"/>
  <c r="CQ205" i="10"/>
  <c r="CQ143" i="10"/>
  <c r="BY209" i="10"/>
  <c r="CQ65" i="10"/>
  <c r="CQ124" i="10"/>
  <c r="BT92" i="10"/>
  <c r="BY92" i="10"/>
  <c r="CQ212" i="10"/>
  <c r="CQ152" i="10"/>
  <c r="CQ140" i="10"/>
  <c r="DA10" i="10"/>
  <c r="BQ447" i="10"/>
  <c r="CJ447" i="10" s="1"/>
  <c r="BQ457" i="10"/>
  <c r="CJ457" i="10" s="1"/>
  <c r="CN457" i="10"/>
  <c r="CO457" i="10"/>
  <c r="BQ452" i="10"/>
  <c r="CJ452" i="10" s="1"/>
  <c r="CN452" i="10"/>
  <c r="CO452" i="10" s="1"/>
  <c r="CN415" i="10"/>
  <c r="CN467" i="10"/>
  <c r="CO467" i="10" s="1"/>
  <c r="BQ467" i="10"/>
  <c r="CJ467" i="10" s="1"/>
  <c r="BQ446" i="10"/>
  <c r="CJ446" i="10" s="1"/>
  <c r="CN446" i="10"/>
  <c r="CO446" i="10"/>
  <c r="BQ430" i="10"/>
  <c r="BQ429" i="10" s="1"/>
  <c r="CN430" i="10"/>
  <c r="CN414" i="10"/>
  <c r="CN411" i="10"/>
  <c r="BN238" i="10"/>
  <c r="CN238" i="10"/>
  <c r="BN403" i="10"/>
  <c r="CN403" i="10" s="1"/>
  <c r="CN434" i="10"/>
  <c r="CO434" i="10"/>
  <c r="CN475" i="10"/>
  <c r="CO475" i="10" s="1"/>
  <c r="BN318" i="10"/>
  <c r="CN318" i="10"/>
  <c r="CN456" i="10"/>
  <c r="CO456" i="10" s="1"/>
  <c r="BN262" i="10"/>
  <c r="CN262" i="10" s="1"/>
  <c r="CO262" i="10" s="1"/>
  <c r="CN477" i="10"/>
  <c r="CO477" i="10"/>
  <c r="CN478" i="10"/>
  <c r="CO478" i="10" s="1"/>
  <c r="CN440" i="10"/>
  <c r="CO440" i="10"/>
  <c r="CN458" i="10"/>
  <c r="CO458" i="10"/>
  <c r="BN398" i="10"/>
  <c r="CN398" i="10" s="1"/>
  <c r="BN281" i="10"/>
  <c r="CN281" i="10"/>
  <c r="BN389" i="10"/>
  <c r="CN389" i="10" s="1"/>
  <c r="CO389" i="10" s="1"/>
  <c r="CN453" i="10"/>
  <c r="CO453" i="10"/>
  <c r="BN254" i="10"/>
  <c r="CN254" i="10" s="1"/>
  <c r="BN294" i="10"/>
  <c r="CN294" i="10"/>
  <c r="CN416" i="10"/>
  <c r="BN235" i="10"/>
  <c r="CN235" i="10" s="1"/>
  <c r="BN226" i="10"/>
  <c r="CN226" i="10"/>
  <c r="BN271" i="10"/>
  <c r="BN362" i="10"/>
  <c r="CN362" i="10"/>
  <c r="Q384" i="10"/>
  <c r="BZ441" i="10"/>
  <c r="CA441" i="10" s="1"/>
  <c r="BY250" i="10"/>
  <c r="P348" i="10"/>
  <c r="BY405" i="10" s="1"/>
  <c r="K185" i="10"/>
  <c r="BO304" i="10"/>
  <c r="BP304" i="10" s="1"/>
  <c r="BN371" i="10"/>
  <c r="CN371" i="10" s="1"/>
  <c r="K240" i="10"/>
  <c r="BO359" i="10"/>
  <c r="BP359" i="10" s="1"/>
  <c r="BN326" i="10"/>
  <c r="CN326" i="10" s="1"/>
  <c r="CO326" i="10" s="1"/>
  <c r="K237" i="10"/>
  <c r="BO356" i="10" s="1"/>
  <c r="BP356" i="10" s="1"/>
  <c r="BZ165" i="10"/>
  <c r="BZ167" i="10"/>
  <c r="BZ199" i="10"/>
  <c r="BZ225" i="10"/>
  <c r="BZ217" i="10"/>
  <c r="V340" i="10"/>
  <c r="BU398" i="10" s="1"/>
  <c r="BY402" i="10"/>
  <c r="BY453" i="10"/>
  <c r="Q274" i="10"/>
  <c r="BZ331" i="10" s="1"/>
  <c r="BY443" i="10"/>
  <c r="BY285" i="10"/>
  <c r="Q428" i="10"/>
  <c r="BZ485" i="10"/>
  <c r="CA485" i="10" s="1"/>
  <c r="BY476" i="10"/>
  <c r="BY353" i="10"/>
  <c r="BY482" i="10"/>
  <c r="BY430" i="10"/>
  <c r="Q397" i="10"/>
  <c r="BZ454" i="10"/>
  <c r="CA454" i="10" s="1"/>
  <c r="Q339" i="10"/>
  <c r="BZ396" i="10" s="1"/>
  <c r="Q255" i="10"/>
  <c r="BZ312" i="10" s="1"/>
  <c r="Q365" i="10"/>
  <c r="BZ422" i="10" s="1"/>
  <c r="BY342" i="10"/>
  <c r="BY348" i="10"/>
  <c r="BY312" i="10"/>
  <c r="CN470" i="10"/>
  <c r="CO470" i="10"/>
  <c r="BQ470" i="10"/>
  <c r="CJ470" i="10" s="1"/>
  <c r="BQ461" i="10"/>
  <c r="CJ461" i="10" s="1"/>
  <c r="CN461" i="10"/>
  <c r="CO461" i="10"/>
  <c r="CN469" i="10"/>
  <c r="CO469" i="10" s="1"/>
  <c r="BQ469" i="10"/>
  <c r="CJ469" i="10" s="1"/>
  <c r="BQ451" i="10"/>
  <c r="CJ451" i="10"/>
  <c r="CN451" i="10"/>
  <c r="CO451" i="10"/>
  <c r="CN484" i="10"/>
  <c r="CO484" i="10" s="1"/>
  <c r="BQ484" i="10"/>
  <c r="CJ484" i="10" s="1"/>
  <c r="BQ473" i="10"/>
  <c r="CJ473" i="10"/>
  <c r="CN472" i="10"/>
  <c r="CO472" i="10" s="1"/>
  <c r="BQ472" i="10"/>
  <c r="CJ472" i="10"/>
  <c r="BQ462" i="10"/>
  <c r="CJ462" i="10"/>
  <c r="CN462" i="10"/>
  <c r="CO462" i="10" s="1"/>
  <c r="BQ481" i="10"/>
  <c r="CJ481" i="10" s="1"/>
  <c r="CN481" i="10"/>
  <c r="CO481" i="10"/>
  <c r="K226" i="10"/>
  <c r="BO345" i="10" s="1"/>
  <c r="BP345" i="10" s="1"/>
  <c r="K213" i="10"/>
  <c r="BO332" i="10" s="1"/>
  <c r="BP332" i="10" s="1"/>
  <c r="BN287" i="10"/>
  <c r="CN287" i="10"/>
  <c r="BZ175" i="10"/>
  <c r="BZ181" i="10"/>
  <c r="CQ178" i="10"/>
  <c r="BY183" i="10"/>
  <c r="CQ183" i="10"/>
  <c r="BY81" i="10"/>
  <c r="CQ81" i="10"/>
  <c r="CQ189" i="10"/>
  <c r="BY223" i="10"/>
  <c r="BY96" i="10"/>
  <c r="CQ96" i="10"/>
  <c r="BY90" i="10"/>
  <c r="CQ136" i="10"/>
  <c r="BT232" i="10"/>
  <c r="CQ232" i="10"/>
  <c r="CR232" i="10" s="1"/>
  <c r="BT69" i="10"/>
  <c r="CQ69" i="10"/>
  <c r="V42" i="10"/>
  <c r="BU100" i="10"/>
  <c r="BZ100" i="10" s="1"/>
  <c r="CQ130" i="10"/>
  <c r="CQ129" i="10"/>
  <c r="BT249" i="10"/>
  <c r="CQ249" i="10"/>
  <c r="BY69" i="10"/>
  <c r="Q437" i="10"/>
  <c r="BY383" i="10"/>
  <c r="Q410" i="10"/>
  <c r="BZ467" i="10" s="1"/>
  <c r="CA467" i="10" s="1"/>
  <c r="BY374" i="10"/>
  <c r="BY253" i="10"/>
  <c r="BY343" i="10"/>
  <c r="Q281" i="10"/>
  <c r="BZ338" i="10" s="1"/>
  <c r="Q402" i="10"/>
  <c r="BZ459" i="10" s="1"/>
  <c r="CA459" i="10" s="1"/>
  <c r="BY319" i="10"/>
  <c r="Q205" i="10"/>
  <c r="BZ262" i="10" s="1"/>
  <c r="BY483" i="10"/>
  <c r="BY401" i="10"/>
  <c r="BY395" i="10"/>
  <c r="X31" i="11"/>
  <c r="Y31" i="11" s="1"/>
  <c r="AA31" i="11" s="1"/>
  <c r="J6" i="13"/>
  <c r="CN401" i="10"/>
  <c r="CN283" i="10"/>
  <c r="CN385" i="10"/>
  <c r="K242" i="10"/>
  <c r="BO361" i="10" s="1"/>
  <c r="BP361" i="10" s="1"/>
  <c r="BN361" i="10"/>
  <c r="K221" i="10"/>
  <c r="BO340" i="10" s="1"/>
  <c r="BP340" i="10" s="1"/>
  <c r="BN340" i="10"/>
  <c r="CN250" i="10"/>
  <c r="CN338" i="10"/>
  <c r="CN234" i="10"/>
  <c r="CN365" i="10"/>
  <c r="BN355" i="10"/>
  <c r="CN355" i="10" s="1"/>
  <c r="K236" i="10"/>
  <c r="BO355" i="10"/>
  <c r="BP355" i="10" s="1"/>
  <c r="BN297" i="10"/>
  <c r="CN297" i="10" s="1"/>
  <c r="K178" i="10"/>
  <c r="BO297" i="10" s="1"/>
  <c r="BP297" i="10" s="1"/>
  <c r="K245" i="10"/>
  <c r="BO364" i="10"/>
  <c r="BP364" i="10"/>
  <c r="BN364" i="10"/>
  <c r="BN380" i="10"/>
  <c r="CN380" i="10" s="1"/>
  <c r="CO380" i="10" s="1"/>
  <c r="K181" i="10"/>
  <c r="BO300" i="10" s="1"/>
  <c r="BP300" i="10" s="1"/>
  <c r="K260" i="10"/>
  <c r="BO379" i="10" s="1"/>
  <c r="BP379" i="10" s="1"/>
  <c r="K214" i="10"/>
  <c r="BO333" i="10" s="1"/>
  <c r="BP333" i="10" s="1"/>
  <c r="K208" i="10"/>
  <c r="BO327" i="10" s="1"/>
  <c r="BP327" i="10" s="1"/>
  <c r="BN301" i="10"/>
  <c r="CN301" i="10"/>
  <c r="K114" i="10"/>
  <c r="BO233" i="10" s="1"/>
  <c r="BP233" i="10" s="1"/>
  <c r="BZ130" i="10"/>
  <c r="BZ183" i="10"/>
  <c r="BZ157" i="10"/>
  <c r="BZ154" i="10"/>
  <c r="BZ203" i="10"/>
  <c r="BY66" i="10"/>
  <c r="CQ125" i="10"/>
  <c r="BT84" i="10"/>
  <c r="V232" i="10"/>
  <c r="BU290" i="10" s="1"/>
  <c r="BT144" i="10"/>
  <c r="BY144" i="10"/>
  <c r="V204" i="10"/>
  <c r="BU262" i="10" s="1"/>
  <c r="V195" i="10"/>
  <c r="BU253" i="10" s="1"/>
  <c r="V210" i="10"/>
  <c r="BU268" i="10" s="1"/>
  <c r="V58" i="10"/>
  <c r="BU116" i="10" s="1"/>
  <c r="BZ116" i="10" s="1"/>
  <c r="V20" i="10"/>
  <c r="BU78" i="10" s="1"/>
  <c r="BZ78" i="10" s="1"/>
  <c r="CN364" i="10"/>
  <c r="CN340" i="10"/>
  <c r="CN361" i="10"/>
  <c r="M15" i="13"/>
  <c r="K15" i="13"/>
  <c r="L15" i="13"/>
  <c r="N15" i="13"/>
  <c r="X30" i="11"/>
  <c r="Y30" i="11" s="1"/>
  <c r="AA30" i="11" s="1"/>
  <c r="Q141" i="10"/>
  <c r="BY239" i="10"/>
  <c r="Q306" i="10"/>
  <c r="BZ363" i="10"/>
  <c r="Q161" i="10"/>
  <c r="Q214" i="10"/>
  <c r="BZ271" i="10" s="1"/>
  <c r="Q284" i="10"/>
  <c r="BZ341" i="10" s="1"/>
  <c r="Q189" i="10"/>
  <c r="BZ246" i="10" s="1"/>
  <c r="Q188" i="10"/>
  <c r="BZ245" i="10"/>
  <c r="BY295" i="10"/>
  <c r="Q230" i="10"/>
  <c r="BZ287" i="10" s="1"/>
  <c r="Q181" i="10"/>
  <c r="BZ238" i="10" s="1"/>
  <c r="Q372" i="10"/>
  <c r="BZ429" i="10" s="1"/>
  <c r="Q288" i="10"/>
  <c r="BZ345" i="10" s="1"/>
  <c r="Q215" i="10"/>
  <c r="BZ272" i="10" s="1"/>
  <c r="Q354" i="10"/>
  <c r="BZ411" i="10" s="1"/>
  <c r="Q276" i="10"/>
  <c r="BZ333" i="10" s="1"/>
  <c r="Q97" i="10"/>
  <c r="Q231" i="10"/>
  <c r="BZ288" i="10" s="1"/>
  <c r="Q405" i="10"/>
  <c r="BZ462" i="10" s="1"/>
  <c r="CA462" i="10" s="1"/>
  <c r="Q225" i="10"/>
  <c r="BZ282" i="10"/>
  <c r="BY333" i="10"/>
  <c r="Q371" i="10"/>
  <c r="BZ428" i="10" s="1"/>
  <c r="Q224" i="10"/>
  <c r="BZ281" i="10"/>
  <c r="Q76" i="10"/>
  <c r="BY352" i="10"/>
  <c r="Q415" i="10"/>
  <c r="BZ472" i="10" s="1"/>
  <c r="CA472" i="10" s="1"/>
  <c r="BY300" i="10"/>
  <c r="Q133" i="10"/>
  <c r="BY390" i="10"/>
  <c r="Q307" i="10"/>
  <c r="BZ364" i="10" s="1"/>
  <c r="Q316" i="10"/>
  <c r="BZ373" i="10" s="1"/>
  <c r="Q197" i="10"/>
  <c r="BZ254" i="10"/>
  <c r="Q171" i="10"/>
  <c r="BZ228" i="10" s="1"/>
  <c r="Q353" i="10"/>
  <c r="BZ410" i="10"/>
  <c r="Q86" i="10"/>
  <c r="BY346" i="10"/>
  <c r="Q394" i="10"/>
  <c r="BZ451" i="10" s="1"/>
  <c r="CA451" i="10" s="1"/>
  <c r="Q106" i="10"/>
  <c r="Q441" i="10"/>
  <c r="BY452" i="10"/>
  <c r="P347" i="10"/>
  <c r="BY404" i="10" s="1"/>
  <c r="Q347" i="10"/>
  <c r="BZ404" i="10" s="1"/>
  <c r="Q116" i="10"/>
  <c r="CN317" i="10"/>
  <c r="CN405" i="10"/>
  <c r="CO405" i="10" s="1"/>
  <c r="CN409" i="10"/>
  <c r="CN442" i="10"/>
  <c r="CO442" i="10" s="1"/>
  <c r="BQ442" i="10"/>
  <c r="CJ442" i="10"/>
  <c r="CN363" i="10"/>
  <c r="CJ450" i="10"/>
  <c r="CN450" i="10"/>
  <c r="CO450" i="10"/>
  <c r="CN247" i="10"/>
  <c r="CO247" i="10"/>
  <c r="CN227" i="10"/>
  <c r="CN345" i="10"/>
  <c r="CN400" i="10"/>
  <c r="BQ483" i="10"/>
  <c r="CJ483" i="10" s="1"/>
  <c r="CN483" i="10"/>
  <c r="CO483" i="10"/>
  <c r="K6" i="10"/>
  <c r="DA9" i="10"/>
  <c r="CN271" i="10"/>
  <c r="CN302" i="10"/>
  <c r="CN382" i="10"/>
  <c r="CN270" i="10"/>
  <c r="CN298" i="10"/>
  <c r="BQ466" i="10"/>
  <c r="CJ466" i="10" s="1"/>
  <c r="CO466" i="10"/>
  <c r="BN373" i="10"/>
  <c r="K254" i="10"/>
  <c r="BO373" i="10" s="1"/>
  <c r="BP373" i="10" s="1"/>
  <c r="K121" i="10"/>
  <c r="BO240" i="10" s="1"/>
  <c r="BP240" i="10" s="1"/>
  <c r="BN240" i="10"/>
  <c r="CN240" i="10" s="1"/>
  <c r="CO240" i="10" s="1"/>
  <c r="BZ213" i="10"/>
  <c r="CQ119" i="10"/>
  <c r="CQ150" i="10"/>
  <c r="CQ163" i="10"/>
  <c r="BY83" i="10"/>
  <c r="CQ198" i="10"/>
  <c r="CN373" i="10"/>
  <c r="Q346" i="10"/>
  <c r="BZ403" i="10" s="1"/>
  <c r="BY469" i="10"/>
  <c r="BY278" i="10"/>
  <c r="BY273" i="10"/>
  <c r="Q183" i="10"/>
  <c r="BZ240" i="10" s="1"/>
  <c r="Q337" i="10"/>
  <c r="BZ394" i="10" s="1"/>
  <c r="CN406" i="10"/>
  <c r="K285" i="10"/>
  <c r="BO404" i="10"/>
  <c r="BP404" i="10" s="1"/>
  <c r="BN339" i="10"/>
  <c r="BZ212" i="10"/>
  <c r="BZ216" i="10"/>
  <c r="BZ140" i="10"/>
  <c r="BZ103" i="10"/>
  <c r="BZ158" i="10"/>
  <c r="BZ146" i="10"/>
  <c r="BZ164" i="10"/>
  <c r="BZ171" i="10"/>
  <c r="BZ127" i="10"/>
  <c r="BZ151" i="10"/>
  <c r="BZ99" i="10"/>
  <c r="BZ136" i="10"/>
  <c r="BZ180" i="10"/>
  <c r="BZ79" i="10"/>
  <c r="BZ126" i="10"/>
  <c r="BZ204" i="10"/>
  <c r="BZ123" i="10"/>
  <c r="BZ163" i="10"/>
  <c r="BZ195" i="10"/>
  <c r="BZ91" i="10"/>
  <c r="CQ92" i="10"/>
  <c r="BY147" i="10"/>
  <c r="CQ144" i="10"/>
  <c r="V220" i="10"/>
  <c r="BU278" i="10" s="1"/>
  <c r="DB8" i="10"/>
  <c r="DB9" i="10"/>
  <c r="DD8" i="10" s="1"/>
  <c r="B31" i="12" s="1"/>
  <c r="CN339" i="10"/>
  <c r="Q294" i="10"/>
  <c r="BZ351" i="10" s="1"/>
  <c r="Q232" i="10"/>
  <c r="BZ289" i="10" s="1"/>
  <c r="Q427" i="10"/>
  <c r="BZ484" i="10" s="1"/>
  <c r="CA484" i="10" s="1"/>
  <c r="Q282" i="10"/>
  <c r="BZ339" i="10" s="1"/>
  <c r="Q380" i="10"/>
  <c r="BZ437" i="10" s="1"/>
  <c r="CA437" i="10" s="1"/>
  <c r="Q300" i="10"/>
  <c r="BZ357" i="10"/>
  <c r="Q251" i="10"/>
  <c r="BZ308" i="10" s="1"/>
  <c r="Q445" i="10"/>
  <c r="BY251" i="10"/>
  <c r="BY230" i="10"/>
  <c r="Q173" i="10"/>
  <c r="BZ230" i="10" s="1"/>
  <c r="Q206" i="10"/>
  <c r="BZ263" i="10"/>
  <c r="Q252" i="10"/>
  <c r="BZ309" i="10" s="1"/>
  <c r="Q94" i="10"/>
  <c r="Q291" i="10"/>
  <c r="BZ348" i="10" s="1"/>
  <c r="Q238" i="10"/>
  <c r="BZ295" i="10" s="1"/>
  <c r="Q243" i="10"/>
  <c r="BZ300" i="10" s="1"/>
  <c r="Q156" i="10"/>
  <c r="Q436" i="10"/>
  <c r="Q348" i="10"/>
  <c r="BZ405" i="10" s="1"/>
  <c r="Q366" i="10"/>
  <c r="BZ423" i="10" s="1"/>
  <c r="BY301" i="10"/>
  <c r="Q85" i="10"/>
  <c r="BY340" i="10"/>
  <c r="Q390" i="10"/>
  <c r="BZ447" i="10" s="1"/>
  <c r="CA447" i="10" s="1"/>
  <c r="Q200" i="10"/>
  <c r="BZ257" i="10"/>
  <c r="BY351" i="10"/>
  <c r="Q193" i="10"/>
  <c r="BZ250" i="10" s="1"/>
  <c r="Q321" i="10"/>
  <c r="BZ378" i="10" s="1"/>
  <c r="Q332" i="10"/>
  <c r="BZ389" i="10" s="1"/>
  <c r="Q122" i="10"/>
  <c r="Q258" i="10"/>
  <c r="BZ315" i="10" s="1"/>
  <c r="BY371" i="10"/>
  <c r="P350" i="10"/>
  <c r="Q349" i="10"/>
  <c r="BZ406" i="10" s="1"/>
  <c r="Q314" i="10"/>
  <c r="BZ371" i="10" s="1"/>
  <c r="Q407" i="10"/>
  <c r="BZ464" i="10" s="1"/>
  <c r="CA464" i="10" s="1"/>
  <c r="BY474" i="10"/>
  <c r="BY464" i="10"/>
  <c r="Q391" i="10"/>
  <c r="BZ448" i="10"/>
  <c r="CA448" i="10" s="1"/>
  <c r="BY437" i="10"/>
  <c r="BY406" i="10"/>
  <c r="BY379" i="10"/>
  <c r="BY357" i="10"/>
  <c r="BY315" i="10"/>
  <c r="BY296" i="10"/>
  <c r="BY276" i="10"/>
  <c r="BY264" i="10"/>
  <c r="BY244" i="10"/>
  <c r="BY237" i="10"/>
  <c r="Q114" i="10"/>
  <c r="Q187" i="10"/>
  <c r="BZ244" i="10"/>
  <c r="Q166" i="10"/>
  <c r="BY299" i="10"/>
  <c r="Q199" i="10"/>
  <c r="BZ256" i="10" s="1"/>
  <c r="CN485" i="10"/>
  <c r="CO485" i="10" s="1"/>
  <c r="BQ485" i="10"/>
  <c r="CJ485" i="10" s="1"/>
  <c r="BQ449" i="10"/>
  <c r="CJ449" i="10" s="1"/>
  <c r="CN449" i="10"/>
  <c r="CO449" i="10"/>
  <c r="CN419" i="10"/>
  <c r="CN444" i="10"/>
  <c r="CO444" i="10" s="1"/>
  <c r="BQ444" i="10"/>
  <c r="CJ444" i="10" s="1"/>
  <c r="BQ436" i="10"/>
  <c r="CJ436" i="10" s="1"/>
  <c r="CN436" i="10"/>
  <c r="CO436" i="10" s="1"/>
  <c r="CN476" i="10"/>
  <c r="CO476" i="10"/>
  <c r="BQ476" i="10"/>
  <c r="CJ476" i="10" s="1"/>
  <c r="CN460" i="10"/>
  <c r="CO460" i="10"/>
  <c r="BQ460" i="10"/>
  <c r="CJ460" i="10" s="1"/>
  <c r="CN426" i="10"/>
  <c r="CN439" i="10"/>
  <c r="CO439" i="10"/>
  <c r="BQ439" i="10"/>
  <c r="CJ439" i="10"/>
  <c r="CN428" i="10"/>
  <c r="K287" i="10"/>
  <c r="BO406" i="10" s="1"/>
  <c r="BP406" i="10" s="1"/>
  <c r="BN288" i="10"/>
  <c r="CN288" i="10" s="1"/>
  <c r="CO288" i="10" s="1"/>
  <c r="BY151" i="10"/>
  <c r="CQ151" i="10"/>
  <c r="BY208" i="10"/>
  <c r="CQ208" i="10"/>
  <c r="BY177" i="10"/>
  <c r="CQ177" i="10"/>
  <c r="CQ91" i="10"/>
  <c r="BY91" i="10"/>
  <c r="BY145" i="10"/>
  <c r="CQ145" i="10"/>
  <c r="CQ104" i="10"/>
  <c r="BY104" i="10"/>
  <c r="BZ208" i="10"/>
  <c r="CQ89" i="10"/>
  <c r="BY89" i="10"/>
  <c r="BY187" i="10"/>
  <c r="CQ187" i="10"/>
  <c r="CR187" i="10" s="1"/>
  <c r="BY138" i="10"/>
  <c r="CQ138" i="10"/>
  <c r="BY84" i="10"/>
  <c r="CQ84" i="10"/>
  <c r="BY106" i="10"/>
  <c r="CQ106" i="10"/>
  <c r="BZ221" i="10"/>
  <c r="CQ93" i="10"/>
  <c r="BY93" i="10"/>
  <c r="BZ219" i="10"/>
  <c r="BY134" i="10"/>
  <c r="CQ134" i="10"/>
  <c r="BZ211" i="10"/>
  <c r="CQ86" i="10"/>
  <c r="BY122" i="10"/>
  <c r="BT406" i="10"/>
  <c r="CQ406" i="10"/>
  <c r="DB10" i="10"/>
  <c r="BT160" i="10"/>
  <c r="V347" i="10"/>
  <c r="BU405" i="10"/>
  <c r="V75" i="10"/>
  <c r="BU133" i="10" s="1"/>
  <c r="BZ133" i="10" s="1"/>
  <c r="U349" i="10"/>
  <c r="V349" i="10" s="1"/>
  <c r="BU407" i="10" s="1"/>
  <c r="DB11" i="10"/>
  <c r="DD9" i="10" s="1"/>
  <c r="B32" i="12" s="1"/>
  <c r="DB12" i="10"/>
  <c r="DD11" i="10" s="1"/>
  <c r="B34" i="12" s="1"/>
  <c r="BY407" i="10"/>
  <c r="Q350" i="10"/>
  <c r="BZ407" i="10" s="1"/>
  <c r="BY160" i="10"/>
  <c r="CQ160" i="10"/>
  <c r="CR91" i="10" l="1"/>
  <c r="CO339" i="10"/>
  <c r="CO271" i="10"/>
  <c r="CO317" i="10"/>
  <c r="CO338" i="10"/>
  <c r="CR178" i="10"/>
  <c r="CO281" i="10"/>
  <c r="CO414" i="10"/>
  <c r="CR124" i="10"/>
  <c r="CR133" i="10"/>
  <c r="CR226" i="10"/>
  <c r="CR186" i="10"/>
  <c r="CO383" i="10"/>
  <c r="CO366" i="10"/>
  <c r="CO410" i="10"/>
  <c r="CR197" i="10"/>
  <c r="CR215" i="10"/>
  <c r="CR132" i="10"/>
  <c r="CO242" i="10"/>
  <c r="CR10" i="10"/>
  <c r="CR16" i="10"/>
  <c r="CR22" i="10"/>
  <c r="CR28" i="10"/>
  <c r="CR34" i="10"/>
  <c r="CR40" i="10"/>
  <c r="CR46" i="10"/>
  <c r="CR52" i="10"/>
  <c r="CR58" i="10"/>
  <c r="CO64" i="10"/>
  <c r="CO76" i="10"/>
  <c r="CO88" i="10"/>
  <c r="CO100" i="10"/>
  <c r="CO112" i="10"/>
  <c r="CO124" i="10"/>
  <c r="CO136" i="10"/>
  <c r="CO147" i="10"/>
  <c r="CO157" i="10"/>
  <c r="CO169" i="10"/>
  <c r="CO181" i="10"/>
  <c r="CO193" i="10"/>
  <c r="CO205" i="10"/>
  <c r="CO217" i="10"/>
  <c r="CR299" i="10"/>
  <c r="T14" i="11"/>
  <c r="CR386" i="10"/>
  <c r="CR71" i="10"/>
  <c r="CR142" i="10"/>
  <c r="CO248" i="10"/>
  <c r="CO368" i="10"/>
  <c r="CO319" i="10"/>
  <c r="CO293" i="10"/>
  <c r="CO337" i="10"/>
  <c r="CO280" i="10"/>
  <c r="CO276" i="10"/>
  <c r="CO312" i="10"/>
  <c r="CO331" i="10"/>
  <c r="CO250" i="10"/>
  <c r="CR136" i="10"/>
  <c r="CO226" i="10"/>
  <c r="CO318" i="10"/>
  <c r="CO430" i="10"/>
  <c r="CR87" i="10"/>
  <c r="CR153" i="10"/>
  <c r="CR101" i="10"/>
  <c r="CR176" i="10"/>
  <c r="CR88" i="10"/>
  <c r="CR172" i="10"/>
  <c r="CO322" i="10"/>
  <c r="CR200" i="10"/>
  <c r="CO10" i="10"/>
  <c r="CO16" i="10"/>
  <c r="CO22" i="10"/>
  <c r="CO28" i="10"/>
  <c r="CO34" i="10"/>
  <c r="CO40" i="10"/>
  <c r="CO46" i="10"/>
  <c r="CO52" i="10"/>
  <c r="CO58" i="10"/>
  <c r="CO65" i="10"/>
  <c r="CO77" i="10"/>
  <c r="CO89" i="10"/>
  <c r="CO101" i="10"/>
  <c r="CO113" i="10"/>
  <c r="CO125" i="10"/>
  <c r="CO137" i="10"/>
  <c r="CO148" i="10"/>
  <c r="CO158" i="10"/>
  <c r="CO170" i="10"/>
  <c r="CO182" i="10"/>
  <c r="CO194" i="10"/>
  <c r="CO206" i="10"/>
  <c r="CO218" i="10"/>
  <c r="CR339" i="10"/>
  <c r="CR321" i="10"/>
  <c r="CO429" i="10"/>
  <c r="Q29" i="11"/>
  <c r="CR147" i="10"/>
  <c r="CR402" i="10"/>
  <c r="CO336" i="10"/>
  <c r="CO263" i="10"/>
  <c r="CO330" i="10"/>
  <c r="CO358" i="10"/>
  <c r="CO237" i="10"/>
  <c r="CO313" i="10"/>
  <c r="CO373" i="10"/>
  <c r="CR249" i="10"/>
  <c r="CO371" i="10"/>
  <c r="CR65" i="10"/>
  <c r="CR77" i="10"/>
  <c r="CR116" i="10"/>
  <c r="CR165" i="10"/>
  <c r="CO433" i="10"/>
  <c r="CO268" i="10"/>
  <c r="CO267" i="10"/>
  <c r="CO421" i="10"/>
  <c r="CR127" i="10"/>
  <c r="CR11" i="10"/>
  <c r="CR17" i="10"/>
  <c r="CR23" i="10"/>
  <c r="CR29" i="10"/>
  <c r="CR35" i="10"/>
  <c r="CR41" i="10"/>
  <c r="CR47" i="10"/>
  <c r="CR53" i="10"/>
  <c r="CR59" i="10"/>
  <c r="CO66" i="10"/>
  <c r="CO78" i="10"/>
  <c r="CO90" i="10"/>
  <c r="CO102" i="10"/>
  <c r="CO114" i="10"/>
  <c r="CO126" i="10"/>
  <c r="CO138" i="10"/>
  <c r="CR149" i="10"/>
  <c r="CO159" i="10"/>
  <c r="CO171" i="10"/>
  <c r="CO183" i="10"/>
  <c r="CO195" i="10"/>
  <c r="CO207" i="10"/>
  <c r="CO219" i="10"/>
  <c r="EU3" i="13"/>
  <c r="CR250" i="10"/>
  <c r="CR82" i="10"/>
  <c r="CR114" i="10"/>
  <c r="CO264" i="10"/>
  <c r="CO351" i="10"/>
  <c r="CO393" i="10"/>
  <c r="CO257" i="10"/>
  <c r="CO367" i="10"/>
  <c r="CR93" i="10"/>
  <c r="CR198" i="10"/>
  <c r="CR96" i="10"/>
  <c r="CO287" i="10"/>
  <c r="CO235" i="10"/>
  <c r="CO398" i="10"/>
  <c r="CR135" i="10"/>
  <c r="CR171" i="10"/>
  <c r="CR117" i="10"/>
  <c r="CO243" i="10"/>
  <c r="CR403" i="10"/>
  <c r="CR345" i="10"/>
  <c r="CR154" i="10"/>
  <c r="CO311" i="10"/>
  <c r="CO11" i="10"/>
  <c r="CO17" i="10"/>
  <c r="CO23" i="10"/>
  <c r="CO29" i="10"/>
  <c r="CO35" i="10"/>
  <c r="CO41" i="10"/>
  <c r="CO47" i="10"/>
  <c r="CO53" i="10"/>
  <c r="CO59" i="10"/>
  <c r="CO67" i="10"/>
  <c r="CO79" i="10"/>
  <c r="CO91" i="10"/>
  <c r="CO103" i="10"/>
  <c r="CO115" i="10"/>
  <c r="CO127" i="10"/>
  <c r="CO139" i="10"/>
  <c r="CO149" i="10"/>
  <c r="CO160" i="10"/>
  <c r="CO172" i="10"/>
  <c r="CO184" i="10"/>
  <c r="CO196" i="10"/>
  <c r="CO208" i="10"/>
  <c r="CO220" i="10"/>
  <c r="CR113" i="10"/>
  <c r="Q23" i="11"/>
  <c r="Q21" i="11"/>
  <c r="CR223" i="10"/>
  <c r="CR329" i="10"/>
  <c r="CR68" i="10"/>
  <c r="CR131" i="10"/>
  <c r="CO274" i="10"/>
  <c r="CO353" i="10"/>
  <c r="CO342" i="10"/>
  <c r="CO241" i="10"/>
  <c r="CO394" i="10"/>
  <c r="CO369" i="10"/>
  <c r="CO245" i="10"/>
  <c r="CO244" i="10"/>
  <c r="CO252" i="10"/>
  <c r="CO282" i="10"/>
  <c r="CR406" i="10"/>
  <c r="CR144" i="10"/>
  <c r="CO363" i="10"/>
  <c r="CO301" i="10"/>
  <c r="CR129" i="10"/>
  <c r="CO416" i="10"/>
  <c r="CR143" i="10"/>
  <c r="CR353" i="10"/>
  <c r="CR155" i="10"/>
  <c r="CR175" i="10"/>
  <c r="CR404" i="10"/>
  <c r="CO392" i="10"/>
  <c r="CO303" i="10"/>
  <c r="CO397" i="10"/>
  <c r="CO420" i="10"/>
  <c r="CR281" i="10"/>
  <c r="CR182" i="10"/>
  <c r="CO291" i="10"/>
  <c r="CR97" i="10"/>
  <c r="CR6" i="10"/>
  <c r="CR12" i="10"/>
  <c r="CR18" i="10"/>
  <c r="CR24" i="10"/>
  <c r="CR30" i="10"/>
  <c r="CR36" i="10"/>
  <c r="CR42" i="10"/>
  <c r="CR48" i="10"/>
  <c r="CR54" i="10"/>
  <c r="CR60" i="10"/>
  <c r="CO68" i="10"/>
  <c r="CO80" i="10"/>
  <c r="CO92" i="10"/>
  <c r="CO104" i="10"/>
  <c r="CO116" i="10"/>
  <c r="CO128" i="10"/>
  <c r="CO140" i="10"/>
  <c r="CO150" i="10"/>
  <c r="CO161" i="10"/>
  <c r="CO173" i="10"/>
  <c r="CO185" i="10"/>
  <c r="CO197" i="10"/>
  <c r="CO209" i="10"/>
  <c r="CO221" i="10"/>
  <c r="Q28" i="11"/>
  <c r="CR394" i="10"/>
  <c r="CR74" i="10"/>
  <c r="CR83" i="10"/>
  <c r="CO418" i="10"/>
  <c r="CO381" i="10"/>
  <c r="CO286" i="10"/>
  <c r="CO347" i="10"/>
  <c r="CO279" i="10"/>
  <c r="CO395" i="10"/>
  <c r="CO396" i="10"/>
  <c r="CO308" i="10"/>
  <c r="CR89" i="10"/>
  <c r="CR160" i="10"/>
  <c r="CR106" i="10"/>
  <c r="CR208" i="10"/>
  <c r="CO419" i="10"/>
  <c r="CO298" i="10"/>
  <c r="CO297" i="10"/>
  <c r="CR130" i="10"/>
  <c r="CO294" i="10"/>
  <c r="CR140" i="10"/>
  <c r="CR205" i="10"/>
  <c r="CR139" i="10"/>
  <c r="CR217" i="10"/>
  <c r="CO265" i="10"/>
  <c r="CO341" i="10"/>
  <c r="CR196" i="10"/>
  <c r="CR107" i="10"/>
  <c r="CR7" i="10"/>
  <c r="CO12" i="10"/>
  <c r="CO18" i="10"/>
  <c r="CO24" i="10"/>
  <c r="CO30" i="10"/>
  <c r="CO36" i="10"/>
  <c r="CO42" i="10"/>
  <c r="CO48" i="10"/>
  <c r="CO54" i="10"/>
  <c r="CO60" i="10"/>
  <c r="CO69" i="10"/>
  <c r="CO81" i="10"/>
  <c r="CO93" i="10"/>
  <c r="CO105" i="10"/>
  <c r="CO117" i="10"/>
  <c r="CO129" i="10"/>
  <c r="CO141" i="10"/>
  <c r="CO151" i="10"/>
  <c r="CO162" i="10"/>
  <c r="CO174" i="10"/>
  <c r="CO186" i="10"/>
  <c r="CO198" i="10"/>
  <c r="CO210" i="10"/>
  <c r="CO222" i="10"/>
  <c r="CR357" i="10"/>
  <c r="Q27" i="11"/>
  <c r="Q30" i="11" s="1"/>
  <c r="FJ16" i="13" s="1"/>
  <c r="L105" i="9" s="1"/>
  <c r="CR73" i="10"/>
  <c r="CR94" i="10"/>
  <c r="CO310" i="10"/>
  <c r="CO325" i="10"/>
  <c r="CO255" i="10"/>
  <c r="CO377" i="10"/>
  <c r="CO428" i="10"/>
  <c r="CR177" i="10"/>
  <c r="CR104" i="10"/>
  <c r="CO426" i="10"/>
  <c r="CR92" i="10"/>
  <c r="CR163" i="10"/>
  <c r="CO400" i="10"/>
  <c r="CO385" i="10"/>
  <c r="CR189" i="10"/>
  <c r="CR184" i="10"/>
  <c r="CR161" i="10"/>
  <c r="CR79" i="10"/>
  <c r="CO423" i="10"/>
  <c r="CR363" i="10"/>
  <c r="CO360" i="10"/>
  <c r="CO431" i="10"/>
  <c r="CR338" i="10"/>
  <c r="CR179" i="10"/>
  <c r="CR103" i="10"/>
  <c r="CR112" i="10"/>
  <c r="CO6" i="10"/>
  <c r="CR13" i="10"/>
  <c r="CR19" i="10"/>
  <c r="CR25" i="10"/>
  <c r="CR31" i="10"/>
  <c r="CR37" i="10"/>
  <c r="CR43" i="10"/>
  <c r="CR49" i="10"/>
  <c r="CR55" i="10"/>
  <c r="CR61" i="10"/>
  <c r="CO70" i="10"/>
  <c r="CO82" i="10"/>
  <c r="CO94" i="10"/>
  <c r="CO106" i="10"/>
  <c r="CO118" i="10"/>
  <c r="CO130" i="10"/>
  <c r="CO142" i="10"/>
  <c r="CO152" i="10"/>
  <c r="CO163" i="10"/>
  <c r="CO175" i="10"/>
  <c r="CO187" i="10"/>
  <c r="CO199" i="10"/>
  <c r="CO211" i="10"/>
  <c r="CO223" i="10"/>
  <c r="CR192" i="10"/>
  <c r="CR368" i="10"/>
  <c r="CR159" i="10"/>
  <c r="CR137" i="10"/>
  <c r="CR126" i="10"/>
  <c r="CO427" i="10"/>
  <c r="CO239" i="10"/>
  <c r="CO236" i="10"/>
  <c r="CO316" i="10"/>
  <c r="CO284" i="10"/>
  <c r="CO387" i="10"/>
  <c r="CO323" i="10"/>
  <c r="CO388" i="10"/>
  <c r="CO384" i="10"/>
  <c r="CO306" i="10"/>
  <c r="CO320" i="10"/>
  <c r="CR86" i="10"/>
  <c r="CR84" i="10"/>
  <c r="CO406" i="10"/>
  <c r="CO270" i="10"/>
  <c r="CO283" i="10"/>
  <c r="CO403" i="10"/>
  <c r="CR152" i="10"/>
  <c r="CR141" i="10"/>
  <c r="CR214" i="10"/>
  <c r="CR219" i="10"/>
  <c r="CR128" i="10"/>
  <c r="CR111" i="10"/>
  <c r="CR98" i="10"/>
  <c r="CO314" i="10"/>
  <c r="CR173" i="10"/>
  <c r="CO7" i="10"/>
  <c r="CO13" i="10"/>
  <c r="CO19" i="10"/>
  <c r="CO25" i="10"/>
  <c r="CO31" i="10"/>
  <c r="CO37" i="10"/>
  <c r="CO43" i="10"/>
  <c r="CO49" i="10"/>
  <c r="CO55" i="10"/>
  <c r="CO61" i="10"/>
  <c r="CO71" i="10"/>
  <c r="CO83" i="10"/>
  <c r="CO95" i="10"/>
  <c r="CO107" i="10"/>
  <c r="CO119" i="10"/>
  <c r="CO131" i="10"/>
  <c r="CO143" i="10"/>
  <c r="CO153" i="10"/>
  <c r="CO164" i="10"/>
  <c r="CO176" i="10"/>
  <c r="CO188" i="10"/>
  <c r="CO200" i="10"/>
  <c r="CO212" i="10"/>
  <c r="CO224" i="10"/>
  <c r="CR213" i="10"/>
  <c r="CR80" i="10"/>
  <c r="CR99" i="10"/>
  <c r="CO229" i="10"/>
  <c r="CO357" i="10"/>
  <c r="CO375" i="10"/>
  <c r="CO299" i="10"/>
  <c r="CO289" i="10"/>
  <c r="CO376" i="10"/>
  <c r="CO372" i="10"/>
  <c r="CO354" i="10"/>
  <c r="CR145" i="10"/>
  <c r="CR151" i="10"/>
  <c r="CR150" i="10"/>
  <c r="CO382" i="10"/>
  <c r="CO345" i="10"/>
  <c r="CO409" i="10"/>
  <c r="CO361" i="10"/>
  <c r="CR125" i="10"/>
  <c r="CO355" i="10"/>
  <c r="CR81" i="10"/>
  <c r="CO254" i="10"/>
  <c r="CO238" i="10"/>
  <c r="CO415" i="10"/>
  <c r="CR118" i="10"/>
  <c r="CR115" i="10"/>
  <c r="CR222" i="10"/>
  <c r="CO378" i="10"/>
  <c r="CR325" i="10"/>
  <c r="CR110" i="10"/>
  <c r="CR75" i="10"/>
  <c r="CR8" i="10"/>
  <c r="CR14" i="10"/>
  <c r="CR20" i="10"/>
  <c r="CR26" i="10"/>
  <c r="CR32" i="10"/>
  <c r="CR38" i="10"/>
  <c r="CR44" i="10"/>
  <c r="CR50" i="10"/>
  <c r="CR56" i="10"/>
  <c r="CR62" i="10"/>
  <c r="CO72" i="10"/>
  <c r="CO84" i="10"/>
  <c r="CO96" i="10"/>
  <c r="CO108" i="10"/>
  <c r="CO120" i="10"/>
  <c r="CO132" i="10"/>
  <c r="CO144" i="10"/>
  <c r="CO154" i="10"/>
  <c r="CO165" i="10"/>
  <c r="CO177" i="10"/>
  <c r="CO189" i="10"/>
  <c r="CO201" i="10"/>
  <c r="CO213" i="10"/>
  <c r="CO225" i="10"/>
  <c r="CR211" i="10"/>
  <c r="CR162" i="10"/>
  <c r="CR241" i="10"/>
  <c r="CR380" i="10"/>
  <c r="CR148" i="10"/>
  <c r="CR90" i="10"/>
  <c r="CO256" i="10"/>
  <c r="CO230" i="10"/>
  <c r="CO272" i="10"/>
  <c r="CO273" i="10"/>
  <c r="CO329" i="10"/>
  <c r="CO277" i="10"/>
  <c r="CO328" i="10"/>
  <c r="CO344" i="10"/>
  <c r="CR138" i="10"/>
  <c r="CR119" i="10"/>
  <c r="CO340" i="10"/>
  <c r="CO365" i="10"/>
  <c r="CO401" i="10"/>
  <c r="CR69" i="10"/>
  <c r="CO362" i="10"/>
  <c r="CR212" i="10"/>
  <c r="CR70" i="10"/>
  <c r="CR123" i="10"/>
  <c r="CR100" i="10"/>
  <c r="CR174" i="10"/>
  <c r="CO258" i="10"/>
  <c r="CO417" i="10"/>
  <c r="CR304" i="10"/>
  <c r="CO349" i="10"/>
  <c r="CO321" i="10"/>
  <c r="CO8" i="10"/>
  <c r="CO14" i="10"/>
  <c r="CO20" i="10"/>
  <c r="CO26" i="10"/>
  <c r="CO32" i="10"/>
  <c r="CO38" i="10"/>
  <c r="CO44" i="10"/>
  <c r="CO50" i="10"/>
  <c r="CO56" i="10"/>
  <c r="CO62" i="10"/>
  <c r="CO73" i="10"/>
  <c r="CO85" i="10"/>
  <c r="CO97" i="10"/>
  <c r="CO109" i="10"/>
  <c r="CO121" i="10"/>
  <c r="CO133" i="10"/>
  <c r="CO145" i="10"/>
  <c r="CO155" i="10"/>
  <c r="CO166" i="10"/>
  <c r="CO178" i="10"/>
  <c r="CO190" i="10"/>
  <c r="CO202" i="10"/>
  <c r="CO214" i="10"/>
  <c r="CR371" i="10"/>
  <c r="CR229" i="10"/>
  <c r="CR201" i="10"/>
  <c r="CO425" i="10"/>
  <c r="CR105" i="10"/>
  <c r="CO391" i="10"/>
  <c r="CO390" i="10"/>
  <c r="CO346" i="10"/>
  <c r="CO399" i="10"/>
  <c r="CO292" i="10"/>
  <c r="CO285" i="10"/>
  <c r="CR134" i="10"/>
  <c r="CO302" i="10"/>
  <c r="CO227" i="10"/>
  <c r="CO413" i="10"/>
  <c r="CO364" i="10"/>
  <c r="CO234" i="10"/>
  <c r="CR183" i="10"/>
  <c r="CO411" i="10"/>
  <c r="CR203" i="10"/>
  <c r="CR185" i="10"/>
  <c r="CR220" i="10"/>
  <c r="CO309" i="10"/>
  <c r="CO275" i="10"/>
  <c r="CR66" i="10"/>
  <c r="CR199" i="10"/>
  <c r="CR9" i="10"/>
  <c r="CR15" i="10"/>
  <c r="CR21" i="10"/>
  <c r="CR27" i="10"/>
  <c r="CR33" i="10"/>
  <c r="CR39" i="10"/>
  <c r="CR45" i="10"/>
  <c r="CR51" i="10"/>
  <c r="CR57" i="10"/>
  <c r="CR63" i="10"/>
  <c r="CO74" i="10"/>
  <c r="CO86" i="10"/>
  <c r="CO98" i="10"/>
  <c r="CO110" i="10"/>
  <c r="CO122" i="10"/>
  <c r="CO134" i="10"/>
  <c r="CR146" i="10"/>
  <c r="CO156" i="10"/>
  <c r="CO167" i="10"/>
  <c r="CO179" i="10"/>
  <c r="CO191" i="10"/>
  <c r="CO203" i="10"/>
  <c r="CO215" i="10"/>
  <c r="CR374" i="10"/>
  <c r="CR95" i="10"/>
  <c r="CR166" i="10"/>
  <c r="CR379" i="10"/>
  <c r="CR358" i="10"/>
  <c r="CR122" i="10"/>
  <c r="CR72" i="10"/>
  <c r="CO343" i="10"/>
  <c r="CO249" i="10"/>
  <c r="CO348" i="10"/>
  <c r="CO315" i="10"/>
  <c r="CO251" i="10"/>
  <c r="CO305" i="10"/>
  <c r="CO259" i="10"/>
  <c r="CO335" i="10"/>
  <c r="ET18" i="13"/>
  <c r="L40" i="9" s="1"/>
  <c r="T15" i="11"/>
  <c r="EU15" i="13" s="1"/>
  <c r="R36" i="9" s="1"/>
  <c r="T12" i="11"/>
  <c r="ET24" i="13"/>
  <c r="AI13" i="9"/>
  <c r="G7" i="13"/>
  <c r="H7" i="13" s="1"/>
  <c r="CO432" i="10"/>
  <c r="CR366" i="10"/>
  <c r="CR344" i="10"/>
  <c r="CR415" i="10"/>
  <c r="CR287" i="10"/>
  <c r="CR221" i="10"/>
  <c r="CO386" i="10"/>
  <c r="CR424" i="10"/>
  <c r="CR414" i="10"/>
  <c r="CR265" i="10"/>
  <c r="CR432" i="10"/>
  <c r="CR423" i="10"/>
  <c r="CR413" i="10"/>
  <c r="CR387" i="10"/>
  <c r="CR332" i="10"/>
  <c r="CR431" i="10"/>
  <c r="CR422" i="10"/>
  <c r="CR412" i="10"/>
  <c r="CR362" i="10"/>
  <c r="CR331" i="10"/>
  <c r="CR322" i="10"/>
  <c r="CR294" i="10"/>
  <c r="CR275" i="10"/>
  <c r="CR263" i="10"/>
  <c r="CR235" i="10"/>
  <c r="CR430" i="10"/>
  <c r="CR421" i="10"/>
  <c r="CR411" i="10"/>
  <c r="CR330" i="10"/>
  <c r="CR311" i="10"/>
  <c r="CR302" i="10"/>
  <c r="CR429" i="10"/>
  <c r="CR420" i="10"/>
  <c r="CR410" i="10"/>
  <c r="CR361" i="10"/>
  <c r="CR273" i="10"/>
  <c r="CR251" i="10"/>
  <c r="CR209" i="10"/>
  <c r="CR64" i="10"/>
  <c r="CR409" i="10"/>
  <c r="CR283" i="10"/>
  <c r="CR260" i="10"/>
  <c r="CR427" i="10"/>
  <c r="CR240" i="10"/>
  <c r="CR418" i="10"/>
  <c r="CR317" i="10"/>
  <c r="CR239" i="10"/>
  <c r="CR426" i="10"/>
  <c r="CR392" i="10"/>
  <c r="CR373" i="10"/>
  <c r="CR269" i="10"/>
  <c r="CR425" i="10"/>
  <c r="CR416" i="10"/>
  <c r="CR372" i="10"/>
  <c r="CR367" i="10"/>
  <c r="CR268" i="10"/>
  <c r="CR230" i="10"/>
  <c r="L7" i="13"/>
  <c r="N7" i="13" s="1"/>
  <c r="AG6" i="13"/>
  <c r="AS6" i="13"/>
  <c r="AI6" i="13"/>
  <c r="AL6" i="13"/>
  <c r="AP6" i="13"/>
  <c r="AO6" i="13"/>
  <c r="F6" i="13"/>
  <c r="G6" i="13" s="1"/>
  <c r="H6" i="13" s="1"/>
  <c r="AT6" i="13"/>
  <c r="AR6" i="13"/>
  <c r="AU6" i="13"/>
  <c r="AK6" i="13"/>
  <c r="AV6" i="13"/>
  <c r="AW6" i="13"/>
  <c r="AJ6" i="13"/>
  <c r="AX6" i="13"/>
  <c r="AM6" i="13"/>
  <c r="AN6" i="13"/>
  <c r="AQ6" i="13"/>
  <c r="CA431" i="10"/>
  <c r="CA430" i="10"/>
  <c r="CA429" i="10" s="1"/>
  <c r="CA428" i="10" s="1"/>
  <c r="CA427" i="10" s="1"/>
  <c r="CA426" i="10" s="1"/>
  <c r="CA425" i="10" s="1"/>
  <c r="CA424" i="10" s="1"/>
  <c r="CA423" i="10" s="1"/>
  <c r="CA422" i="10" s="1"/>
  <c r="CA421" i="10" s="1"/>
  <c r="CA420" i="10" s="1"/>
  <c r="CA419" i="10" s="1"/>
  <c r="CA418" i="10" s="1"/>
  <c r="CA417" i="10" s="1"/>
  <c r="CA416" i="10" s="1"/>
  <c r="CA415" i="10" s="1"/>
  <c r="CA414" i="10" s="1"/>
  <c r="CA413" i="10" s="1"/>
  <c r="CA412" i="10" s="1"/>
  <c r="CA411" i="10" s="1"/>
  <c r="CA410" i="10" s="1"/>
  <c r="CA409" i="10" s="1"/>
  <c r="CA408" i="10" s="1"/>
  <c r="CA407" i="10" s="1"/>
  <c r="CA406" i="10" s="1"/>
  <c r="CA405" i="10" s="1"/>
  <c r="CA404" i="10" s="1"/>
  <c r="CA403" i="10" s="1"/>
  <c r="CA402" i="10" s="1"/>
  <c r="CA401" i="10" s="1"/>
  <c r="CA400" i="10" s="1"/>
  <c r="CA399" i="10" s="1"/>
  <c r="CA398" i="10" s="1"/>
  <c r="CA397" i="10" s="1"/>
  <c r="CA396" i="10" s="1"/>
  <c r="CA395" i="10" s="1"/>
  <c r="CA394" i="10" s="1"/>
  <c r="CA393" i="10" s="1"/>
  <c r="CA392" i="10" s="1"/>
  <c r="CA391" i="10" s="1"/>
  <c r="CA390" i="10" s="1"/>
  <c r="CA389" i="10" s="1"/>
  <c r="CA388" i="10" s="1"/>
  <c r="CA387" i="10" s="1"/>
  <c r="CA386" i="10" s="1"/>
  <c r="CA385" i="10" s="1"/>
  <c r="CA384" i="10" s="1"/>
  <c r="CA383" i="10" s="1"/>
  <c r="CA382" i="10" s="1"/>
  <c r="CA381" i="10" s="1"/>
  <c r="CA380" i="10" s="1"/>
  <c r="CA379" i="10" s="1"/>
  <c r="CA378" i="10" s="1"/>
  <c r="CA377" i="10" s="1"/>
  <c r="CA376" i="10" s="1"/>
  <c r="CA375" i="10" s="1"/>
  <c r="CA374" i="10" s="1"/>
  <c r="CA373" i="10" s="1"/>
  <c r="CA372" i="10" s="1"/>
  <c r="CA371" i="10" s="1"/>
  <c r="CA370" i="10" s="1"/>
  <c r="CA369" i="10" s="1"/>
  <c r="CA368" i="10" s="1"/>
  <c r="CA367" i="10" s="1"/>
  <c r="CA366" i="10" s="1"/>
  <c r="CA365" i="10" s="1"/>
  <c r="CA364" i="10" s="1"/>
  <c r="CA363" i="10" s="1"/>
  <c r="CA362" i="10" s="1"/>
  <c r="CA361" i="10" s="1"/>
  <c r="CA360" i="10" s="1"/>
  <c r="CA359" i="10" s="1"/>
  <c r="CA358" i="10" s="1"/>
  <c r="CA357" i="10" s="1"/>
  <c r="CA356" i="10" s="1"/>
  <c r="CA355" i="10" s="1"/>
  <c r="CA354" i="10" s="1"/>
  <c r="CA353" i="10" s="1"/>
  <c r="CA352" i="10" s="1"/>
  <c r="CA351" i="10" s="1"/>
  <c r="CA350" i="10" s="1"/>
  <c r="CA349" i="10" s="1"/>
  <c r="CA348" i="10" s="1"/>
  <c r="CA347" i="10" s="1"/>
  <c r="CA346" i="10" s="1"/>
  <c r="CA345" i="10" s="1"/>
  <c r="CA344" i="10" s="1"/>
  <c r="CA343" i="10" s="1"/>
  <c r="CA342" i="10" s="1"/>
  <c r="CA341" i="10" s="1"/>
  <c r="CA340" i="10" s="1"/>
  <c r="CA339" i="10" s="1"/>
  <c r="CA338" i="10" s="1"/>
  <c r="CA337" i="10" s="1"/>
  <c r="CA336" i="10" s="1"/>
  <c r="CA335" i="10" s="1"/>
  <c r="CA334" i="10" s="1"/>
  <c r="CA333" i="10" s="1"/>
  <c r="CA332" i="10" s="1"/>
  <c r="CA331" i="10" s="1"/>
  <c r="CA330" i="10" s="1"/>
  <c r="CA329" i="10" s="1"/>
  <c r="CA328" i="10" s="1"/>
  <c r="CA327" i="10" s="1"/>
  <c r="CA326" i="10" s="1"/>
  <c r="CA325" i="10" s="1"/>
  <c r="CA324" i="10" s="1"/>
  <c r="CA323" i="10" s="1"/>
  <c r="CA322" i="10" s="1"/>
  <c r="CA321" i="10" s="1"/>
  <c r="CA320" i="10" s="1"/>
  <c r="CA319" i="10" s="1"/>
  <c r="CA318" i="10" s="1"/>
  <c r="CA317" i="10" s="1"/>
  <c r="CA316" i="10" s="1"/>
  <c r="CA315" i="10" s="1"/>
  <c r="CA314" i="10" s="1"/>
  <c r="CA313" i="10" s="1"/>
  <c r="CA312" i="10" s="1"/>
  <c r="CA311" i="10" s="1"/>
  <c r="CA310" i="10" s="1"/>
  <c r="CA309" i="10" s="1"/>
  <c r="CA308" i="10" s="1"/>
  <c r="CA307" i="10" s="1"/>
  <c r="CA306" i="10" s="1"/>
  <c r="CA305" i="10" s="1"/>
  <c r="CA304" i="10" s="1"/>
  <c r="CA303" i="10" s="1"/>
  <c r="CA302" i="10" s="1"/>
  <c r="CA301" i="10" s="1"/>
  <c r="CA300" i="10" s="1"/>
  <c r="CA299" i="10" s="1"/>
  <c r="CA298" i="10" s="1"/>
  <c r="CA297" i="10" s="1"/>
  <c r="CA296" i="10" s="1"/>
  <c r="CA295" i="10" s="1"/>
  <c r="CA294" i="10" s="1"/>
  <c r="CA293" i="10" s="1"/>
  <c r="CA292" i="10" s="1"/>
  <c r="CA291" i="10" s="1"/>
  <c r="CA290" i="10" s="1"/>
  <c r="CA289" i="10" s="1"/>
  <c r="CA288" i="10" s="1"/>
  <c r="CA287" i="10" s="1"/>
  <c r="CA286" i="10" s="1"/>
  <c r="CA285" i="10" s="1"/>
  <c r="CA284" i="10" s="1"/>
  <c r="CA283" i="10" s="1"/>
  <c r="CA282" i="10" s="1"/>
  <c r="CA281" i="10" s="1"/>
  <c r="CA280" i="10" s="1"/>
  <c r="CA279" i="10" s="1"/>
  <c r="CA278" i="10" s="1"/>
  <c r="CA277" i="10" s="1"/>
  <c r="CA276" i="10" s="1"/>
  <c r="CA275" i="10" s="1"/>
  <c r="CA274" i="10" s="1"/>
  <c r="CA273" i="10" s="1"/>
  <c r="CA272" i="10" s="1"/>
  <c r="CA271" i="10" s="1"/>
  <c r="CA270" i="10" s="1"/>
  <c r="CA269" i="10" s="1"/>
  <c r="CA268" i="10" s="1"/>
  <c r="CA267" i="10" s="1"/>
  <c r="CA266" i="10" s="1"/>
  <c r="CA265" i="10" s="1"/>
  <c r="CA264" i="10" s="1"/>
  <c r="CA263" i="10" s="1"/>
  <c r="CA262" i="10" s="1"/>
  <c r="CA261" i="10" s="1"/>
  <c r="CA260" i="10" s="1"/>
  <c r="CA259" i="10" s="1"/>
  <c r="CA258" i="10" s="1"/>
  <c r="CA257" i="10" s="1"/>
  <c r="CA256" i="10" s="1"/>
  <c r="CA255" i="10" s="1"/>
  <c r="CA254" i="10" s="1"/>
  <c r="CA253" i="10" s="1"/>
  <c r="CA252" i="10" s="1"/>
  <c r="CA251" i="10" s="1"/>
  <c r="CA250" i="10" s="1"/>
  <c r="CA249" i="10" s="1"/>
  <c r="CA248" i="10" s="1"/>
  <c r="CA247" i="10" s="1"/>
  <c r="CA246" i="10" s="1"/>
  <c r="CA245" i="10" s="1"/>
  <c r="CA244" i="10" s="1"/>
  <c r="CA243" i="10" s="1"/>
  <c r="CA242" i="10" s="1"/>
  <c r="CA241" i="10" s="1"/>
  <c r="CA240" i="10" s="1"/>
  <c r="CA239" i="10" s="1"/>
  <c r="CA238" i="10" s="1"/>
  <c r="CA237" i="10" s="1"/>
  <c r="CA236" i="10" s="1"/>
  <c r="CA235" i="10" s="1"/>
  <c r="CA234" i="10" s="1"/>
  <c r="CA233" i="10" s="1"/>
  <c r="CA232" i="10" s="1"/>
  <c r="CA231" i="10" s="1"/>
  <c r="CA230" i="10" s="1"/>
  <c r="CA229" i="10" s="1"/>
  <c r="CA228" i="10" s="1"/>
  <c r="CA227" i="10" s="1"/>
  <c r="CA226" i="10" s="1"/>
  <c r="CA225" i="10" s="1"/>
  <c r="CA224" i="10" s="1"/>
  <c r="CA223" i="10" s="1"/>
  <c r="CA222" i="10" s="1"/>
  <c r="CA221" i="10" s="1"/>
  <c r="CA220" i="10" s="1"/>
  <c r="CA219" i="10" s="1"/>
  <c r="CA218" i="10" s="1"/>
  <c r="CA217" i="10" s="1"/>
  <c r="CA216" i="10" s="1"/>
  <c r="CA215" i="10" s="1"/>
  <c r="CA214" i="10" s="1"/>
  <c r="CA213" i="10" s="1"/>
  <c r="CA212" i="10" s="1"/>
  <c r="CA211" i="10" s="1"/>
  <c r="CA210" i="10" s="1"/>
  <c r="CA209" i="10" s="1"/>
  <c r="CA208" i="10" s="1"/>
  <c r="Q440" i="10"/>
  <c r="BY413" i="10"/>
  <c r="BY226" i="10"/>
  <c r="Q433" i="10"/>
  <c r="BY477" i="10"/>
  <c r="Q344" i="10"/>
  <c r="BZ401" i="10" s="1"/>
  <c r="Q132" i="10"/>
  <c r="Q406" i="10"/>
  <c r="BZ463" i="10" s="1"/>
  <c r="CA463" i="10" s="1"/>
  <c r="BY468" i="10"/>
  <c r="Q313" i="10"/>
  <c r="BZ370" i="10" s="1"/>
  <c r="Q299" i="10"/>
  <c r="BZ356" i="10" s="1"/>
  <c r="Q218" i="10"/>
  <c r="BZ275" i="10" s="1"/>
  <c r="BY454" i="10"/>
  <c r="BY328" i="10"/>
  <c r="CJ432" i="10"/>
  <c r="CN424" i="10"/>
  <c r="CO424" i="10" s="1"/>
  <c r="CN468" i="10"/>
  <c r="CO468" i="10" s="1"/>
  <c r="BQ468" i="10"/>
  <c r="CJ468" i="10" s="1"/>
  <c r="CN422" i="10"/>
  <c r="CO422" i="10" s="1"/>
  <c r="BQ427" i="10"/>
  <c r="CJ431" i="10"/>
  <c r="CJ430" i="10" s="1"/>
  <c r="CJ429" i="10" s="1"/>
  <c r="BQ428" i="10"/>
  <c r="CJ433" i="10"/>
  <c r="CN482" i="10"/>
  <c r="CO482" i="10" s="1"/>
  <c r="BQ482" i="10"/>
  <c r="CJ482" i="10" s="1"/>
  <c r="K292" i="10"/>
  <c r="BO411" i="10" s="1"/>
  <c r="BP411" i="10" s="1"/>
  <c r="K305" i="10"/>
  <c r="BO424" i="10" s="1"/>
  <c r="BP424" i="10" s="1"/>
  <c r="K295" i="10"/>
  <c r="BO414" i="10" s="1"/>
  <c r="BP414" i="10" s="1"/>
  <c r="K288" i="10"/>
  <c r="BO407" i="10" s="1"/>
  <c r="BP407" i="10" s="1"/>
  <c r="K294" i="10"/>
  <c r="BO413" i="10" s="1"/>
  <c r="BP413" i="10" s="1"/>
  <c r="K303" i="10"/>
  <c r="BO422" i="10" s="1"/>
  <c r="BP422" i="10" s="1"/>
  <c r="BY158" i="10"/>
  <c r="CQ158" i="10"/>
  <c r="CR158" i="10" s="1"/>
  <c r="CQ121" i="10"/>
  <c r="CR121" i="10" s="1"/>
  <c r="BY121" i="10"/>
  <c r="CQ78" i="10"/>
  <c r="CR78" i="10" s="1"/>
  <c r="BY78" i="10"/>
  <c r="CQ194" i="10"/>
  <c r="CR194" i="10" s="1"/>
  <c r="BY194" i="10"/>
  <c r="BY120" i="10"/>
  <c r="CQ120" i="10"/>
  <c r="CR120" i="10" s="1"/>
  <c r="CQ85" i="10"/>
  <c r="CR85" i="10" s="1"/>
  <c r="BY85" i="10"/>
  <c r="BY164" i="10"/>
  <c r="CQ164" i="10"/>
  <c r="CR164" i="10" s="1"/>
  <c r="BY191" i="10"/>
  <c r="CQ191" i="10"/>
  <c r="CR191" i="10" s="1"/>
  <c r="BY190" i="10"/>
  <c r="CQ190" i="10"/>
  <c r="CR190" i="10" s="1"/>
  <c r="CQ181" i="10"/>
  <c r="CR181" i="10" s="1"/>
  <c r="BY181" i="10"/>
  <c r="BY216" i="10"/>
  <c r="CQ216" i="10"/>
  <c r="BY180" i="10"/>
  <c r="CQ180" i="10"/>
  <c r="CR180" i="10" s="1"/>
  <c r="BY102" i="10"/>
  <c r="CQ102" i="10"/>
  <c r="CR102" i="10" s="1"/>
  <c r="BY225" i="10"/>
  <c r="CQ225" i="10"/>
  <c r="BY207" i="10"/>
  <c r="CQ207" i="10"/>
  <c r="BY188" i="10"/>
  <c r="CQ188" i="10"/>
  <c r="CR188" i="10" s="1"/>
  <c r="BY170" i="10"/>
  <c r="CQ170" i="10"/>
  <c r="CR170" i="10" s="1"/>
  <c r="BY224" i="10"/>
  <c r="CQ224" i="10"/>
  <c r="CR224" i="10" s="1"/>
  <c r="CQ206" i="10"/>
  <c r="BY206" i="10"/>
  <c r="CQ169" i="10"/>
  <c r="CR169" i="10" s="1"/>
  <c r="BY169" i="10"/>
  <c r="BT407" i="10"/>
  <c r="CQ407" i="10" s="1"/>
  <c r="CR407" i="10" s="1"/>
  <c r="CQ67" i="10"/>
  <c r="CR67" i="10" s="1"/>
  <c r="BY67" i="10"/>
  <c r="BY204" i="10"/>
  <c r="CQ204" i="10"/>
  <c r="CR204" i="10" s="1"/>
  <c r="CQ167" i="10"/>
  <c r="CR167" i="10" s="1"/>
  <c r="BY167" i="10"/>
  <c r="V372" i="10"/>
  <c r="BU430" i="10" s="1"/>
  <c r="V363" i="10"/>
  <c r="BU421" i="10" s="1"/>
  <c r="V352" i="10"/>
  <c r="BU410" i="10" s="1"/>
  <c r="BV432" i="10"/>
  <c r="BT428" i="10"/>
  <c r="CQ428" i="10" s="1"/>
  <c r="CR428" i="10" s="1"/>
  <c r="BT417" i="10"/>
  <c r="CQ417" i="10" s="1"/>
  <c r="CR417" i="10" s="1"/>
  <c r="BT408" i="10"/>
  <c r="CQ408" i="10" s="1"/>
  <c r="CR408" i="10" s="1"/>
  <c r="V365" i="10"/>
  <c r="BU423" i="10" s="1"/>
  <c r="BT419" i="10"/>
  <c r="CQ419" i="10" s="1"/>
  <c r="CR419" i="10" s="1"/>
  <c r="V356" i="10"/>
  <c r="BU414" i="10" s="1"/>
  <c r="V354" i="10"/>
  <c r="BU412" i="10" s="1"/>
  <c r="CR248" i="10"/>
  <c r="V369" i="10"/>
  <c r="BU427" i="10" s="1"/>
  <c r="V360" i="10"/>
  <c r="BU418" i="10" s="1"/>
  <c r="V371" i="10"/>
  <c r="BU429" i="10" s="1"/>
  <c r="V351" i="10"/>
  <c r="BU409" i="10" s="1"/>
  <c r="V373" i="10"/>
  <c r="BU431" i="10" s="1"/>
  <c r="V364" i="10"/>
  <c r="BU422" i="10" s="1"/>
  <c r="V353" i="10"/>
  <c r="BU411" i="10" s="1"/>
  <c r="BT202" i="10"/>
  <c r="V357" i="10"/>
  <c r="BU415" i="10" s="1"/>
  <c r="V355" i="10"/>
  <c r="BU413" i="10" s="1"/>
  <c r="DD7" i="10"/>
  <c r="B30" i="12" s="1"/>
  <c r="BZ156" i="10"/>
  <c r="BZ207" i="10"/>
  <c r="BZ117" i="10"/>
  <c r="AB8" i="11"/>
  <c r="AC8" i="11" s="1"/>
  <c r="AB42" i="11"/>
  <c r="AC42" i="11" s="1"/>
  <c r="AB29" i="11"/>
  <c r="AC29" i="11" s="1"/>
  <c r="AB23" i="11"/>
  <c r="AC23" i="11" s="1"/>
  <c r="AB36" i="11"/>
  <c r="AC36" i="11" s="1"/>
  <c r="AB10" i="11"/>
  <c r="AC10" i="11" s="1"/>
  <c r="AB27" i="11"/>
  <c r="AC27" i="11" s="1"/>
  <c r="AB15" i="11"/>
  <c r="AC15" i="11" s="1"/>
  <c r="AB44" i="11"/>
  <c r="AC44" i="11" s="1"/>
  <c r="AB30" i="11"/>
  <c r="AC30" i="11" s="1"/>
  <c r="AB25" i="11"/>
  <c r="AC25" i="11" s="1"/>
  <c r="AB9" i="11"/>
  <c r="AC9" i="11" s="1"/>
  <c r="AB20" i="11"/>
  <c r="AC20" i="11" s="1"/>
  <c r="AB37" i="11"/>
  <c r="AC37" i="11" s="1"/>
  <c r="AB39" i="11"/>
  <c r="AC39" i="11" s="1"/>
  <c r="AB26" i="11"/>
  <c r="AC26" i="11" s="1"/>
  <c r="AB11" i="11"/>
  <c r="AC11" i="11" s="1"/>
  <c r="AB17" i="11"/>
  <c r="AC17" i="11" s="1"/>
  <c r="AB33" i="11"/>
  <c r="AC33" i="11" s="1"/>
  <c r="AB14" i="11"/>
  <c r="AC14" i="11" s="1"/>
  <c r="AB5" i="11"/>
  <c r="AC5" i="11" s="1"/>
  <c r="AB32" i="11"/>
  <c r="AC32" i="11" s="1"/>
  <c r="AB21" i="11"/>
  <c r="AC21" i="11" s="1"/>
  <c r="AB18" i="11"/>
  <c r="AC18" i="11" s="1"/>
  <c r="AB35" i="11"/>
  <c r="AC35" i="11" s="1"/>
  <c r="AB34" i="11"/>
  <c r="AC34" i="11" s="1"/>
  <c r="AB19" i="11"/>
  <c r="AC19" i="11" s="1"/>
  <c r="AB38" i="11"/>
  <c r="AC38" i="11" s="1"/>
  <c r="AB7" i="11"/>
  <c r="AC7" i="11" s="1"/>
  <c r="AB22" i="11"/>
  <c r="AC22" i="11" s="1"/>
  <c r="AB28" i="11"/>
  <c r="AC28" i="11" s="1"/>
  <c r="AB41" i="11"/>
  <c r="AC41" i="11" s="1"/>
  <c r="AB6" i="11"/>
  <c r="AC6" i="11" s="1"/>
  <c r="AB31" i="11"/>
  <c r="AC31" i="11" s="1"/>
  <c r="AB40" i="11"/>
  <c r="AC40" i="11" s="1"/>
  <c r="AB43" i="11"/>
  <c r="AC43" i="11" s="1"/>
  <c r="AB16" i="11"/>
  <c r="AC16" i="11" s="1"/>
  <c r="AB24" i="11"/>
  <c r="AC24" i="11" s="1"/>
  <c r="AB12" i="11"/>
  <c r="AC12" i="11" s="1"/>
  <c r="AB13" i="11"/>
  <c r="AC13" i="11" s="1"/>
  <c r="DD10" i="10"/>
  <c r="B33" i="12" s="1"/>
  <c r="H19" i="12"/>
  <c r="G9" i="11" s="1"/>
  <c r="T9" i="11" s="1"/>
  <c r="Q22" i="11" s="1"/>
  <c r="Q24" i="11" s="1"/>
  <c r="FJ18" i="13" s="1"/>
  <c r="L107" i="9" s="1"/>
  <c r="K6" i="13"/>
  <c r="M6" i="13" s="1"/>
  <c r="O6" i="13" s="1"/>
  <c r="L119" i="9"/>
  <c r="U119" i="9" s="1"/>
  <c r="U178" i="9" s="1"/>
  <c r="B178" i="9"/>
  <c r="B237" i="9" s="1"/>
  <c r="B296" i="9" s="1"/>
  <c r="B355" i="9" s="1"/>
  <c r="EU4" i="13"/>
  <c r="X176" i="9"/>
  <c r="X117" i="9"/>
  <c r="X58" i="9"/>
  <c r="S24" i="9"/>
  <c r="M10" i="9"/>
  <c r="R8" i="9"/>
  <c r="D303" i="9"/>
  <c r="D67" i="9"/>
  <c r="N67" i="9" s="1"/>
  <c r="D126" i="9"/>
  <c r="N8" i="9"/>
  <c r="D185" i="9"/>
  <c r="D244" i="9"/>
  <c r="P20" i="13"/>
  <c r="H20" i="13"/>
  <c r="AR18" i="13"/>
  <c r="AI18" i="13"/>
  <c r="AJ18" i="13"/>
  <c r="AU18" i="13"/>
  <c r="AX18" i="13"/>
  <c r="AP18" i="13"/>
  <c r="AM18" i="13"/>
  <c r="AS18" i="13"/>
  <c r="AV18" i="13"/>
  <c r="AN18" i="13"/>
  <c r="AK18" i="13"/>
  <c r="AQ18" i="13"/>
  <c r="AL18" i="13"/>
  <c r="CO350" i="10"/>
  <c r="CO402" i="10"/>
  <c r="CR348" i="10"/>
  <c r="CR216" i="10"/>
  <c r="AQ21" i="13"/>
  <c r="N12" i="13"/>
  <c r="AB20" i="13"/>
  <c r="AJ17" i="13"/>
  <c r="AU17" i="13"/>
  <c r="AI17" i="13"/>
  <c r="AX17" i="13"/>
  <c r="AP17" i="13"/>
  <c r="AM17" i="13"/>
  <c r="AS17" i="13"/>
  <c r="AV17" i="13"/>
  <c r="AN17" i="13"/>
  <c r="AK17" i="13"/>
  <c r="AQ17" i="13"/>
  <c r="AT17" i="13"/>
  <c r="AW17" i="13"/>
  <c r="AO17" i="13"/>
  <c r="CR238" i="10"/>
  <c r="AQ19" i="13"/>
  <c r="CR351" i="10"/>
  <c r="CR210" i="10"/>
  <c r="AI19" i="13"/>
  <c r="AR17" i="13"/>
  <c r="AC20" i="13"/>
  <c r="CO370" i="10"/>
  <c r="CO404" i="10"/>
  <c r="CR277" i="10"/>
  <c r="AI21" i="13"/>
  <c r="G20" i="13"/>
  <c r="Q20" i="13"/>
  <c r="CR300" i="10"/>
  <c r="CR284" i="10"/>
  <c r="CR280" i="10"/>
  <c r="AK21" i="13"/>
  <c r="AT18" i="13"/>
  <c r="AD21" i="13"/>
  <c r="F20" i="13"/>
  <c r="X20" i="13"/>
  <c r="AQ23" i="13"/>
  <c r="AT23" i="13"/>
  <c r="AL23" i="13"/>
  <c r="AW23" i="13"/>
  <c r="AO23" i="13"/>
  <c r="AR23" i="13"/>
  <c r="AJ23" i="13"/>
  <c r="AU23" i="13"/>
  <c r="AI23" i="13"/>
  <c r="AX23" i="13"/>
  <c r="AP23" i="13"/>
  <c r="AM23" i="13"/>
  <c r="AS23" i="13"/>
  <c r="AW14" i="13"/>
  <c r="CO374" i="10"/>
  <c r="CO408" i="10"/>
  <c r="CO246" i="10"/>
  <c r="CR261" i="10"/>
  <c r="AV23" i="13"/>
  <c r="O20" i="13"/>
  <c r="AD20" i="13"/>
  <c r="CO379" i="10"/>
  <c r="CR319" i="10"/>
  <c r="CR228" i="10"/>
  <c r="AL17" i="13"/>
  <c r="E20" i="13"/>
  <c r="AA20" i="13"/>
  <c r="AQ22" i="13"/>
  <c r="AT22" i="13"/>
  <c r="AL22" i="13"/>
  <c r="AW22" i="13"/>
  <c r="AO22" i="13"/>
  <c r="AR22" i="13"/>
  <c r="AJ22" i="13"/>
  <c r="AU22" i="13"/>
  <c r="AX22" i="13"/>
  <c r="AP22" i="13"/>
  <c r="AM22" i="13"/>
  <c r="AI22" i="13"/>
  <c r="AV22" i="13"/>
  <c r="AN22" i="13"/>
  <c r="AK22" i="13"/>
  <c r="T8" i="11"/>
  <c r="CR341" i="10"/>
  <c r="CR323" i="10"/>
  <c r="AN23" i="13"/>
  <c r="AW18" i="13"/>
  <c r="AT21" i="13"/>
  <c r="AL21" i="13"/>
  <c r="AW21" i="13"/>
  <c r="AO21" i="13"/>
  <c r="AR21" i="13"/>
  <c r="AJ21" i="13"/>
  <c r="AU21" i="13"/>
  <c r="AX21" i="13"/>
  <c r="AP21" i="13"/>
  <c r="AM21" i="13"/>
  <c r="AS21" i="13"/>
  <c r="CR207" i="10"/>
  <c r="CR225" i="10"/>
  <c r="CR242" i="10"/>
  <c r="CR245" i="10"/>
  <c r="CR252" i="10"/>
  <c r="CR255" i="10"/>
  <c r="CR258" i="10"/>
  <c r="CR297" i="10"/>
  <c r="CR355" i="10"/>
  <c r="CR375" i="10"/>
  <c r="CR378" i="10"/>
  <c r="CR396" i="10"/>
  <c r="CR399" i="10"/>
  <c r="CO304" i="10"/>
  <c r="CO307" i="10"/>
  <c r="CO327" i="10"/>
  <c r="CO333" i="10"/>
  <c r="CR278" i="10"/>
  <c r="CR320" i="10"/>
  <c r="CR324" i="10"/>
  <c r="CR342" i="10"/>
  <c r="CR346" i="10"/>
  <c r="CR349" i="10"/>
  <c r="CR352" i="10"/>
  <c r="CR364" i="10"/>
  <c r="CR393" i="10"/>
  <c r="CO232" i="10"/>
  <c r="CO300" i="10"/>
  <c r="CR288" i="10"/>
  <c r="CR291" i="10"/>
  <c r="CR314" i="10"/>
  <c r="CR328" i="10"/>
  <c r="CR335" i="10"/>
  <c r="CR360" i="10"/>
  <c r="CR383" i="10"/>
  <c r="CR390" i="10"/>
  <c r="CO290" i="10"/>
  <c r="CO296" i="10"/>
  <c r="CO407" i="10"/>
  <c r="CR109" i="10"/>
  <c r="CR236" i="10"/>
  <c r="CR262" i="10"/>
  <c r="CR272" i="10"/>
  <c r="CR285" i="10"/>
  <c r="CR301" i="10"/>
  <c r="CR305" i="10"/>
  <c r="CR308" i="10"/>
  <c r="CO228" i="10"/>
  <c r="CR233" i="10"/>
  <c r="CR243" i="10"/>
  <c r="CR246" i="10"/>
  <c r="CR253" i="10"/>
  <c r="CR256" i="10"/>
  <c r="CR259" i="10"/>
  <c r="CR282" i="10"/>
  <c r="CR295" i="10"/>
  <c r="CR298" i="10"/>
  <c r="CR356" i="10"/>
  <c r="CR369" i="10"/>
  <c r="CR376" i="10"/>
  <c r="CR397" i="10"/>
  <c r="CR400" i="10"/>
  <c r="CR405" i="10"/>
  <c r="CR76" i="10"/>
  <c r="CR218" i="10"/>
  <c r="CR266" i="10"/>
  <c r="CR276" i="10"/>
  <c r="CR279" i="10"/>
  <c r="CR318" i="10"/>
  <c r="CR340" i="10"/>
  <c r="CR343" i="10"/>
  <c r="CR347" i="10"/>
  <c r="CR350" i="10"/>
  <c r="CR365" i="10"/>
  <c r="CO233" i="10"/>
  <c r="CO356" i="10"/>
  <c r="CO359" i="10"/>
  <c r="CR289" i="10"/>
  <c r="CR292" i="10"/>
  <c r="CR312" i="10"/>
  <c r="CR315" i="10"/>
  <c r="CR326" i="10"/>
  <c r="CR333" i="10"/>
  <c r="CR336" i="10"/>
  <c r="CR381" i="10"/>
  <c r="CR384" i="10"/>
  <c r="CR388" i="10"/>
  <c r="CR391" i="10"/>
  <c r="CR227" i="10"/>
  <c r="CR237" i="10"/>
  <c r="CR270" i="10"/>
  <c r="CR286" i="10"/>
  <c r="CR306" i="10"/>
  <c r="CR309" i="10"/>
  <c r="CR206" i="10"/>
  <c r="CR234" i="10"/>
  <c r="CR244" i="10"/>
  <c r="CR254" i="10"/>
  <c r="CR257" i="10"/>
  <c r="CR296" i="10"/>
  <c r="CR354" i="10"/>
  <c r="CR370" i="10"/>
  <c r="CR377" i="10"/>
  <c r="CR395" i="10"/>
  <c r="CR398" i="10"/>
  <c r="CR401" i="10"/>
  <c r="CO332" i="10"/>
  <c r="CR264" i="10"/>
  <c r="CR274" i="10"/>
  <c r="CR290" i="10"/>
  <c r="CR303" i="10"/>
  <c r="CR313" i="10"/>
  <c r="CR316" i="10"/>
  <c r="CR327" i="10"/>
  <c r="CR334" i="10"/>
  <c r="CR359" i="10"/>
  <c r="CR382" i="10"/>
  <c r="CR385" i="10"/>
  <c r="CR389" i="10"/>
  <c r="CR307" i="10"/>
  <c r="AN21" i="13"/>
  <c r="AL20" i="13"/>
  <c r="AW20" i="13"/>
  <c r="AO20" i="13"/>
  <c r="AR20" i="13"/>
  <c r="AJ20" i="13"/>
  <c r="AU20" i="13"/>
  <c r="AX20" i="13"/>
  <c r="AP20" i="13"/>
  <c r="AM20" i="13"/>
  <c r="AS20" i="13"/>
  <c r="AV20" i="13"/>
  <c r="AN20" i="13"/>
  <c r="AK20" i="13"/>
  <c r="AQ20" i="13"/>
  <c r="AI20" i="13"/>
  <c r="CR271" i="10"/>
  <c r="CR231" i="10"/>
  <c r="AO18" i="13"/>
  <c r="W21" i="13"/>
  <c r="R21" i="13"/>
  <c r="W20" i="13"/>
  <c r="AW19" i="13"/>
  <c r="AO19" i="13"/>
  <c r="AR19" i="13"/>
  <c r="AJ19" i="13"/>
  <c r="AU19" i="13"/>
  <c r="AX19" i="13"/>
  <c r="AP19" i="13"/>
  <c r="AM19" i="13"/>
  <c r="AS19" i="13"/>
  <c r="AV19" i="13"/>
  <c r="AN19" i="13"/>
  <c r="AK19" i="13"/>
  <c r="AT19" i="13"/>
  <c r="AU12" i="13"/>
  <c r="AM12" i="13"/>
  <c r="T12" i="13"/>
  <c r="AS12" i="13"/>
  <c r="AK12" i="13"/>
  <c r="AQ12" i="13"/>
  <c r="CR310" i="10"/>
  <c r="CR267" i="10"/>
  <c r="AO12" i="13"/>
  <c r="EU2" i="13" l="1"/>
  <c r="R67" i="9"/>
  <c r="L109" i="9"/>
  <c r="L43" i="9"/>
  <c r="P7" i="13"/>
  <c r="T7" i="13" s="1"/>
  <c r="S7" i="13"/>
  <c r="Q6" i="13"/>
  <c r="R6" i="13"/>
  <c r="L6" i="13"/>
  <c r="N6" i="13" s="1"/>
  <c r="P6" i="13" s="1"/>
  <c r="BD14" i="13"/>
  <c r="BD19" i="13"/>
  <c r="BD9" i="13"/>
  <c r="BD7" i="13"/>
  <c r="BD15" i="13"/>
  <c r="BD20" i="13"/>
  <c r="BD23" i="13"/>
  <c r="BD21" i="13"/>
  <c r="BD11" i="13"/>
  <c r="BD17" i="13"/>
  <c r="BD12" i="13"/>
  <c r="BD10" i="13"/>
  <c r="BD16" i="13"/>
  <c r="BD22" i="13"/>
  <c r="BD6" i="13"/>
  <c r="BD13" i="13"/>
  <c r="BD8" i="13"/>
  <c r="BD18" i="13"/>
  <c r="BQ426" i="10"/>
  <c r="CJ428" i="10"/>
  <c r="CJ427" i="10" s="1"/>
  <c r="BY202" i="10"/>
  <c r="CQ202" i="10"/>
  <c r="CR202" i="10" s="1"/>
  <c r="BV431" i="10"/>
  <c r="BV430" i="10" s="1"/>
  <c r="BV429" i="10" s="1"/>
  <c r="BV428" i="10" s="1"/>
  <c r="BV427" i="10" s="1"/>
  <c r="BV426" i="10" s="1"/>
  <c r="BV425" i="10" s="1"/>
  <c r="BV424" i="10" s="1"/>
  <c r="BV423" i="10" s="1"/>
  <c r="BV422" i="10" s="1"/>
  <c r="BV421" i="10" s="1"/>
  <c r="BV420" i="10" s="1"/>
  <c r="BV419" i="10" s="1"/>
  <c r="BV418" i="10" s="1"/>
  <c r="BV417" i="10" s="1"/>
  <c r="BV416" i="10" s="1"/>
  <c r="BV415" i="10" s="1"/>
  <c r="BV414" i="10" s="1"/>
  <c r="BV413" i="10" s="1"/>
  <c r="BV412" i="10" s="1"/>
  <c r="BV411" i="10" s="1"/>
  <c r="BV410" i="10" s="1"/>
  <c r="BV409" i="10" s="1"/>
  <c r="BV408" i="10" s="1"/>
  <c r="BV407" i="10" s="1"/>
  <c r="BV406" i="10" s="1"/>
  <c r="BV405" i="10" s="1"/>
  <c r="BV404" i="10" s="1"/>
  <c r="BV403" i="10" s="1"/>
  <c r="BV402" i="10" s="1"/>
  <c r="BV401" i="10" s="1"/>
  <c r="BV400" i="10" s="1"/>
  <c r="BV399" i="10" s="1"/>
  <c r="BV398" i="10" s="1"/>
  <c r="BV397" i="10" s="1"/>
  <c r="BV396" i="10" s="1"/>
  <c r="BV395" i="10" s="1"/>
  <c r="BV394" i="10" s="1"/>
  <c r="BV393" i="10" s="1"/>
  <c r="BV392" i="10" s="1"/>
  <c r="BV391" i="10" s="1"/>
  <c r="BV390" i="10" s="1"/>
  <c r="BV389" i="10" s="1"/>
  <c r="BV388" i="10" s="1"/>
  <c r="BV387" i="10" s="1"/>
  <c r="BV386" i="10" s="1"/>
  <c r="BV385" i="10" s="1"/>
  <c r="BV384" i="10" s="1"/>
  <c r="BV383" i="10" s="1"/>
  <c r="BV382" i="10" s="1"/>
  <c r="BV381" i="10" s="1"/>
  <c r="BV380" i="10" s="1"/>
  <c r="BV379" i="10" s="1"/>
  <c r="BV378" i="10" s="1"/>
  <c r="BV377" i="10" s="1"/>
  <c r="BV376" i="10" s="1"/>
  <c r="BV375" i="10" s="1"/>
  <c r="BV374" i="10" s="1"/>
  <c r="BV373" i="10" s="1"/>
  <c r="BV372" i="10" s="1"/>
  <c r="BV371" i="10" s="1"/>
  <c r="BV370" i="10" s="1"/>
  <c r="BV369" i="10" s="1"/>
  <c r="BV368" i="10" s="1"/>
  <c r="BV367" i="10" s="1"/>
  <c r="BV366" i="10" s="1"/>
  <c r="BV365" i="10" s="1"/>
  <c r="BV364" i="10" s="1"/>
  <c r="BV363" i="10" s="1"/>
  <c r="BV362" i="10" s="1"/>
  <c r="BV361" i="10" s="1"/>
  <c r="BV360" i="10" s="1"/>
  <c r="BV359" i="10" s="1"/>
  <c r="BV358" i="10" s="1"/>
  <c r="BV357" i="10" s="1"/>
  <c r="BV356" i="10" s="1"/>
  <c r="BV355" i="10" s="1"/>
  <c r="BV354" i="10" s="1"/>
  <c r="BV353" i="10" s="1"/>
  <c r="BV352" i="10" s="1"/>
  <c r="BV351" i="10" s="1"/>
  <c r="BV350" i="10" s="1"/>
  <c r="BV349" i="10" s="1"/>
  <c r="BV348" i="10" s="1"/>
  <c r="BV347" i="10" s="1"/>
  <c r="BV346" i="10" s="1"/>
  <c r="BV345" i="10" s="1"/>
  <c r="BV344" i="10" s="1"/>
  <c r="BV343" i="10" s="1"/>
  <c r="BV342" i="10" s="1"/>
  <c r="BV341" i="10" s="1"/>
  <c r="BV340" i="10" s="1"/>
  <c r="BV339" i="10" s="1"/>
  <c r="BV338" i="10" s="1"/>
  <c r="BV337" i="10" s="1"/>
  <c r="BV336" i="10" s="1"/>
  <c r="BV335" i="10" s="1"/>
  <c r="BV334" i="10" s="1"/>
  <c r="BV333" i="10" s="1"/>
  <c r="BV332" i="10" s="1"/>
  <c r="BV331" i="10" s="1"/>
  <c r="BV330" i="10" s="1"/>
  <c r="BV329" i="10" s="1"/>
  <c r="BV328" i="10" s="1"/>
  <c r="BV327" i="10" s="1"/>
  <c r="BV326" i="10" s="1"/>
  <c r="BV325" i="10" s="1"/>
  <c r="BV324" i="10" s="1"/>
  <c r="BV323" i="10" s="1"/>
  <c r="BV322" i="10" s="1"/>
  <c r="BV321" i="10" s="1"/>
  <c r="BV320" i="10" s="1"/>
  <c r="BV319" i="10" s="1"/>
  <c r="BV318" i="10" s="1"/>
  <c r="BV317" i="10" s="1"/>
  <c r="BV316" i="10" s="1"/>
  <c r="BV315" i="10" s="1"/>
  <c r="BV314" i="10" s="1"/>
  <c r="BV313" i="10" s="1"/>
  <c r="BV312" i="10" s="1"/>
  <c r="BV311" i="10" s="1"/>
  <c r="BV310" i="10" s="1"/>
  <c r="BV309" i="10" s="1"/>
  <c r="BV308" i="10" s="1"/>
  <c r="BV307" i="10" s="1"/>
  <c r="BV306" i="10" s="1"/>
  <c r="BV305" i="10" s="1"/>
  <c r="BV304" i="10" s="1"/>
  <c r="BV303" i="10" s="1"/>
  <c r="BV302" i="10" s="1"/>
  <c r="BV301" i="10" s="1"/>
  <c r="BV300" i="10" s="1"/>
  <c r="BV299" i="10" s="1"/>
  <c r="BV298" i="10" s="1"/>
  <c r="BV297" i="10" s="1"/>
  <c r="BV296" i="10" s="1"/>
  <c r="BV295" i="10" s="1"/>
  <c r="BV294" i="10" s="1"/>
  <c r="BV293" i="10" s="1"/>
  <c r="BV292" i="10" s="1"/>
  <c r="BV291" i="10" s="1"/>
  <c r="BV290" i="10" s="1"/>
  <c r="BV289" i="10" s="1"/>
  <c r="BV288" i="10" s="1"/>
  <c r="BV287" i="10" s="1"/>
  <c r="BV286" i="10" s="1"/>
  <c r="BV285" i="10" s="1"/>
  <c r="BV284" i="10" s="1"/>
  <c r="BV283" i="10" s="1"/>
  <c r="BV282" i="10" s="1"/>
  <c r="BV281" i="10" s="1"/>
  <c r="BV280" i="10" s="1"/>
  <c r="BV279" i="10" s="1"/>
  <c r="BV278" i="10" s="1"/>
  <c r="BV277" i="10" s="1"/>
  <c r="BV276" i="10" s="1"/>
  <c r="BV275" i="10" s="1"/>
  <c r="BV274" i="10" s="1"/>
  <c r="BV273" i="10" s="1"/>
  <c r="BV272" i="10" s="1"/>
  <c r="BV271" i="10" s="1"/>
  <c r="BV270" i="10" s="1"/>
  <c r="BV269" i="10" s="1"/>
  <c r="BV268" i="10" s="1"/>
  <c r="BV267" i="10" s="1"/>
  <c r="BV266" i="10" s="1"/>
  <c r="BV265" i="10" s="1"/>
  <c r="BV264" i="10" s="1"/>
  <c r="BV263" i="10" s="1"/>
  <c r="BV262" i="10" s="1"/>
  <c r="BV261" i="10" s="1"/>
  <c r="BV260" i="10" s="1"/>
  <c r="BV259" i="10" s="1"/>
  <c r="BV258" i="10" s="1"/>
  <c r="BV257" i="10" s="1"/>
  <c r="BV256" i="10" s="1"/>
  <c r="BV255" i="10" s="1"/>
  <c r="BV254" i="10" s="1"/>
  <c r="BV253" i="10" s="1"/>
  <c r="BV252" i="10" s="1"/>
  <c r="BV251" i="10" s="1"/>
  <c r="BV250" i="10" s="1"/>
  <c r="BV249" i="10" s="1"/>
  <c r="BV248" i="10" s="1"/>
  <c r="BV247" i="10" s="1"/>
  <c r="BV246" i="10" s="1"/>
  <c r="BV245" i="10" s="1"/>
  <c r="BV244" i="10" s="1"/>
  <c r="BV243" i="10" s="1"/>
  <c r="BV242" i="10" s="1"/>
  <c r="BV241" i="10" s="1"/>
  <c r="BV240" i="10" s="1"/>
  <c r="BV239" i="10" s="1"/>
  <c r="BV238" i="10" s="1"/>
  <c r="BV237" i="10" s="1"/>
  <c r="BV236" i="10" s="1"/>
  <c r="BV235" i="10" s="1"/>
  <c r="BV234" i="10" s="1"/>
  <c r="BV233" i="10" s="1"/>
  <c r="BV232" i="10" s="1"/>
  <c r="BV231" i="10" s="1"/>
  <c r="BV230" i="10" s="1"/>
  <c r="BV229" i="10" s="1"/>
  <c r="BV228" i="10" s="1"/>
  <c r="BV227" i="10" s="1"/>
  <c r="BV226" i="10" s="1"/>
  <c r="BV225" i="10" s="1"/>
  <c r="BV224" i="10" s="1"/>
  <c r="BV223" i="10" s="1"/>
  <c r="BV222" i="10" s="1"/>
  <c r="BV221" i="10" s="1"/>
  <c r="BV220" i="10" s="1"/>
  <c r="BV219" i="10" s="1"/>
  <c r="BV218" i="10" s="1"/>
  <c r="BV217" i="10" s="1"/>
  <c r="BV216" i="10" s="1"/>
  <c r="BV215" i="10" s="1"/>
  <c r="BV214" i="10" s="1"/>
  <c r="BV213" i="10" s="1"/>
  <c r="BV212" i="10" s="1"/>
  <c r="BV211" i="10" s="1"/>
  <c r="BV210" i="10" s="1"/>
  <c r="BV209" i="10" s="1"/>
  <c r="BV208" i="10" s="1"/>
  <c r="BV207" i="10" s="1"/>
  <c r="BV206" i="10" s="1"/>
  <c r="BV205" i="10" s="1"/>
  <c r="BV204" i="10" s="1"/>
  <c r="BV203" i="10" s="1"/>
  <c r="BV202" i="10" s="1"/>
  <c r="BV201" i="10" s="1"/>
  <c r="BV200" i="10" s="1"/>
  <c r="BV199" i="10" s="1"/>
  <c r="BV198" i="10" s="1"/>
  <c r="BV197" i="10" s="1"/>
  <c r="BV196" i="10" s="1"/>
  <c r="BV195" i="10" s="1"/>
  <c r="BV194" i="10" s="1"/>
  <c r="BV193" i="10" s="1"/>
  <c r="BV192" i="10" s="1"/>
  <c r="BV191" i="10" s="1"/>
  <c r="BV190" i="10" s="1"/>
  <c r="BV189" i="10" s="1"/>
  <c r="BV188" i="10" s="1"/>
  <c r="BV187" i="10" s="1"/>
  <c r="BV186" i="10" s="1"/>
  <c r="BV185" i="10" s="1"/>
  <c r="BV184" i="10" s="1"/>
  <c r="BV183" i="10" s="1"/>
  <c r="BV182" i="10" s="1"/>
  <c r="BV181" i="10" s="1"/>
  <c r="BV180" i="10" s="1"/>
  <c r="BV179" i="10" s="1"/>
  <c r="BV178" i="10" s="1"/>
  <c r="BV177" i="10" s="1"/>
  <c r="BV176" i="10" s="1"/>
  <c r="BV175" i="10" s="1"/>
  <c r="BV174" i="10" s="1"/>
  <c r="BV173" i="10" s="1"/>
  <c r="BV172" i="10" s="1"/>
  <c r="BV171" i="10" s="1"/>
  <c r="BV170" i="10" s="1"/>
  <c r="BV169" i="10" s="1"/>
  <c r="BV168" i="10" s="1"/>
  <c r="BV167" i="10" s="1"/>
  <c r="BV166" i="10" s="1"/>
  <c r="BV165" i="10" s="1"/>
  <c r="BV164" i="10" s="1"/>
  <c r="BV163" i="10" s="1"/>
  <c r="BV162" i="10" s="1"/>
  <c r="BV161" i="10" s="1"/>
  <c r="BV160" i="10" s="1"/>
  <c r="BV159" i="10" s="1"/>
  <c r="BV158" i="10" s="1"/>
  <c r="BV157" i="10" s="1"/>
  <c r="BV156" i="10" s="1"/>
  <c r="BV155" i="10" s="1"/>
  <c r="BV154" i="10" s="1"/>
  <c r="BV153" i="10" s="1"/>
  <c r="BV152" i="10" s="1"/>
  <c r="BV151" i="10" s="1"/>
  <c r="BV150" i="10" s="1"/>
  <c r="BV149" i="10" s="1"/>
  <c r="BV148" i="10" s="1"/>
  <c r="BV147" i="10" s="1"/>
  <c r="BV146" i="10" s="1"/>
  <c r="BV145" i="10" s="1"/>
  <c r="BV144" i="10" s="1"/>
  <c r="BV143" i="10" s="1"/>
  <c r="BV142" i="10" s="1"/>
  <c r="BV141" i="10" s="1"/>
  <c r="BV140" i="10" s="1"/>
  <c r="BV139" i="10" s="1"/>
  <c r="BV138" i="10" s="1"/>
  <c r="BV137" i="10" s="1"/>
  <c r="BV136" i="10" s="1"/>
  <c r="BV135" i="10" s="1"/>
  <c r="BV134" i="10" s="1"/>
  <c r="BV133" i="10" s="1"/>
  <c r="BV132" i="10" s="1"/>
  <c r="BV131" i="10" s="1"/>
  <c r="BV130" i="10" s="1"/>
  <c r="BV129" i="10" s="1"/>
  <c r="BV128" i="10" s="1"/>
  <c r="BV127" i="10" s="1"/>
  <c r="BV126" i="10" s="1"/>
  <c r="BV125" i="10" s="1"/>
  <c r="BV124" i="10" s="1"/>
  <c r="BV123" i="10" s="1"/>
  <c r="BV122" i="10" s="1"/>
  <c r="BV121" i="10" s="1"/>
  <c r="BV120" i="10" s="1"/>
  <c r="BV119" i="10" s="1"/>
  <c r="BV118" i="10" s="1"/>
  <c r="BV117" i="10" s="1"/>
  <c r="BV116" i="10" s="1"/>
  <c r="BV115" i="10" s="1"/>
  <c r="BV114" i="10" s="1"/>
  <c r="BV113" i="10" s="1"/>
  <c r="BV112" i="10" s="1"/>
  <c r="BV111" i="10" s="1"/>
  <c r="BV110" i="10" s="1"/>
  <c r="BV109" i="10" s="1"/>
  <c r="BV108" i="10" s="1"/>
  <c r="BV107" i="10" s="1"/>
  <c r="BV106" i="10" s="1"/>
  <c r="BV105" i="10" s="1"/>
  <c r="BV104" i="10" s="1"/>
  <c r="BV103" i="10" s="1"/>
  <c r="BV102" i="10" s="1"/>
  <c r="BV101" i="10" s="1"/>
  <c r="BV100" i="10" s="1"/>
  <c r="BV99" i="10" s="1"/>
  <c r="BV98" i="10" s="1"/>
  <c r="BV97" i="10" s="1"/>
  <c r="BV96" i="10" s="1"/>
  <c r="BV95" i="10" s="1"/>
  <c r="BV94" i="10" s="1"/>
  <c r="BV93" i="10" s="1"/>
  <c r="BV92" i="10" s="1"/>
  <c r="BV91" i="10" s="1"/>
  <c r="BV90" i="10" s="1"/>
  <c r="BV89" i="10" s="1"/>
  <c r="BV88" i="10" s="1"/>
  <c r="BV87" i="10" s="1"/>
  <c r="BV86" i="10" s="1"/>
  <c r="BV85" i="10" s="1"/>
  <c r="BV84" i="10" s="1"/>
  <c r="BV83" i="10" s="1"/>
  <c r="BV82" i="10" s="1"/>
  <c r="BV81" i="10" s="1"/>
  <c r="BV80" i="10" s="1"/>
  <c r="BV79" i="10" s="1"/>
  <c r="BV78" i="10" s="1"/>
  <c r="BV77" i="10" s="1"/>
  <c r="BV76" i="10" s="1"/>
  <c r="BV75" i="10" s="1"/>
  <c r="BV74" i="10" s="1"/>
  <c r="BV73" i="10" s="1"/>
  <c r="BV72" i="10" s="1"/>
  <c r="BV71" i="10" s="1"/>
  <c r="BV70" i="10" s="1"/>
  <c r="BV69" i="10" s="1"/>
  <c r="BV68" i="10" s="1"/>
  <c r="BV67" i="10" s="1"/>
  <c r="BV66" i="10" s="1"/>
  <c r="BV65" i="10" s="1"/>
  <c r="BV64" i="10" s="1"/>
  <c r="BV63" i="10" s="1"/>
  <c r="BV62" i="10" s="1"/>
  <c r="BV61" i="10" s="1"/>
  <c r="BV60" i="10" s="1"/>
  <c r="BV59" i="10" s="1"/>
  <c r="BV58" i="10" s="1"/>
  <c r="BV57" i="10" s="1"/>
  <c r="BV56" i="10" s="1"/>
  <c r="BV55" i="10" s="1"/>
  <c r="BV54" i="10" s="1"/>
  <c r="BV53" i="10" s="1"/>
  <c r="BV52" i="10" s="1"/>
  <c r="BV51" i="10" s="1"/>
  <c r="BV50" i="10" s="1"/>
  <c r="BV49" i="10" s="1"/>
  <c r="BV48" i="10" s="1"/>
  <c r="BV47" i="10" s="1"/>
  <c r="BV46" i="10" s="1"/>
  <c r="BV45" i="10" s="1"/>
  <c r="BV44" i="10" s="1"/>
  <c r="BV43" i="10" s="1"/>
  <c r="BV42" i="10" s="1"/>
  <c r="BV41" i="10" s="1"/>
  <c r="BV40" i="10" s="1"/>
  <c r="BV39" i="10" s="1"/>
  <c r="BV38" i="10" s="1"/>
  <c r="BV37" i="10" s="1"/>
  <c r="BV36" i="10" s="1"/>
  <c r="BV35" i="10" s="1"/>
  <c r="BV34" i="10" s="1"/>
  <c r="BV33" i="10" s="1"/>
  <c r="BV32" i="10" s="1"/>
  <c r="BV31" i="10" s="1"/>
  <c r="BV30" i="10" s="1"/>
  <c r="BV29" i="10" s="1"/>
  <c r="BV28" i="10" s="1"/>
  <c r="BV27" i="10" s="1"/>
  <c r="BV26" i="10" s="1"/>
  <c r="BV25" i="10" s="1"/>
  <c r="BV24" i="10" s="1"/>
  <c r="BV23" i="10" s="1"/>
  <c r="BV22" i="10" s="1"/>
  <c r="BV21" i="10" s="1"/>
  <c r="BV20" i="10" s="1"/>
  <c r="BV19" i="10" s="1"/>
  <c r="BV18" i="10" s="1"/>
  <c r="BV17" i="10" s="1"/>
  <c r="BV16" i="10" s="1"/>
  <c r="BV15" i="10" s="1"/>
  <c r="BV14" i="10" s="1"/>
  <c r="BV13" i="10" s="1"/>
  <c r="BV12" i="10" s="1"/>
  <c r="BV11" i="10" s="1"/>
  <c r="BV10" i="10" s="1"/>
  <c r="BV9" i="10" s="1"/>
  <c r="BV8" i="10" s="1"/>
  <c r="BV7" i="10" s="1"/>
  <c r="BV6" i="10" s="1"/>
  <c r="EH18" i="13"/>
  <c r="EH14" i="13"/>
  <c r="EH23" i="13"/>
  <c r="EH8" i="13"/>
  <c r="EH9" i="13"/>
  <c r="EH16" i="13"/>
  <c r="EH22" i="13"/>
  <c r="EH21" i="13"/>
  <c r="EH20" i="13"/>
  <c r="EH15" i="13"/>
  <c r="EH13" i="13"/>
  <c r="EH11" i="13"/>
  <c r="EH6" i="13"/>
  <c r="EH19" i="13"/>
  <c r="EH17" i="13"/>
  <c r="EH10" i="13"/>
  <c r="EH7" i="13"/>
  <c r="EH12" i="13"/>
  <c r="FO4" i="13"/>
  <c r="FK8" i="13"/>
  <c r="FK2" i="13"/>
  <c r="FQ4" i="13" s="1"/>
  <c r="FQ5" i="13" s="1"/>
  <c r="FK3" i="13"/>
  <c r="FS4" i="13" s="1"/>
  <c r="CA207" i="10"/>
  <c r="CA206" i="10" s="1"/>
  <c r="CA205" i="10" s="1"/>
  <c r="CA204" i="10" s="1"/>
  <c r="CA203" i="10" s="1"/>
  <c r="CA202" i="10" s="1"/>
  <c r="CA201" i="10" s="1"/>
  <c r="CA200" i="10" s="1"/>
  <c r="CA199" i="10" s="1"/>
  <c r="CA198" i="10" s="1"/>
  <c r="CA197" i="10" s="1"/>
  <c r="CA196" i="10" s="1"/>
  <c r="CA195" i="10" s="1"/>
  <c r="CA194" i="10" s="1"/>
  <c r="CA193" i="10" s="1"/>
  <c r="CA192" i="10" s="1"/>
  <c r="CA191" i="10" s="1"/>
  <c r="CA190" i="10" s="1"/>
  <c r="CA189" i="10" s="1"/>
  <c r="CA188" i="10" s="1"/>
  <c r="CA187" i="10" s="1"/>
  <c r="CA186" i="10" s="1"/>
  <c r="CA185" i="10" s="1"/>
  <c r="CA184" i="10" s="1"/>
  <c r="CA183" i="10" s="1"/>
  <c r="CA182" i="10" s="1"/>
  <c r="CA181" i="10" s="1"/>
  <c r="CA180" i="10" s="1"/>
  <c r="CA179" i="10" s="1"/>
  <c r="CA178" i="10" s="1"/>
  <c r="CA177" i="10" s="1"/>
  <c r="CA176" i="10" s="1"/>
  <c r="CA175" i="10" s="1"/>
  <c r="CA174" i="10" s="1"/>
  <c r="CA173" i="10" s="1"/>
  <c r="CA172" i="10" s="1"/>
  <c r="CA171" i="10" s="1"/>
  <c r="CA170" i="10" s="1"/>
  <c r="CA169" i="10" s="1"/>
  <c r="CA168" i="10" s="1"/>
  <c r="CA167" i="10" s="1"/>
  <c r="CA166" i="10" s="1"/>
  <c r="CA165" i="10" s="1"/>
  <c r="CA164" i="10" s="1"/>
  <c r="CA163" i="10" s="1"/>
  <c r="CA162" i="10" s="1"/>
  <c r="CA161" i="10" s="1"/>
  <c r="CA160" i="10" s="1"/>
  <c r="CA159" i="10" s="1"/>
  <c r="CA158" i="10" s="1"/>
  <c r="CA157" i="10" s="1"/>
  <c r="CA156" i="10" s="1"/>
  <c r="CA155" i="10" s="1"/>
  <c r="CA154" i="10" s="1"/>
  <c r="CA153" i="10" s="1"/>
  <c r="CA152" i="10" s="1"/>
  <c r="CA151" i="10" s="1"/>
  <c r="CA150" i="10" s="1"/>
  <c r="CA149" i="10" s="1"/>
  <c r="CA148" i="10" s="1"/>
  <c r="CA147" i="10" s="1"/>
  <c r="CA146" i="10" s="1"/>
  <c r="CA145" i="10" s="1"/>
  <c r="CA144" i="10" s="1"/>
  <c r="CA143" i="10" s="1"/>
  <c r="CA142" i="10" s="1"/>
  <c r="CA141" i="10" s="1"/>
  <c r="CA140" i="10" s="1"/>
  <c r="CA139" i="10" s="1"/>
  <c r="CA138" i="10" s="1"/>
  <c r="CA137" i="10" s="1"/>
  <c r="CA136" i="10" s="1"/>
  <c r="CA135" i="10" s="1"/>
  <c r="CA134" i="10" s="1"/>
  <c r="CA133" i="10" s="1"/>
  <c r="CA132" i="10" s="1"/>
  <c r="CA131" i="10" s="1"/>
  <c r="CA130" i="10" s="1"/>
  <c r="CA129" i="10" s="1"/>
  <c r="CA128" i="10" s="1"/>
  <c r="CA127" i="10" s="1"/>
  <c r="CA126" i="10" s="1"/>
  <c r="CA125" i="10" s="1"/>
  <c r="CA124" i="10" s="1"/>
  <c r="CA123" i="10" s="1"/>
  <c r="CA122" i="10" s="1"/>
  <c r="CA121" i="10" s="1"/>
  <c r="CA120" i="10" s="1"/>
  <c r="CA119" i="10" s="1"/>
  <c r="CA118" i="10" s="1"/>
  <c r="CA117" i="10" s="1"/>
  <c r="CA116" i="10" s="1"/>
  <c r="CA115" i="10" s="1"/>
  <c r="CA114" i="10" s="1"/>
  <c r="CA113" i="10" s="1"/>
  <c r="CA112" i="10" s="1"/>
  <c r="CA111" i="10" s="1"/>
  <c r="CA110" i="10" s="1"/>
  <c r="CA109" i="10" s="1"/>
  <c r="CA108" i="10" s="1"/>
  <c r="CA107" i="10" s="1"/>
  <c r="CA106" i="10" s="1"/>
  <c r="CA105" i="10" s="1"/>
  <c r="CA104" i="10" s="1"/>
  <c r="CA103" i="10" s="1"/>
  <c r="CA102" i="10" s="1"/>
  <c r="CA101" i="10" s="1"/>
  <c r="CA100" i="10" s="1"/>
  <c r="CA99" i="10" s="1"/>
  <c r="CA98" i="10" s="1"/>
  <c r="CA97" i="10" s="1"/>
  <c r="CA96" i="10" s="1"/>
  <c r="CA95" i="10" s="1"/>
  <c r="CA94" i="10" s="1"/>
  <c r="CA93" i="10" s="1"/>
  <c r="CA92" i="10" s="1"/>
  <c r="CA91" i="10" s="1"/>
  <c r="CA90" i="10" s="1"/>
  <c r="CA89" i="10" s="1"/>
  <c r="CA88" i="10" s="1"/>
  <c r="CA87" i="10" s="1"/>
  <c r="CA86" i="10" s="1"/>
  <c r="CA85" i="10" s="1"/>
  <c r="CA84" i="10" s="1"/>
  <c r="CA83" i="10" s="1"/>
  <c r="CA82" i="10" s="1"/>
  <c r="CA81" i="10" s="1"/>
  <c r="CA80" i="10" s="1"/>
  <c r="CA79" i="10" s="1"/>
  <c r="CA78" i="10" s="1"/>
  <c r="CA77" i="10" s="1"/>
  <c r="CA76" i="10" s="1"/>
  <c r="CA75" i="10" s="1"/>
  <c r="CA74" i="10" s="1"/>
  <c r="CA73" i="10" s="1"/>
  <c r="CA72" i="10" s="1"/>
  <c r="CA71" i="10" s="1"/>
  <c r="CA70" i="10" s="1"/>
  <c r="CA69" i="10" s="1"/>
  <c r="CA68" i="10" s="1"/>
  <c r="CA67" i="10" s="1"/>
  <c r="CA66" i="10" s="1"/>
  <c r="CA65" i="10" s="1"/>
  <c r="CA64" i="10" s="1"/>
  <c r="CA63" i="10" s="1"/>
  <c r="CA62" i="10" s="1"/>
  <c r="CA61" i="10" s="1"/>
  <c r="CA60" i="10" s="1"/>
  <c r="CA59" i="10" s="1"/>
  <c r="CA58" i="10" s="1"/>
  <c r="CA57" i="10" s="1"/>
  <c r="CA56" i="10" s="1"/>
  <c r="CA55" i="10" s="1"/>
  <c r="CA54" i="10" s="1"/>
  <c r="CA53" i="10" s="1"/>
  <c r="CA52" i="10" s="1"/>
  <c r="CA51" i="10" s="1"/>
  <c r="CA50" i="10" s="1"/>
  <c r="CA49" i="10" s="1"/>
  <c r="CA48" i="10" s="1"/>
  <c r="CA47" i="10" s="1"/>
  <c r="CA46" i="10" s="1"/>
  <c r="CA45" i="10" s="1"/>
  <c r="CA44" i="10" s="1"/>
  <c r="CA43" i="10" s="1"/>
  <c r="CA42" i="10" s="1"/>
  <c r="CA41" i="10" s="1"/>
  <c r="CA40" i="10" s="1"/>
  <c r="CA39" i="10" s="1"/>
  <c r="CA38" i="10" s="1"/>
  <c r="CA37" i="10" s="1"/>
  <c r="CA36" i="10" s="1"/>
  <c r="CA35" i="10" s="1"/>
  <c r="CA34" i="10" s="1"/>
  <c r="CA33" i="10" s="1"/>
  <c r="CA32" i="10" s="1"/>
  <c r="CA31" i="10" s="1"/>
  <c r="CA30" i="10" s="1"/>
  <c r="CA29" i="10" s="1"/>
  <c r="CA28" i="10" s="1"/>
  <c r="CA27" i="10" s="1"/>
  <c r="CA26" i="10" s="1"/>
  <c r="CA25" i="10" s="1"/>
  <c r="CA24" i="10" s="1"/>
  <c r="CA23" i="10" s="1"/>
  <c r="CA22" i="10" s="1"/>
  <c r="CA21" i="10" s="1"/>
  <c r="CA20" i="10" s="1"/>
  <c r="CA19" i="10" s="1"/>
  <c r="CA18" i="10" s="1"/>
  <c r="CA17" i="10" s="1"/>
  <c r="CA16" i="10" s="1"/>
  <c r="CA15" i="10" s="1"/>
  <c r="CA14" i="10" s="1"/>
  <c r="CA13" i="10" s="1"/>
  <c r="CA12" i="10" s="1"/>
  <c r="CA11" i="10" s="1"/>
  <c r="CA10" i="10" s="1"/>
  <c r="CA9" i="10" s="1"/>
  <c r="CA8" i="10" s="1"/>
  <c r="CA7" i="10" s="1"/>
  <c r="CA6" i="10" s="1"/>
  <c r="X7" i="13" l="1"/>
  <c r="AC7" i="13" s="1"/>
  <c r="AD7" i="13" s="1"/>
  <c r="W6" i="13"/>
  <c r="AA6" i="13" s="1"/>
  <c r="AB6" i="13" s="1"/>
  <c r="K14" i="11" s="1"/>
  <c r="S6" i="13"/>
  <c r="T6" i="13"/>
  <c r="CC23" i="13"/>
  <c r="BZ23" i="13"/>
  <c r="BW23" i="13"/>
  <c r="CD23" i="13"/>
  <c r="BE23" i="13"/>
  <c r="CG23" i="13"/>
  <c r="BU23" i="13"/>
  <c r="BX23" i="13"/>
  <c r="CA23" i="13"/>
  <c r="BS23" i="13"/>
  <c r="BY23" i="13"/>
  <c r="BV23" i="13"/>
  <c r="BB23" i="13"/>
  <c r="CE23" i="13"/>
  <c r="CF23" i="13"/>
  <c r="CB23" i="13"/>
  <c r="CH23" i="13"/>
  <c r="BT23" i="13"/>
  <c r="CG18" i="13"/>
  <c r="CF18" i="13"/>
  <c r="BB18" i="13"/>
  <c r="BE18" i="13"/>
  <c r="BY18" i="13"/>
  <c r="BU18" i="13"/>
  <c r="CA18" i="13"/>
  <c r="BV18" i="13"/>
  <c r="CC18" i="13"/>
  <c r="BW18" i="13"/>
  <c r="CH18" i="13"/>
  <c r="CD18" i="13"/>
  <c r="BT18" i="13"/>
  <c r="BS18" i="13"/>
  <c r="BX18" i="13"/>
  <c r="BZ18" i="13"/>
  <c r="CE18" i="13"/>
  <c r="CB18" i="13"/>
  <c r="CG20" i="13"/>
  <c r="CB20" i="13"/>
  <c r="CE20" i="13"/>
  <c r="BW20" i="13"/>
  <c r="CH20" i="13"/>
  <c r="CC20" i="13"/>
  <c r="BZ20" i="13"/>
  <c r="BX20" i="13"/>
  <c r="CA20" i="13"/>
  <c r="BS20" i="13"/>
  <c r="BY20" i="13"/>
  <c r="BV20" i="13"/>
  <c r="BT20" i="13"/>
  <c r="CD20" i="13"/>
  <c r="BB20" i="13"/>
  <c r="BE20" i="13"/>
  <c r="BU20" i="13"/>
  <c r="CF20" i="13"/>
  <c r="CD8" i="13"/>
  <c r="BW8" i="13"/>
  <c r="CB8" i="13"/>
  <c r="BU8" i="13"/>
  <c r="CG8" i="13"/>
  <c r="BS8" i="13"/>
  <c r="CE8" i="13"/>
  <c r="BX8" i="13"/>
  <c r="CC8" i="13"/>
  <c r="BE8" i="13"/>
  <c r="CH8" i="13"/>
  <c r="BV8" i="13"/>
  <c r="CA8" i="13"/>
  <c r="BT8" i="13"/>
  <c r="BY8" i="13"/>
  <c r="CF8" i="13"/>
  <c r="BZ8" i="13"/>
  <c r="BB8" i="13"/>
  <c r="CE15" i="13"/>
  <c r="BS15" i="13"/>
  <c r="CB15" i="13"/>
  <c r="BB15" i="13"/>
  <c r="CC15" i="13"/>
  <c r="CA15" i="13"/>
  <c r="BX15" i="13"/>
  <c r="BE15" i="13"/>
  <c r="BY15" i="13"/>
  <c r="CH15" i="13"/>
  <c r="BV15" i="13"/>
  <c r="CF15" i="13"/>
  <c r="BW15" i="13"/>
  <c r="CD15" i="13"/>
  <c r="CG15" i="13"/>
  <c r="BZ15" i="13"/>
  <c r="BT15" i="13"/>
  <c r="BU15" i="13"/>
  <c r="CB13" i="13"/>
  <c r="BW13" i="13"/>
  <c r="CG13" i="13"/>
  <c r="BB13" i="13"/>
  <c r="BZ13" i="13"/>
  <c r="BU13" i="13"/>
  <c r="CC13" i="13"/>
  <c r="BV13" i="13"/>
  <c r="CF13" i="13"/>
  <c r="CA13" i="13"/>
  <c r="BT13" i="13"/>
  <c r="BS13" i="13"/>
  <c r="BE13" i="13"/>
  <c r="CH13" i="13"/>
  <c r="BY13" i="13"/>
  <c r="CD13" i="13"/>
  <c r="CE13" i="13"/>
  <c r="BX13" i="13"/>
  <c r="BW7" i="13"/>
  <c r="CF7" i="13"/>
  <c r="BU7" i="13"/>
  <c r="CB7" i="13"/>
  <c r="CA7" i="13"/>
  <c r="BZ7" i="13"/>
  <c r="BY7" i="13"/>
  <c r="BS7" i="13"/>
  <c r="CD7" i="13"/>
  <c r="BE7" i="13"/>
  <c r="BB7" i="13"/>
  <c r="CG7" i="13"/>
  <c r="CC7" i="13"/>
  <c r="CE7" i="13"/>
  <c r="BX7" i="13"/>
  <c r="CH7" i="13"/>
  <c r="BT7" i="13"/>
  <c r="BV7" i="13"/>
  <c r="BE6" i="13"/>
  <c r="CH6" i="13"/>
  <c r="BW6" i="13"/>
  <c r="CE6" i="13"/>
  <c r="BZ6" i="13"/>
  <c r="BS6" i="13"/>
  <c r="CG6" i="13"/>
  <c r="BY6" i="13"/>
  <c r="CF6" i="13"/>
  <c r="BX6" i="13"/>
  <c r="BT6" i="13"/>
  <c r="CA6" i="13"/>
  <c r="BU6" i="13"/>
  <c r="BV6" i="13"/>
  <c r="BB6" i="13"/>
  <c r="CC6" i="13"/>
  <c r="CD6" i="13"/>
  <c r="CB6" i="13"/>
  <c r="BT9" i="13"/>
  <c r="CF9" i="13"/>
  <c r="BW9" i="13"/>
  <c r="CD9" i="13"/>
  <c r="BZ9" i="13"/>
  <c r="BU9" i="13"/>
  <c r="BX9" i="13"/>
  <c r="BE9" i="13"/>
  <c r="BV9" i="13"/>
  <c r="CG9" i="13"/>
  <c r="CE9" i="13"/>
  <c r="CC9" i="13"/>
  <c r="CA9" i="13"/>
  <c r="BB9" i="13"/>
  <c r="BY9" i="13"/>
  <c r="BS9" i="13"/>
  <c r="CH9" i="13"/>
  <c r="CB9" i="13"/>
  <c r="BB22" i="13"/>
  <c r="BE22" i="13"/>
  <c r="CC22" i="13"/>
  <c r="CF22" i="13"/>
  <c r="BY22" i="13"/>
  <c r="CB22" i="13"/>
  <c r="BW22" i="13"/>
  <c r="BZ22" i="13"/>
  <c r="BU22" i="13"/>
  <c r="BT22" i="13"/>
  <c r="CG22" i="13"/>
  <c r="CD22" i="13"/>
  <c r="BV22" i="13"/>
  <c r="CA22" i="13"/>
  <c r="BX22" i="13"/>
  <c r="CE22" i="13"/>
  <c r="BS22" i="13"/>
  <c r="CH22" i="13"/>
  <c r="BS19" i="13"/>
  <c r="CC19" i="13"/>
  <c r="BZ19" i="13"/>
  <c r="BE19" i="13"/>
  <c r="CH19" i="13"/>
  <c r="BB19" i="13"/>
  <c r="BY19" i="13"/>
  <c r="BV19" i="13"/>
  <c r="CF19" i="13"/>
  <c r="BT19" i="13"/>
  <c r="BW19" i="13"/>
  <c r="CG19" i="13"/>
  <c r="CD19" i="13"/>
  <c r="CE19" i="13"/>
  <c r="CA19" i="13"/>
  <c r="BU19" i="13"/>
  <c r="CB19" i="13"/>
  <c r="BX19" i="13"/>
  <c r="BV16" i="13"/>
  <c r="CD16" i="13"/>
  <c r="BX16" i="13"/>
  <c r="CH16" i="13"/>
  <c r="BT16" i="13"/>
  <c r="BU16" i="13"/>
  <c r="CA16" i="13"/>
  <c r="CG16" i="13"/>
  <c r="BS16" i="13"/>
  <c r="CC16" i="13"/>
  <c r="CB16" i="13"/>
  <c r="BB16" i="13"/>
  <c r="BY16" i="13"/>
  <c r="CE16" i="13"/>
  <c r="BW16" i="13"/>
  <c r="BZ16" i="13"/>
  <c r="CF16" i="13"/>
  <c r="BE16" i="13"/>
  <c r="BZ14" i="13"/>
  <c r="BB14" i="13"/>
  <c r="CH14" i="13"/>
  <c r="CG14" i="13"/>
  <c r="CD14" i="13"/>
  <c r="CB14" i="13"/>
  <c r="CC14" i="13"/>
  <c r="CA14" i="13"/>
  <c r="BX14" i="13"/>
  <c r="BY14" i="13"/>
  <c r="BS14" i="13"/>
  <c r="BE14" i="13"/>
  <c r="BV14" i="13"/>
  <c r="CE14" i="13"/>
  <c r="CF14" i="13"/>
  <c r="BW14" i="13"/>
  <c r="BU14" i="13"/>
  <c r="BT14" i="13"/>
  <c r="BU10" i="13"/>
  <c r="CA10" i="13"/>
  <c r="BT10" i="13"/>
  <c r="BV10" i="13"/>
  <c r="BE10" i="13"/>
  <c r="CE10" i="13"/>
  <c r="CD10" i="13"/>
  <c r="CG10" i="13"/>
  <c r="CC10" i="13"/>
  <c r="BX10" i="13"/>
  <c r="BW10" i="13"/>
  <c r="CH10" i="13"/>
  <c r="BY10" i="13"/>
  <c r="BS10" i="13"/>
  <c r="CF10" i="13"/>
  <c r="CB10" i="13"/>
  <c r="BB10" i="13"/>
  <c r="BZ10" i="13"/>
  <c r="BU12" i="13"/>
  <c r="BT12" i="13"/>
  <c r="BB12" i="13"/>
  <c r="CA12" i="13"/>
  <c r="CH12" i="13"/>
  <c r="BS12" i="13"/>
  <c r="CD12" i="13"/>
  <c r="CC12" i="13"/>
  <c r="BY12" i="13"/>
  <c r="CB12" i="13"/>
  <c r="CE12" i="13"/>
  <c r="BZ12" i="13"/>
  <c r="CG12" i="13"/>
  <c r="CF12" i="13"/>
  <c r="BX12" i="13"/>
  <c r="BW12" i="13"/>
  <c r="BE12" i="13"/>
  <c r="BV12" i="13"/>
  <c r="BS17" i="13"/>
  <c r="BX17" i="13"/>
  <c r="BU17" i="13"/>
  <c r="BT17" i="13"/>
  <c r="CC17" i="13"/>
  <c r="BY17" i="13"/>
  <c r="CD17" i="13"/>
  <c r="CE17" i="13"/>
  <c r="BV17" i="13"/>
  <c r="BW17" i="13"/>
  <c r="BZ17" i="13"/>
  <c r="BE17" i="13"/>
  <c r="CG17" i="13"/>
  <c r="CA17" i="13"/>
  <c r="CB17" i="13"/>
  <c r="CH17" i="13"/>
  <c r="CF17" i="13"/>
  <c r="BB17" i="13"/>
  <c r="CG11" i="13"/>
  <c r="CF11" i="13"/>
  <c r="BS11" i="13"/>
  <c r="BZ11" i="13"/>
  <c r="CD11" i="13"/>
  <c r="BY11" i="13"/>
  <c r="BW11" i="13"/>
  <c r="BX11" i="13"/>
  <c r="CA11" i="13"/>
  <c r="BU11" i="13"/>
  <c r="BV11" i="13"/>
  <c r="BT11" i="13"/>
  <c r="BE11" i="13"/>
  <c r="CB11" i="13"/>
  <c r="BB11" i="13"/>
  <c r="CE11" i="13"/>
  <c r="CH11" i="13"/>
  <c r="CC11" i="13"/>
  <c r="BT21" i="13"/>
  <c r="BW21" i="13"/>
  <c r="BE21" i="13"/>
  <c r="BB21" i="13"/>
  <c r="CH21" i="13"/>
  <c r="CC21" i="13"/>
  <c r="BZ21" i="13"/>
  <c r="CF21" i="13"/>
  <c r="BU21" i="13"/>
  <c r="CA21" i="13"/>
  <c r="BX21" i="13"/>
  <c r="CD21" i="13"/>
  <c r="CE21" i="13"/>
  <c r="BS21" i="13"/>
  <c r="CG21" i="13"/>
  <c r="BV21" i="13"/>
  <c r="BY21" i="13"/>
  <c r="CB21" i="13"/>
  <c r="CJ426" i="10"/>
  <c r="BQ425" i="10"/>
  <c r="FR4" i="13"/>
  <c r="FP4" i="13"/>
  <c r="FT4" i="13"/>
  <c r="FU4" i="13"/>
  <c r="FO5" i="13"/>
  <c r="EL17" i="13"/>
  <c r="EL21" i="13"/>
  <c r="EL22" i="13"/>
  <c r="EL13" i="13"/>
  <c r="EL16" i="13"/>
  <c r="EL19" i="13"/>
  <c r="EL10" i="13"/>
  <c r="EL23" i="13"/>
  <c r="EL7" i="13"/>
  <c r="EL14" i="13"/>
  <c r="EL20" i="13"/>
  <c r="EL15" i="13"/>
  <c r="EL6" i="13"/>
  <c r="EL8" i="13"/>
  <c r="EL12" i="13"/>
  <c r="EL18" i="13"/>
  <c r="EL9" i="13"/>
  <c r="EL11" i="13"/>
  <c r="Z6" i="13" l="1"/>
  <c r="AE6" i="13" s="1"/>
  <c r="X6" i="13"/>
  <c r="AC6" i="13" s="1"/>
  <c r="AD6" i="13" s="1"/>
  <c r="BK16" i="13"/>
  <c r="BJ16" i="13"/>
  <c r="BP16" i="13"/>
  <c r="BF16" i="13"/>
  <c r="BO16" i="13"/>
  <c r="BI16" i="13"/>
  <c r="BM16" i="13"/>
  <c r="BL16" i="13"/>
  <c r="BQ16" i="13"/>
  <c r="BN16" i="13"/>
  <c r="BG16" i="13"/>
  <c r="BH16" i="13"/>
  <c r="BI22" i="13"/>
  <c r="BH22" i="13"/>
  <c r="BQ22" i="13"/>
  <c r="BM22" i="13"/>
  <c r="BF22" i="13"/>
  <c r="BJ22" i="13"/>
  <c r="BO22" i="13"/>
  <c r="BL22" i="13"/>
  <c r="BG22" i="13"/>
  <c r="BP22" i="13"/>
  <c r="BK22" i="13"/>
  <c r="BN22" i="13"/>
  <c r="BL19" i="13"/>
  <c r="BJ19" i="13"/>
  <c r="BN19" i="13"/>
  <c r="BQ19" i="13"/>
  <c r="BM19" i="13"/>
  <c r="BF19" i="13"/>
  <c r="BI19" i="13"/>
  <c r="BO19" i="13"/>
  <c r="BH19" i="13"/>
  <c r="BK19" i="13"/>
  <c r="BG19" i="13"/>
  <c r="BP19" i="13"/>
  <c r="BF11" i="13"/>
  <c r="BN11" i="13"/>
  <c r="BM11" i="13"/>
  <c r="BG11" i="13"/>
  <c r="BO11" i="13"/>
  <c r="BL11" i="13"/>
  <c r="BH11" i="13"/>
  <c r="BJ11" i="13"/>
  <c r="BK11" i="13"/>
  <c r="BI11" i="13"/>
  <c r="BP11" i="13"/>
  <c r="BQ11" i="13"/>
  <c r="BM12" i="13"/>
  <c r="BH12" i="13"/>
  <c r="BF12" i="13"/>
  <c r="BN12" i="13"/>
  <c r="BK12" i="13"/>
  <c r="BG12" i="13"/>
  <c r="BQ12" i="13"/>
  <c r="BP12" i="13"/>
  <c r="BJ12" i="13"/>
  <c r="BI12" i="13"/>
  <c r="BO12" i="13"/>
  <c r="BL12" i="13"/>
  <c r="BF15" i="13"/>
  <c r="BL15" i="13"/>
  <c r="BP15" i="13"/>
  <c r="BN15" i="13"/>
  <c r="BK15" i="13"/>
  <c r="BI15" i="13"/>
  <c r="BH15" i="13"/>
  <c r="BQ15" i="13"/>
  <c r="BM15" i="13"/>
  <c r="BG15" i="13"/>
  <c r="BJ15" i="13"/>
  <c r="BO15" i="13"/>
  <c r="BI14" i="13"/>
  <c r="BP14" i="13"/>
  <c r="BK14" i="13"/>
  <c r="BO14" i="13"/>
  <c r="BF14" i="13"/>
  <c r="BL14" i="13"/>
  <c r="BG14" i="13"/>
  <c r="BH14" i="13"/>
  <c r="BQ14" i="13"/>
  <c r="BM14" i="13"/>
  <c r="BJ14" i="13"/>
  <c r="BN14" i="13"/>
  <c r="BO20" i="13"/>
  <c r="BP20" i="13"/>
  <c r="BK20" i="13"/>
  <c r="BM20" i="13"/>
  <c r="BJ20" i="13"/>
  <c r="BH20" i="13"/>
  <c r="BI20" i="13"/>
  <c r="BN20" i="13"/>
  <c r="BF20" i="13"/>
  <c r="BL20" i="13"/>
  <c r="BG20" i="13"/>
  <c r="BQ20" i="13"/>
  <c r="BH6" i="13"/>
  <c r="H13" i="17" s="1"/>
  <c r="BK6" i="13"/>
  <c r="H16" i="17" s="1"/>
  <c r="BO6" i="13"/>
  <c r="H20" i="17" s="1"/>
  <c r="BF6" i="13"/>
  <c r="BQ6" i="13"/>
  <c r="E21" i="17" s="1"/>
  <c r="BG6" i="13"/>
  <c r="H12" i="17" s="1"/>
  <c r="BP6" i="13"/>
  <c r="H21" i="17" s="1"/>
  <c r="BL6" i="13"/>
  <c r="H17" i="17" s="1"/>
  <c r="BI6" i="13"/>
  <c r="H14" i="17" s="1"/>
  <c r="BM6" i="13"/>
  <c r="H18" i="17" s="1"/>
  <c r="BN6" i="13"/>
  <c r="BJ6" i="13"/>
  <c r="H15" i="17" s="1"/>
  <c r="BH9" i="13"/>
  <c r="BF9" i="13"/>
  <c r="BM9" i="13"/>
  <c r="BN9" i="13"/>
  <c r="BO9" i="13"/>
  <c r="BG9" i="13"/>
  <c r="BQ9" i="13"/>
  <c r="BL9" i="13"/>
  <c r="BI9" i="13"/>
  <c r="BK9" i="13"/>
  <c r="BJ9" i="13"/>
  <c r="BP9" i="13"/>
  <c r="BG18" i="13"/>
  <c r="BO18" i="13"/>
  <c r="BH18" i="13"/>
  <c r="BQ18" i="13"/>
  <c r="BK18" i="13"/>
  <c r="BJ18" i="13"/>
  <c r="BL18" i="13"/>
  <c r="BM18" i="13"/>
  <c r="BN18" i="13"/>
  <c r="BI18" i="13"/>
  <c r="BF18" i="13"/>
  <c r="BP18" i="13"/>
  <c r="BJ17" i="13"/>
  <c r="BL17" i="13"/>
  <c r="BK17" i="13"/>
  <c r="BI17" i="13"/>
  <c r="BO17" i="13"/>
  <c r="BF17" i="13"/>
  <c r="BQ17" i="13"/>
  <c r="BN17" i="13"/>
  <c r="BP17" i="13"/>
  <c r="BH17" i="13"/>
  <c r="BM17" i="13"/>
  <c r="BG17" i="13"/>
  <c r="G25" i="17"/>
  <c r="E9" i="17"/>
  <c r="H25" i="17"/>
  <c r="E25" i="17"/>
  <c r="F26" i="17" s="1"/>
  <c r="H19" i="17"/>
  <c r="BH23" i="13"/>
  <c r="BK23" i="13"/>
  <c r="BQ23" i="13"/>
  <c r="BF23" i="13"/>
  <c r="BI23" i="13"/>
  <c r="BM23" i="13"/>
  <c r="BG23" i="13"/>
  <c r="BL23" i="13"/>
  <c r="BJ23" i="13"/>
  <c r="BP23" i="13"/>
  <c r="BN23" i="13"/>
  <c r="BO23" i="13"/>
  <c r="BK10" i="13"/>
  <c r="BM10" i="13"/>
  <c r="BN10" i="13"/>
  <c r="BI10" i="13"/>
  <c r="BP10" i="13"/>
  <c r="BJ10" i="13"/>
  <c r="BG10" i="13"/>
  <c r="BH10" i="13"/>
  <c r="BF10" i="13"/>
  <c r="BL10" i="13"/>
  <c r="BQ10" i="13"/>
  <c r="BO10" i="13"/>
  <c r="BI8" i="13"/>
  <c r="BK8" i="13"/>
  <c r="BJ8" i="13"/>
  <c r="BG8" i="13"/>
  <c r="BO8" i="13"/>
  <c r="BL8" i="13"/>
  <c r="BH8" i="13"/>
  <c r="BF8" i="13"/>
  <c r="BN8" i="13"/>
  <c r="BM8" i="13"/>
  <c r="BP8" i="13"/>
  <c r="BQ8" i="13"/>
  <c r="BL21" i="13"/>
  <c r="BF21" i="13"/>
  <c r="BM21" i="13"/>
  <c r="BO21" i="13"/>
  <c r="BN21" i="13"/>
  <c r="BQ21" i="13"/>
  <c r="BH21" i="13"/>
  <c r="BI21" i="13"/>
  <c r="BJ21" i="13"/>
  <c r="BK21" i="13"/>
  <c r="BG21" i="13"/>
  <c r="BP21" i="13"/>
  <c r="BJ7" i="13"/>
  <c r="BK7" i="13"/>
  <c r="BQ7" i="13"/>
  <c r="BM7" i="13"/>
  <c r="BG7" i="13"/>
  <c r="BI7" i="13"/>
  <c r="BL7" i="13"/>
  <c r="BH7" i="13"/>
  <c r="BF7" i="13"/>
  <c r="BO7" i="13"/>
  <c r="BN7" i="13"/>
  <c r="BP7" i="13"/>
  <c r="BN13" i="13"/>
  <c r="BG13" i="13"/>
  <c r="BQ13" i="13"/>
  <c r="BJ13" i="13"/>
  <c r="BK13" i="13"/>
  <c r="BM13" i="13"/>
  <c r="BL13" i="13"/>
  <c r="BO13" i="13"/>
  <c r="BF13" i="13"/>
  <c r="BH13" i="13"/>
  <c r="BI13" i="13"/>
  <c r="BP13" i="13"/>
  <c r="CJ425" i="10"/>
  <c r="BQ424" i="10"/>
  <c r="EN20" i="13"/>
  <c r="O26" i="9" s="1"/>
  <c r="EO20" i="13"/>
  <c r="P26" i="9" s="1"/>
  <c r="M26" i="9"/>
  <c r="EK20" i="13"/>
  <c r="L26" i="9" s="1"/>
  <c r="EP20" i="13"/>
  <c r="Q26" i="9" s="1"/>
  <c r="EQ20" i="13"/>
  <c r="R26" i="9" s="1"/>
  <c r="ER20" i="13"/>
  <c r="S26" i="9" s="1"/>
  <c r="EI20" i="13"/>
  <c r="EM20" i="13"/>
  <c r="N26" i="9" s="1"/>
  <c r="EI21" i="13"/>
  <c r="EP21" i="13"/>
  <c r="Q27" i="9" s="1"/>
  <c r="EQ21" i="13"/>
  <c r="R27" i="9" s="1"/>
  <c r="M27" i="9"/>
  <c r="EO21" i="13"/>
  <c r="P27" i="9" s="1"/>
  <c r="EM21" i="13"/>
  <c r="N27" i="9" s="1"/>
  <c r="ER21" i="13"/>
  <c r="S27" i="9" s="1"/>
  <c r="EN21" i="13"/>
  <c r="O27" i="9" s="1"/>
  <c r="EK21" i="13"/>
  <c r="L27" i="9" s="1"/>
  <c r="FR5" i="13"/>
  <c r="FU5" i="13"/>
  <c r="FP5" i="13"/>
  <c r="EP6" i="13"/>
  <c r="Q12" i="9" s="1"/>
  <c r="EK6" i="13"/>
  <c r="EI6" i="13"/>
  <c r="ER6" i="13"/>
  <c r="S12" i="9" s="1"/>
  <c r="EQ6" i="13"/>
  <c r="R12" i="9" s="1"/>
  <c r="EM6" i="13"/>
  <c r="N12" i="9" s="1"/>
  <c r="EO6" i="13"/>
  <c r="P12" i="9" s="1"/>
  <c r="M12" i="9"/>
  <c r="EN6" i="13"/>
  <c r="O12" i="9" s="1"/>
  <c r="EM14" i="13"/>
  <c r="N20" i="9" s="1"/>
  <c r="M20" i="9"/>
  <c r="EI14" i="13"/>
  <c r="EP14" i="13"/>
  <c r="Q20" i="9" s="1"/>
  <c r="EQ14" i="13"/>
  <c r="R20" i="9" s="1"/>
  <c r="EK14" i="13"/>
  <c r="L20" i="9" s="1"/>
  <c r="EO14" i="13"/>
  <c r="P20" i="9" s="1"/>
  <c r="EN14" i="13"/>
  <c r="O20" i="9" s="1"/>
  <c r="ER14" i="13"/>
  <c r="S20" i="9" s="1"/>
  <c r="EO7" i="13"/>
  <c r="P13" i="9" s="1"/>
  <c r="EP7" i="13"/>
  <c r="Q13" i="9" s="1"/>
  <c r="EM7" i="13"/>
  <c r="N13" i="9" s="1"/>
  <c r="EQ7" i="13"/>
  <c r="R13" i="9" s="1"/>
  <c r="EK7" i="13"/>
  <c r="L13" i="9" s="1"/>
  <c r="M13" i="9"/>
  <c r="EI7" i="13"/>
  <c r="EN7" i="13"/>
  <c r="O13" i="9" s="1"/>
  <c r="ER7" i="13"/>
  <c r="S13" i="9" s="1"/>
  <c r="ER8" i="13"/>
  <c r="S14" i="9" s="1"/>
  <c r="EI8" i="13"/>
  <c r="EP8" i="13"/>
  <c r="Q14" i="9" s="1"/>
  <c r="EM8" i="13"/>
  <c r="N14" i="9" s="1"/>
  <c r="EK8" i="13"/>
  <c r="L14" i="9" s="1"/>
  <c r="M14" i="9"/>
  <c r="EQ8" i="13"/>
  <c r="R14" i="9" s="1"/>
  <c r="EN8" i="13"/>
  <c r="O14" i="9" s="1"/>
  <c r="EO8" i="13"/>
  <c r="P14" i="9" s="1"/>
  <c r="M21" i="9"/>
  <c r="EQ15" i="13"/>
  <c r="R21" i="9" s="1"/>
  <c r="EO15" i="13"/>
  <c r="P21" i="9" s="1"/>
  <c r="EN15" i="13"/>
  <c r="O21" i="9" s="1"/>
  <c r="EP15" i="13"/>
  <c r="Q21" i="9" s="1"/>
  <c r="EM15" i="13"/>
  <c r="N21" i="9" s="1"/>
  <c r="EI15" i="13"/>
  <c r="ER15" i="13"/>
  <c r="S21" i="9" s="1"/>
  <c r="EK15" i="13"/>
  <c r="L21" i="9" s="1"/>
  <c r="ER10" i="13"/>
  <c r="S16" i="9" s="1"/>
  <c r="EP10" i="13"/>
  <c r="Q16" i="9" s="1"/>
  <c r="EO10" i="13"/>
  <c r="P16" i="9" s="1"/>
  <c r="EN10" i="13"/>
  <c r="O16" i="9" s="1"/>
  <c r="EK10" i="13"/>
  <c r="L16" i="9" s="1"/>
  <c r="M16" i="9"/>
  <c r="EM10" i="13"/>
  <c r="N16" i="9" s="1"/>
  <c r="EI10" i="13"/>
  <c r="EQ10" i="13"/>
  <c r="R16" i="9" s="1"/>
  <c r="EM11" i="13"/>
  <c r="N17" i="9" s="1"/>
  <c r="EI11" i="13"/>
  <c r="EQ11" i="13"/>
  <c r="R17" i="9" s="1"/>
  <c r="EK11" i="13"/>
  <c r="L17" i="9" s="1"/>
  <c r="EN11" i="13"/>
  <c r="O17" i="9" s="1"/>
  <c r="EP11" i="13"/>
  <c r="Q17" i="9" s="1"/>
  <c r="EO11" i="13"/>
  <c r="P17" i="9" s="1"/>
  <c r="ER11" i="13"/>
  <c r="S17" i="9" s="1"/>
  <c r="M17" i="9"/>
  <c r="EP19" i="13"/>
  <c r="Q25" i="9" s="1"/>
  <c r="EQ19" i="13"/>
  <c r="R25" i="9" s="1"/>
  <c r="M25" i="9"/>
  <c r="EN19" i="13"/>
  <c r="O25" i="9" s="1"/>
  <c r="EK19" i="13"/>
  <c r="L25" i="9" s="1"/>
  <c r="EO19" i="13"/>
  <c r="P25" i="9" s="1"/>
  <c r="ER19" i="13"/>
  <c r="S25" i="9" s="1"/>
  <c r="EM19" i="13"/>
  <c r="N25" i="9" s="1"/>
  <c r="EI19" i="13"/>
  <c r="EM9" i="13"/>
  <c r="N15" i="9" s="1"/>
  <c r="EN9" i="13"/>
  <c r="O15" i="9" s="1"/>
  <c r="EO9" i="13"/>
  <c r="P15" i="9" s="1"/>
  <c r="EK9" i="13"/>
  <c r="L15" i="9" s="1"/>
  <c r="EI9" i="13"/>
  <c r="EQ9" i="13"/>
  <c r="R15" i="9" s="1"/>
  <c r="EP9" i="13"/>
  <c r="Q15" i="9" s="1"/>
  <c r="M15" i="9"/>
  <c r="ER9" i="13"/>
  <c r="S15" i="9" s="1"/>
  <c r="EM16" i="13"/>
  <c r="N22" i="9" s="1"/>
  <c r="EQ16" i="13"/>
  <c r="R22" i="9" s="1"/>
  <c r="EK16" i="13"/>
  <c r="L22" i="9" s="1"/>
  <c r="EI16" i="13"/>
  <c r="EO16" i="13"/>
  <c r="P22" i="9" s="1"/>
  <c r="ER16" i="13"/>
  <c r="S22" i="9" s="1"/>
  <c r="M22" i="9"/>
  <c r="EN16" i="13"/>
  <c r="O22" i="9" s="1"/>
  <c r="EP16" i="13"/>
  <c r="Q22" i="9" s="1"/>
  <c r="ER17" i="13"/>
  <c r="S23" i="9" s="1"/>
  <c r="EO17" i="13"/>
  <c r="P23" i="9" s="1"/>
  <c r="EP17" i="13"/>
  <c r="Q23" i="9" s="1"/>
  <c r="M23" i="9"/>
  <c r="EM17" i="13"/>
  <c r="N23" i="9" s="1"/>
  <c r="EK17" i="13"/>
  <c r="L23" i="9" s="1"/>
  <c r="EN17" i="13"/>
  <c r="O23" i="9" s="1"/>
  <c r="EI17" i="13"/>
  <c r="EQ17" i="13"/>
  <c r="R23" i="9" s="1"/>
  <c r="EP23" i="13"/>
  <c r="Q29" i="9" s="1"/>
  <c r="EI23" i="13"/>
  <c r="EN23" i="13"/>
  <c r="O29" i="9" s="1"/>
  <c r="EO23" i="13"/>
  <c r="P29" i="9" s="1"/>
  <c r="EM23" i="13"/>
  <c r="N29" i="9" s="1"/>
  <c r="EQ23" i="13"/>
  <c r="R29" i="9" s="1"/>
  <c r="M29" i="9"/>
  <c r="EK23" i="13"/>
  <c r="L29" i="9" s="1"/>
  <c r="ER23" i="13"/>
  <c r="S29" i="9" s="1"/>
  <c r="M24" i="9"/>
  <c r="EN18" i="13"/>
  <c r="O24" i="9" s="1"/>
  <c r="EI18" i="13"/>
  <c r="EP18" i="13"/>
  <c r="Q24" i="9" s="1"/>
  <c r="EM18" i="13"/>
  <c r="N24" i="9" s="1"/>
  <c r="EK18" i="13"/>
  <c r="L24" i="9" s="1"/>
  <c r="EO18" i="13"/>
  <c r="P24" i="9" s="1"/>
  <c r="EQ18" i="13"/>
  <c r="R24" i="9" s="1"/>
  <c r="M19" i="9"/>
  <c r="EO13" i="13"/>
  <c r="P19" i="9" s="1"/>
  <c r="EK13" i="13"/>
  <c r="L19" i="9" s="1"/>
  <c r="EN13" i="13"/>
  <c r="O19" i="9" s="1"/>
  <c r="EQ13" i="13"/>
  <c r="R19" i="9" s="1"/>
  <c r="ER13" i="13"/>
  <c r="S19" i="9" s="1"/>
  <c r="EM13" i="13"/>
  <c r="N19" i="9" s="1"/>
  <c r="EI13" i="13"/>
  <c r="EP13" i="13"/>
  <c r="Q19" i="9" s="1"/>
  <c r="M18" i="9"/>
  <c r="EK12" i="13"/>
  <c r="L18" i="9" s="1"/>
  <c r="EI12" i="13"/>
  <c r="EN12" i="13"/>
  <c r="O18" i="9" s="1"/>
  <c r="ER12" i="13"/>
  <c r="S18" i="9" s="1"/>
  <c r="EM12" i="13"/>
  <c r="N18" i="9" s="1"/>
  <c r="EO12" i="13"/>
  <c r="P18" i="9" s="1"/>
  <c r="EP12" i="13"/>
  <c r="Q18" i="9" s="1"/>
  <c r="EQ12" i="13"/>
  <c r="R18" i="9" s="1"/>
  <c r="EO22" i="13"/>
  <c r="P28" i="9" s="1"/>
  <c r="M28" i="9"/>
  <c r="EN22" i="13"/>
  <c r="O28" i="9" s="1"/>
  <c r="EM22" i="13"/>
  <c r="N28" i="9" s="1"/>
  <c r="EK22" i="13"/>
  <c r="L28" i="9" s="1"/>
  <c r="EQ22" i="13"/>
  <c r="R28" i="9" s="1"/>
  <c r="EI22" i="13"/>
  <c r="ER22" i="13"/>
  <c r="S28" i="9" s="1"/>
  <c r="EP22" i="13"/>
  <c r="Q28" i="9" s="1"/>
  <c r="AF6" i="13" l="1"/>
  <c r="L14" i="11"/>
  <c r="H26" i="17"/>
  <c r="G26" i="17"/>
  <c r="E26" i="17"/>
  <c r="F27" i="17" s="1"/>
  <c r="CJ424" i="10"/>
  <c r="BQ423" i="10"/>
  <c r="EU6" i="13"/>
  <c r="EU11" i="13" s="1"/>
  <c r="L12" i="9"/>
  <c r="EU5" i="13"/>
  <c r="EU7" i="13"/>
  <c r="EU12" i="13" s="1"/>
  <c r="R33" i="9" s="1"/>
  <c r="EU8" i="13"/>
  <c r="EU13" i="13" s="1"/>
  <c r="CJ14" i="13" l="1"/>
  <c r="CJ12" i="13"/>
  <c r="CJ10" i="13"/>
  <c r="CJ19" i="13"/>
  <c r="CJ15" i="13"/>
  <c r="CJ8" i="13"/>
  <c r="CJ16" i="13"/>
  <c r="CJ22" i="13"/>
  <c r="CJ6" i="13"/>
  <c r="CJ9" i="13"/>
  <c r="CJ18" i="13"/>
  <c r="CJ13" i="13"/>
  <c r="CJ21" i="13"/>
  <c r="CJ17" i="13"/>
  <c r="CJ7" i="13"/>
  <c r="CJ11" i="13"/>
  <c r="CJ20" i="13"/>
  <c r="CJ23" i="13"/>
  <c r="E27" i="17"/>
  <c r="F28" i="17" s="1"/>
  <c r="H27" i="17"/>
  <c r="G27" i="17"/>
  <c r="CJ423" i="10"/>
  <c r="BQ422" i="10"/>
  <c r="EU18" i="13"/>
  <c r="R40" i="9" s="1"/>
  <c r="ET22" i="13"/>
  <c r="L44" i="9" s="1"/>
  <c r="ET20" i="13"/>
  <c r="L110" i="9" s="1"/>
  <c r="EU17" i="13"/>
  <c r="R39" i="9" s="1"/>
  <c r="R34" i="9"/>
  <c r="EU16" i="13"/>
  <c r="R38" i="9" s="1"/>
  <c r="O74" i="9"/>
  <c r="M72" i="9"/>
  <c r="L73" i="9"/>
  <c r="AA24" i="9"/>
  <c r="AI12" i="9" s="1"/>
  <c r="L72" i="9"/>
  <c r="L70" i="9"/>
  <c r="O70" i="9"/>
  <c r="M70" i="9"/>
  <c r="P70" i="9"/>
  <c r="Q70" i="9"/>
  <c r="R74" i="9"/>
  <c r="S70" i="9"/>
  <c r="N70" i="9"/>
  <c r="P74" i="9"/>
  <c r="R71" i="9"/>
  <c r="Q71" i="9"/>
  <c r="L69" i="9"/>
  <c r="EU19" i="13"/>
  <c r="R32" i="9"/>
  <c r="DZ13" i="13" l="1"/>
  <c r="DN13" i="13"/>
  <c r="J148" i="9" s="1"/>
  <c r="DS13" i="13"/>
  <c r="BA13" i="13"/>
  <c r="I145" i="9"/>
  <c r="ED13" i="13"/>
  <c r="DO13" i="13"/>
  <c r="DT13" i="13"/>
  <c r="DV13" i="13"/>
  <c r="DX13" i="13"/>
  <c r="DY13" i="13"/>
  <c r="EB13" i="13"/>
  <c r="EX13" i="13" s="1"/>
  <c r="DQ13" i="13"/>
  <c r="DU13" i="13"/>
  <c r="DL13" i="13"/>
  <c r="G148" i="9" s="1"/>
  <c r="H149" i="9" s="1"/>
  <c r="DK13" i="13"/>
  <c r="CQ13" i="13"/>
  <c r="E148" i="9" s="1"/>
  <c r="DR13" i="13"/>
  <c r="DP13" i="13"/>
  <c r="EE13" i="13"/>
  <c r="DM13" i="13"/>
  <c r="I148" i="9" s="1"/>
  <c r="DW13" i="13"/>
  <c r="EC13" i="13"/>
  <c r="E159" i="9" s="1"/>
  <c r="CK13" i="13"/>
  <c r="DK18" i="13"/>
  <c r="DL18" i="13"/>
  <c r="G250" i="9" s="1"/>
  <c r="H251" i="9" s="1"/>
  <c r="DN18" i="13"/>
  <c r="J250" i="9" s="1"/>
  <c r="DY18" i="13"/>
  <c r="ED18" i="13"/>
  <c r="BA18" i="13"/>
  <c r="DQ18" i="13"/>
  <c r="DP18" i="13"/>
  <c r="DS18" i="13"/>
  <c r="DR18" i="13"/>
  <c r="DM18" i="13"/>
  <c r="I250" i="9" s="1"/>
  <c r="DZ18" i="13"/>
  <c r="DX18" i="13"/>
  <c r="EE18" i="13"/>
  <c r="DO18" i="13"/>
  <c r="EC18" i="13"/>
  <c r="E261" i="9" s="1"/>
  <c r="DU18" i="13"/>
  <c r="CK18" i="13"/>
  <c r="DV18" i="13"/>
  <c r="EB18" i="13"/>
  <c r="EX18" i="13" s="1"/>
  <c r="I247" i="9"/>
  <c r="DW18" i="13"/>
  <c r="DT18" i="13"/>
  <c r="CQ18" i="13"/>
  <c r="E250" i="9" s="1"/>
  <c r="DQ9" i="13"/>
  <c r="CQ9" i="13"/>
  <c r="E73" i="9" s="1"/>
  <c r="EC9" i="13"/>
  <c r="E84" i="9" s="1"/>
  <c r="ED9" i="13"/>
  <c r="DN9" i="13"/>
  <c r="J73" i="9" s="1"/>
  <c r="DK9" i="13"/>
  <c r="DL9" i="13"/>
  <c r="G73" i="9" s="1"/>
  <c r="H74" i="9" s="1"/>
  <c r="BA9" i="13"/>
  <c r="DM9" i="13"/>
  <c r="I73" i="9" s="1"/>
  <c r="EE9" i="13"/>
  <c r="EF9" i="13" s="1"/>
  <c r="DZ9" i="13"/>
  <c r="DX9" i="13"/>
  <c r="CK9" i="13"/>
  <c r="DP9" i="13"/>
  <c r="EB9" i="13"/>
  <c r="EX9" i="13" s="1"/>
  <c r="DY9" i="13"/>
  <c r="DV9" i="13"/>
  <c r="I70" i="9"/>
  <c r="DO9" i="13"/>
  <c r="DS9" i="13"/>
  <c r="DR9" i="13"/>
  <c r="DT9" i="13"/>
  <c r="DW9" i="13"/>
  <c r="DU9" i="13"/>
  <c r="DK6" i="13"/>
  <c r="DT6" i="13"/>
  <c r="DX6" i="13"/>
  <c r="DU6" i="13"/>
  <c r="DO6" i="13"/>
  <c r="ED6" i="13"/>
  <c r="EB6" i="13"/>
  <c r="DS6" i="13"/>
  <c r="DM6" i="13"/>
  <c r="I14" i="9" s="1"/>
  <c r="DV6" i="13"/>
  <c r="DR6" i="13"/>
  <c r="EE6" i="13"/>
  <c r="BA6" i="13"/>
  <c r="CK6" i="13"/>
  <c r="DL6" i="13"/>
  <c r="G14" i="9" s="1"/>
  <c r="H15" i="9" s="1"/>
  <c r="I11" i="9"/>
  <c r="DQ6" i="13"/>
  <c r="DP6" i="13"/>
  <c r="DN6" i="13"/>
  <c r="J14" i="9" s="1"/>
  <c r="DW6" i="13"/>
  <c r="DZ6" i="13"/>
  <c r="DY6" i="13"/>
  <c r="DM22" i="13"/>
  <c r="I325" i="9" s="1"/>
  <c r="DO22" i="13"/>
  <c r="DZ22" i="13"/>
  <c r="EE22" i="13"/>
  <c r="DQ22" i="13"/>
  <c r="DV22" i="13"/>
  <c r="I322" i="9"/>
  <c r="DS22" i="13"/>
  <c r="DR22" i="13"/>
  <c r="DL22" i="13"/>
  <c r="G325" i="9" s="1"/>
  <c r="H326" i="9" s="1"/>
  <c r="EC22" i="13"/>
  <c r="E336" i="9" s="1"/>
  <c r="DU22" i="13"/>
  <c r="ED22" i="13"/>
  <c r="DK22" i="13"/>
  <c r="DN22" i="13"/>
  <c r="J325" i="9" s="1"/>
  <c r="DX22" i="13"/>
  <c r="BA22" i="13"/>
  <c r="DW22" i="13"/>
  <c r="DP22" i="13"/>
  <c r="CK22" i="13"/>
  <c r="DT22" i="13"/>
  <c r="EB22" i="13"/>
  <c r="EX22" i="13" s="1"/>
  <c r="CQ22" i="13"/>
  <c r="E325" i="9" s="1"/>
  <c r="DY22" i="13"/>
  <c r="DZ16" i="13"/>
  <c r="ED16" i="13"/>
  <c r="DS16" i="13"/>
  <c r="DQ16" i="13"/>
  <c r="EB16" i="13"/>
  <c r="EX16" i="13" s="1"/>
  <c r="DN16" i="13"/>
  <c r="J207" i="9" s="1"/>
  <c r="EC16" i="13"/>
  <c r="E218" i="9" s="1"/>
  <c r="BA16" i="13"/>
  <c r="DV16" i="13"/>
  <c r="DY16" i="13"/>
  <c r="DX16" i="13"/>
  <c r="DL16" i="13"/>
  <c r="G207" i="9" s="1"/>
  <c r="H208" i="9" s="1"/>
  <c r="I204" i="9"/>
  <c r="DM16" i="13"/>
  <c r="I207" i="9" s="1"/>
  <c r="DW16" i="13"/>
  <c r="CQ16" i="13"/>
  <c r="E207" i="9" s="1"/>
  <c r="CK16" i="13"/>
  <c r="DU16" i="13"/>
  <c r="DK16" i="13"/>
  <c r="DP16" i="13"/>
  <c r="EE16" i="13"/>
  <c r="DT16" i="13"/>
  <c r="DO16" i="13"/>
  <c r="DR16" i="13"/>
  <c r="DY23" i="13"/>
  <c r="DK23" i="13"/>
  <c r="DO23" i="13"/>
  <c r="DL23" i="13"/>
  <c r="G341" i="9" s="1"/>
  <c r="H342" i="9" s="1"/>
  <c r="DQ23" i="13"/>
  <c r="DW23" i="13"/>
  <c r="DN23" i="13"/>
  <c r="J341" i="9" s="1"/>
  <c r="EE23" i="13"/>
  <c r="CQ23" i="13"/>
  <c r="E341" i="9" s="1"/>
  <c r="EB23" i="13"/>
  <c r="EX23" i="13" s="1"/>
  <c r="DR23" i="13"/>
  <c r="DV23" i="13"/>
  <c r="DU23" i="13"/>
  <c r="EC23" i="13"/>
  <c r="E352" i="9" s="1"/>
  <c r="DM23" i="13"/>
  <c r="I341" i="9" s="1"/>
  <c r="BA23" i="13"/>
  <c r="DX23" i="13"/>
  <c r="DS23" i="13"/>
  <c r="CK23" i="13"/>
  <c r="DT23" i="13"/>
  <c r="I338" i="9"/>
  <c r="ED23" i="13"/>
  <c r="DP23" i="13"/>
  <c r="DZ23" i="13"/>
  <c r="DS8" i="13"/>
  <c r="DZ8" i="13"/>
  <c r="DT8" i="13"/>
  <c r="I43" i="9"/>
  <c r="DP8" i="13"/>
  <c r="EC8" i="13"/>
  <c r="E57" i="9" s="1"/>
  <c r="EB8" i="13"/>
  <c r="EX8" i="13" s="1"/>
  <c r="DR8" i="13"/>
  <c r="BA8" i="13"/>
  <c r="DU8" i="13"/>
  <c r="DX8" i="13"/>
  <c r="DV8" i="13"/>
  <c r="CQ8" i="13"/>
  <c r="E46" i="9" s="1"/>
  <c r="DM8" i="13"/>
  <c r="I46" i="9" s="1"/>
  <c r="ED8" i="13"/>
  <c r="DY8" i="13"/>
  <c r="DQ8" i="13"/>
  <c r="EE8" i="13"/>
  <c r="EF8" i="13" s="1"/>
  <c r="CK8" i="13"/>
  <c r="DO8" i="13"/>
  <c r="DW8" i="13"/>
  <c r="DN8" i="13"/>
  <c r="J46" i="9" s="1"/>
  <c r="DK8" i="13"/>
  <c r="DL8" i="13"/>
  <c r="G46" i="9" s="1"/>
  <c r="H47" i="9" s="1"/>
  <c r="CQ20" i="13"/>
  <c r="E282" i="9" s="1"/>
  <c r="DL20" i="13"/>
  <c r="G282" i="9" s="1"/>
  <c r="H283" i="9" s="1"/>
  <c r="DS20" i="13"/>
  <c r="DY20" i="13"/>
  <c r="DT20" i="13"/>
  <c r="DN20" i="13"/>
  <c r="J282" i="9" s="1"/>
  <c r="DR20" i="13"/>
  <c r="DP20" i="13"/>
  <c r="EB20" i="13"/>
  <c r="EX20" i="13" s="1"/>
  <c r="ED20" i="13"/>
  <c r="EC20" i="13"/>
  <c r="E293" i="9" s="1"/>
  <c r="EE20" i="13"/>
  <c r="DO20" i="13"/>
  <c r="DU20" i="13"/>
  <c r="DV20" i="13"/>
  <c r="CK20" i="13"/>
  <c r="I279" i="9"/>
  <c r="DX20" i="13"/>
  <c r="DQ20" i="13"/>
  <c r="BA20" i="13"/>
  <c r="DZ20" i="13"/>
  <c r="DM20" i="13"/>
  <c r="I282" i="9" s="1"/>
  <c r="DW20" i="13"/>
  <c r="DK20" i="13"/>
  <c r="DS15" i="13"/>
  <c r="CQ15" i="13"/>
  <c r="E191" i="9" s="1"/>
  <c r="DL15" i="13"/>
  <c r="G191" i="9" s="1"/>
  <c r="H192" i="9" s="1"/>
  <c r="EC15" i="13"/>
  <c r="E202" i="9" s="1"/>
  <c r="DY15" i="13"/>
  <c r="DR15" i="13"/>
  <c r="ED15" i="13"/>
  <c r="DK15" i="13"/>
  <c r="DX15" i="13"/>
  <c r="EE15" i="13"/>
  <c r="EF15" i="13" s="1"/>
  <c r="BA15" i="13"/>
  <c r="DV15" i="13"/>
  <c r="DN15" i="13"/>
  <c r="J191" i="9" s="1"/>
  <c r="DO15" i="13"/>
  <c r="EB15" i="13"/>
  <c r="EX15" i="13" s="1"/>
  <c r="DZ15" i="13"/>
  <c r="CK15" i="13"/>
  <c r="DT15" i="13"/>
  <c r="DQ15" i="13"/>
  <c r="DW15" i="13"/>
  <c r="I188" i="9"/>
  <c r="DP15" i="13"/>
  <c r="DM15" i="13"/>
  <c r="I191" i="9" s="1"/>
  <c r="DU15" i="13"/>
  <c r="DY11" i="13"/>
  <c r="BA11" i="13"/>
  <c r="DO11" i="13"/>
  <c r="CK11" i="13"/>
  <c r="ED11" i="13"/>
  <c r="DV11" i="13"/>
  <c r="DX11" i="13"/>
  <c r="CQ11" i="13"/>
  <c r="E105" i="9" s="1"/>
  <c r="I102" i="9"/>
  <c r="DN11" i="13"/>
  <c r="J105" i="9" s="1"/>
  <c r="DM11" i="13"/>
  <c r="I105" i="9" s="1"/>
  <c r="EB11" i="13"/>
  <c r="EX11" i="13" s="1"/>
  <c r="DW11" i="13"/>
  <c r="DU11" i="13"/>
  <c r="EC11" i="13"/>
  <c r="E116" i="9" s="1"/>
  <c r="DS11" i="13"/>
  <c r="DK11" i="13"/>
  <c r="DZ11" i="13"/>
  <c r="DL11" i="13"/>
  <c r="G105" i="9" s="1"/>
  <c r="H106" i="9" s="1"/>
  <c r="DQ11" i="13"/>
  <c r="DR11" i="13"/>
  <c r="DT11" i="13"/>
  <c r="DP11" i="13"/>
  <c r="EE11" i="13"/>
  <c r="EF11" i="13" s="1"/>
  <c r="CK19" i="13"/>
  <c r="EE19" i="13"/>
  <c r="CQ19" i="13"/>
  <c r="E266" i="9" s="1"/>
  <c r="DK19" i="13"/>
  <c r="DX19" i="13"/>
  <c r="DY19" i="13"/>
  <c r="DQ19" i="13"/>
  <c r="DL19" i="13"/>
  <c r="G266" i="9" s="1"/>
  <c r="H267" i="9" s="1"/>
  <c r="DV19" i="13"/>
  <c r="EB19" i="13"/>
  <c r="EX19" i="13" s="1"/>
  <c r="DN19" i="13"/>
  <c r="J266" i="9" s="1"/>
  <c r="BA19" i="13"/>
  <c r="I263" i="9"/>
  <c r="DO19" i="13"/>
  <c r="DT19" i="13"/>
  <c r="DP19" i="13"/>
  <c r="ED19" i="13"/>
  <c r="DM19" i="13"/>
  <c r="I266" i="9" s="1"/>
  <c r="EC19" i="13"/>
  <c r="E277" i="9" s="1"/>
  <c r="DS19" i="13"/>
  <c r="DW19" i="13"/>
  <c r="DR19" i="13"/>
  <c r="DU19" i="13"/>
  <c r="DZ19" i="13"/>
  <c r="ED7" i="13"/>
  <c r="CK7" i="13"/>
  <c r="EE7" i="13"/>
  <c r="BA7" i="13"/>
  <c r="DL7" i="13"/>
  <c r="G30" i="9" s="1"/>
  <c r="H31" i="9" s="1"/>
  <c r="DY7" i="13"/>
  <c r="DS7" i="13"/>
  <c r="DR7" i="13"/>
  <c r="DV7" i="13"/>
  <c r="DT7" i="13"/>
  <c r="DQ7" i="13"/>
  <c r="DU7" i="13"/>
  <c r="DX7" i="13"/>
  <c r="DZ7" i="13"/>
  <c r="DK7" i="13"/>
  <c r="DO7" i="13"/>
  <c r="DN7" i="13"/>
  <c r="J30" i="9" s="1"/>
  <c r="DM7" i="13"/>
  <c r="I30" i="9" s="1"/>
  <c r="EB7" i="13"/>
  <c r="EX7" i="13" s="1"/>
  <c r="DP7" i="13"/>
  <c r="I27" i="9"/>
  <c r="DW7" i="13"/>
  <c r="DX10" i="13"/>
  <c r="DP10" i="13"/>
  <c r="ED10" i="13"/>
  <c r="DW10" i="13"/>
  <c r="DQ10" i="13"/>
  <c r="EB10" i="13"/>
  <c r="EX10" i="13" s="1"/>
  <c r="DS10" i="13"/>
  <c r="DY10" i="13"/>
  <c r="EE10" i="13"/>
  <c r="DU10" i="13"/>
  <c r="DV10" i="13"/>
  <c r="I86" i="9"/>
  <c r="DL10" i="13"/>
  <c r="G89" i="9" s="1"/>
  <c r="H90" i="9" s="1"/>
  <c r="CQ10" i="13"/>
  <c r="E89" i="9" s="1"/>
  <c r="DZ10" i="13"/>
  <c r="DM10" i="13"/>
  <c r="I89" i="9" s="1"/>
  <c r="DR10" i="13"/>
  <c r="BA10" i="13"/>
  <c r="DT10" i="13"/>
  <c r="EC10" i="13"/>
  <c r="E100" i="9" s="1"/>
  <c r="DN10" i="13"/>
  <c r="J89" i="9" s="1"/>
  <c r="DO10" i="13"/>
  <c r="CK10" i="13"/>
  <c r="DK10" i="13"/>
  <c r="DR17" i="13"/>
  <c r="DT17" i="13"/>
  <c r="CK17" i="13"/>
  <c r="CQ17" i="13"/>
  <c r="E223" i="9" s="1"/>
  <c r="DV17" i="13"/>
  <c r="DQ17" i="13"/>
  <c r="DS17" i="13"/>
  <c r="DO17" i="13"/>
  <c r="BA17" i="13"/>
  <c r="EB17" i="13"/>
  <c r="EX17" i="13" s="1"/>
  <c r="DL17" i="13"/>
  <c r="G223" i="9" s="1"/>
  <c r="H224" i="9" s="1"/>
  <c r="DM17" i="13"/>
  <c r="I223" i="9" s="1"/>
  <c r="DZ17" i="13"/>
  <c r="DP17" i="13"/>
  <c r="DY17" i="13"/>
  <c r="DK17" i="13"/>
  <c r="DU17" i="13"/>
  <c r="EE17" i="13"/>
  <c r="ED17" i="13"/>
  <c r="DW17" i="13"/>
  <c r="EC17" i="13"/>
  <c r="E234" i="9" s="1"/>
  <c r="DN17" i="13"/>
  <c r="J223" i="9" s="1"/>
  <c r="I220" i="9"/>
  <c r="DX17" i="13"/>
  <c r="DZ12" i="13"/>
  <c r="ED12" i="13"/>
  <c r="DO12" i="13"/>
  <c r="DV12" i="13"/>
  <c r="DQ12" i="13"/>
  <c r="DP12" i="13"/>
  <c r="DW12" i="13"/>
  <c r="EE12" i="13"/>
  <c r="DL12" i="13"/>
  <c r="G132" i="9" s="1"/>
  <c r="H133" i="9" s="1"/>
  <c r="DS12" i="13"/>
  <c r="EB12" i="13"/>
  <c r="EX12" i="13" s="1"/>
  <c r="CQ12" i="13"/>
  <c r="E132" i="9" s="1"/>
  <c r="DM12" i="13"/>
  <c r="I132" i="9" s="1"/>
  <c r="BA12" i="13"/>
  <c r="DN12" i="13"/>
  <c r="J132" i="9" s="1"/>
  <c r="DT12" i="13"/>
  <c r="EC12" i="13"/>
  <c r="E143" i="9" s="1"/>
  <c r="I129" i="9"/>
  <c r="DY12" i="13"/>
  <c r="DR12" i="13"/>
  <c r="DU12" i="13"/>
  <c r="CK12" i="13"/>
  <c r="DK12" i="13"/>
  <c r="DX12" i="13"/>
  <c r="EC21" i="13"/>
  <c r="E320" i="9" s="1"/>
  <c r="DZ21" i="13"/>
  <c r="DW21" i="13"/>
  <c r="DX21" i="13"/>
  <c r="DT21" i="13"/>
  <c r="BA21" i="13"/>
  <c r="I306" i="9"/>
  <c r="EB21" i="13"/>
  <c r="EX21" i="13" s="1"/>
  <c r="DQ21" i="13"/>
  <c r="DL21" i="13"/>
  <c r="G309" i="9" s="1"/>
  <c r="H310" i="9" s="1"/>
  <c r="DN21" i="13"/>
  <c r="J309" i="9" s="1"/>
  <c r="DU21" i="13"/>
  <c r="DM21" i="13"/>
  <c r="I309" i="9" s="1"/>
  <c r="DS21" i="13"/>
  <c r="CK21" i="13"/>
  <c r="CQ21" i="13"/>
  <c r="E309" i="9" s="1"/>
  <c r="EE21" i="13"/>
  <c r="DP21" i="13"/>
  <c r="DY21" i="13"/>
  <c r="DR21" i="13"/>
  <c r="DO21" i="13"/>
  <c r="ED21" i="13"/>
  <c r="DK21" i="13"/>
  <c r="DV21" i="13"/>
  <c r="DY14" i="13"/>
  <c r="DV14" i="13"/>
  <c r="DL14" i="13"/>
  <c r="G164" i="9" s="1"/>
  <c r="H165" i="9" s="1"/>
  <c r="DT14" i="13"/>
  <c r="DW14" i="13"/>
  <c r="CQ14" i="13"/>
  <c r="E164" i="9" s="1"/>
  <c r="DS14" i="13"/>
  <c r="DM14" i="13"/>
  <c r="I164" i="9" s="1"/>
  <c r="DZ14" i="13"/>
  <c r="DX14" i="13"/>
  <c r="DN14" i="13"/>
  <c r="J164" i="9" s="1"/>
  <c r="CK14" i="13"/>
  <c r="DK14" i="13"/>
  <c r="EE14" i="13"/>
  <c r="EC14" i="13"/>
  <c r="E175" i="9" s="1"/>
  <c r="DQ14" i="13"/>
  <c r="I161" i="9"/>
  <c r="BA14" i="13"/>
  <c r="DU14" i="13"/>
  <c r="DR14" i="13"/>
  <c r="EB14" i="13"/>
  <c r="EX14" i="13" s="1"/>
  <c r="DP14" i="13"/>
  <c r="DO14" i="13"/>
  <c r="ED14" i="13"/>
  <c r="E28" i="17"/>
  <c r="F29" i="17" s="1"/>
  <c r="G28" i="17"/>
  <c r="H28" i="17"/>
  <c r="CJ422" i="10"/>
  <c r="BQ421" i="10"/>
  <c r="R72" i="9"/>
  <c r="M73" i="9"/>
  <c r="Q72" i="9"/>
  <c r="O72" i="9"/>
  <c r="S72" i="9"/>
  <c r="N72" i="9"/>
  <c r="P72" i="9"/>
  <c r="EF16" i="13" l="1"/>
  <c r="EF10" i="13"/>
  <c r="EF12" i="13"/>
  <c r="EF23" i="13"/>
  <c r="EF21" i="13"/>
  <c r="I100" i="9"/>
  <c r="AB12" i="9"/>
  <c r="I99" i="9"/>
  <c r="G100" i="9"/>
  <c r="CV19" i="13"/>
  <c r="DC19" i="13"/>
  <c r="E273" i="9" s="1"/>
  <c r="CR19" i="13"/>
  <c r="DA19" i="13"/>
  <c r="E272" i="9" s="1"/>
  <c r="DH19" i="13"/>
  <c r="E275" i="9" s="1"/>
  <c r="CX19" i="13"/>
  <c r="E269" i="9" s="1"/>
  <c r="DF19" i="13"/>
  <c r="DI19" i="13"/>
  <c r="B275" i="9" s="1"/>
  <c r="DB19" i="13"/>
  <c r="CW19" i="13"/>
  <c r="DD19" i="13"/>
  <c r="E274" i="9" s="1"/>
  <c r="DG19" i="13"/>
  <c r="B276" i="9" s="1"/>
  <c r="CN19" i="13"/>
  <c r="E264" i="9" s="1"/>
  <c r="CT19" i="13"/>
  <c r="DE19" i="13"/>
  <c r="E276" i="9" s="1"/>
  <c r="CO19" i="13"/>
  <c r="E265" i="9" s="1"/>
  <c r="CS19" i="13"/>
  <c r="E267" i="9" s="1"/>
  <c r="CL19" i="13"/>
  <c r="G264" i="9" s="1"/>
  <c r="CM19" i="13"/>
  <c r="E263" i="9" s="1"/>
  <c r="CU19" i="13"/>
  <c r="E268" i="9" s="1"/>
  <c r="CP19" i="13"/>
  <c r="CZ19" i="13"/>
  <c r="E271" i="9" s="1"/>
  <c r="CY19" i="13"/>
  <c r="E270" i="9" s="1"/>
  <c r="EF20" i="13"/>
  <c r="G47" i="9"/>
  <c r="H48" i="9" s="1"/>
  <c r="I47" i="9"/>
  <c r="J47" i="9"/>
  <c r="J208" i="9"/>
  <c r="I208" i="9"/>
  <c r="G208" i="9"/>
  <c r="H209" i="9" s="1"/>
  <c r="AB11" i="9"/>
  <c r="I41" i="9"/>
  <c r="I40" i="9"/>
  <c r="G41" i="9"/>
  <c r="CT15" i="13"/>
  <c r="CL15" i="13"/>
  <c r="G189" i="9" s="1"/>
  <c r="CZ15" i="13"/>
  <c r="E196" i="9" s="1"/>
  <c r="DB15" i="13"/>
  <c r="DA15" i="13"/>
  <c r="E197" i="9" s="1"/>
  <c r="DD15" i="13"/>
  <c r="E199" i="9" s="1"/>
  <c r="CS15" i="13"/>
  <c r="E192" i="9" s="1"/>
  <c r="DF15" i="13"/>
  <c r="DE15" i="13"/>
  <c r="E201" i="9" s="1"/>
  <c r="DH15" i="13"/>
  <c r="E200" i="9" s="1"/>
  <c r="CM15" i="13"/>
  <c r="E188" i="9" s="1"/>
  <c r="CP15" i="13"/>
  <c r="CR15" i="13"/>
  <c r="CV15" i="13"/>
  <c r="DG15" i="13"/>
  <c r="B201" i="9" s="1"/>
  <c r="CU15" i="13"/>
  <c r="E193" i="9" s="1"/>
  <c r="DC15" i="13"/>
  <c r="E198" i="9" s="1"/>
  <c r="CN15" i="13"/>
  <c r="E189" i="9" s="1"/>
  <c r="CX15" i="13"/>
  <c r="E194" i="9" s="1"/>
  <c r="DI15" i="13"/>
  <c r="B200" i="9" s="1"/>
  <c r="CO15" i="13"/>
  <c r="E190" i="9" s="1"/>
  <c r="CY15" i="13"/>
  <c r="E195" i="9" s="1"/>
  <c r="CW15" i="13"/>
  <c r="J326" i="9"/>
  <c r="I326" i="9"/>
  <c r="G326" i="9"/>
  <c r="H327" i="9" s="1"/>
  <c r="I224" i="9"/>
  <c r="J224" i="9"/>
  <c r="G224" i="9"/>
  <c r="H225" i="9" s="1"/>
  <c r="DE17" i="13"/>
  <c r="E233" i="9" s="1"/>
  <c r="DC17" i="13"/>
  <c r="E230" i="9" s="1"/>
  <c r="DF17" i="13"/>
  <c r="CV17" i="13"/>
  <c r="DB17" i="13"/>
  <c r="CO17" i="13"/>
  <c r="E222" i="9" s="1"/>
  <c r="DI17" i="13"/>
  <c r="B232" i="9" s="1"/>
  <c r="CS17" i="13"/>
  <c r="E224" i="9" s="1"/>
  <c r="CN17" i="13"/>
  <c r="E221" i="9" s="1"/>
  <c r="CX17" i="13"/>
  <c r="E226" i="9" s="1"/>
  <c r="CU17" i="13"/>
  <c r="E225" i="9" s="1"/>
  <c r="DH17" i="13"/>
  <c r="E232" i="9" s="1"/>
  <c r="CW17" i="13"/>
  <c r="CR17" i="13"/>
  <c r="DG17" i="13"/>
  <c r="B233" i="9" s="1"/>
  <c r="CM17" i="13"/>
  <c r="E220" i="9" s="1"/>
  <c r="DA17" i="13"/>
  <c r="E229" i="9" s="1"/>
  <c r="CZ17" i="13"/>
  <c r="E228" i="9" s="1"/>
  <c r="CY17" i="13"/>
  <c r="E227" i="9" s="1"/>
  <c r="CL17" i="13"/>
  <c r="G221" i="9" s="1"/>
  <c r="DD17" i="13"/>
  <c r="E231" i="9" s="1"/>
  <c r="CT17" i="13"/>
  <c r="CP17" i="13"/>
  <c r="AC12" i="9"/>
  <c r="I116" i="9"/>
  <c r="I115" i="9"/>
  <c r="G116" i="9"/>
  <c r="I202" i="9"/>
  <c r="I201" i="9"/>
  <c r="G202" i="9"/>
  <c r="AA14" i="9"/>
  <c r="CS8" i="13"/>
  <c r="E47" i="9" s="1"/>
  <c r="CP8" i="13"/>
  <c r="CM8" i="13"/>
  <c r="E43" i="9" s="1"/>
  <c r="CX8" i="13"/>
  <c r="E49" i="9" s="1"/>
  <c r="CL8" i="13"/>
  <c r="G44" i="9" s="1"/>
  <c r="DG8" i="13"/>
  <c r="B56" i="9" s="1"/>
  <c r="DA8" i="13"/>
  <c r="E52" i="9" s="1"/>
  <c r="CU8" i="13"/>
  <c r="E48" i="9" s="1"/>
  <c r="DE8" i="13"/>
  <c r="E56" i="9" s="1"/>
  <c r="CN8" i="13"/>
  <c r="E44" i="9" s="1"/>
  <c r="CV8" i="13"/>
  <c r="DD8" i="13"/>
  <c r="E54" i="9" s="1"/>
  <c r="DC8" i="13"/>
  <c r="E53" i="9" s="1"/>
  <c r="CY8" i="13"/>
  <c r="E50" i="9" s="1"/>
  <c r="CO8" i="13"/>
  <c r="E45" i="9" s="1"/>
  <c r="CZ8" i="13"/>
  <c r="E51" i="9" s="1"/>
  <c r="CW8" i="13"/>
  <c r="DI8" i="13"/>
  <c r="B55" i="9" s="1"/>
  <c r="DF8" i="13"/>
  <c r="DB8" i="13"/>
  <c r="CR8" i="13"/>
  <c r="CT8" i="13"/>
  <c r="DH8" i="13"/>
  <c r="E55" i="9" s="1"/>
  <c r="AC16" i="9"/>
  <c r="I351" i="9"/>
  <c r="I352" i="9"/>
  <c r="G352" i="9"/>
  <c r="AA15" i="9"/>
  <c r="I260" i="9"/>
  <c r="G261" i="9"/>
  <c r="I261" i="9"/>
  <c r="I133" i="9"/>
  <c r="G133" i="9"/>
  <c r="H134" i="9" s="1"/>
  <c r="J133" i="9"/>
  <c r="I267" i="9"/>
  <c r="G267" i="9"/>
  <c r="H268" i="9" s="1"/>
  <c r="J267" i="9"/>
  <c r="DI20" i="13"/>
  <c r="B291" i="9" s="1"/>
  <c r="CO20" i="13"/>
  <c r="E281" i="9" s="1"/>
  <c r="DD20" i="13"/>
  <c r="E290" i="9" s="1"/>
  <c r="CP20" i="13"/>
  <c r="CY20" i="13"/>
  <c r="E286" i="9" s="1"/>
  <c r="DF20" i="13"/>
  <c r="DG20" i="13"/>
  <c r="B292" i="9" s="1"/>
  <c r="DH20" i="13"/>
  <c r="E291" i="9" s="1"/>
  <c r="CL20" i="13"/>
  <c r="G280" i="9" s="1"/>
  <c r="DC20" i="13"/>
  <c r="E289" i="9" s="1"/>
  <c r="DB20" i="13"/>
  <c r="CN20" i="13"/>
  <c r="E280" i="9" s="1"/>
  <c r="CX20" i="13"/>
  <c r="E285" i="9" s="1"/>
  <c r="DE20" i="13"/>
  <c r="E292" i="9" s="1"/>
  <c r="CZ20" i="13"/>
  <c r="E287" i="9" s="1"/>
  <c r="CM20" i="13"/>
  <c r="E279" i="9" s="1"/>
  <c r="DA20" i="13"/>
  <c r="E288" i="9" s="1"/>
  <c r="CT20" i="13"/>
  <c r="CW20" i="13"/>
  <c r="CR20" i="13"/>
  <c r="CV20" i="13"/>
  <c r="CS20" i="13"/>
  <c r="E283" i="9" s="1"/>
  <c r="CU20" i="13"/>
  <c r="E284" i="9" s="1"/>
  <c r="CL16" i="13"/>
  <c r="G205" i="9" s="1"/>
  <c r="DA16" i="13"/>
  <c r="E213" i="9" s="1"/>
  <c r="CX16" i="13"/>
  <c r="E210" i="9" s="1"/>
  <c r="CW16" i="13"/>
  <c r="CO16" i="13"/>
  <c r="E206" i="9" s="1"/>
  <c r="CN16" i="13"/>
  <c r="E205" i="9" s="1"/>
  <c r="DC16" i="13"/>
  <c r="E214" i="9" s="1"/>
  <c r="CY16" i="13"/>
  <c r="E211" i="9" s="1"/>
  <c r="DH16" i="13"/>
  <c r="E216" i="9" s="1"/>
  <c r="DF16" i="13"/>
  <c r="CM16" i="13"/>
  <c r="E204" i="9" s="1"/>
  <c r="DB16" i="13"/>
  <c r="CU16" i="13"/>
  <c r="E209" i="9" s="1"/>
  <c r="DI16" i="13"/>
  <c r="B216" i="9" s="1"/>
  <c r="CP16" i="13"/>
  <c r="CV16" i="13"/>
  <c r="DD16" i="13"/>
  <c r="E215" i="9" s="1"/>
  <c r="CR16" i="13"/>
  <c r="DG16" i="13"/>
  <c r="B217" i="9" s="1"/>
  <c r="CS16" i="13"/>
  <c r="E208" i="9" s="1"/>
  <c r="CZ16" i="13"/>
  <c r="E212" i="9" s="1"/>
  <c r="DE16" i="13"/>
  <c r="E217" i="9" s="1"/>
  <c r="CT16" i="13"/>
  <c r="EX6" i="13"/>
  <c r="T17" i="11"/>
  <c r="T18" i="11" s="1"/>
  <c r="FJ21" i="13" s="1"/>
  <c r="CN9" i="13"/>
  <c r="E71" i="9" s="1"/>
  <c r="DA9" i="13"/>
  <c r="E79" i="9" s="1"/>
  <c r="CT9" i="13"/>
  <c r="CP9" i="13"/>
  <c r="CO9" i="13"/>
  <c r="E72" i="9" s="1"/>
  <c r="DI9" i="13"/>
  <c r="B82" i="9" s="1"/>
  <c r="CR9" i="13"/>
  <c r="DC9" i="13"/>
  <c r="E80" i="9" s="1"/>
  <c r="DF9" i="13"/>
  <c r="DG9" i="13"/>
  <c r="B83" i="9" s="1"/>
  <c r="CU9" i="13"/>
  <c r="E75" i="9" s="1"/>
  <c r="DE9" i="13"/>
  <c r="E83" i="9" s="1"/>
  <c r="DD9" i="13"/>
  <c r="E81" i="9" s="1"/>
  <c r="CS9" i="13"/>
  <c r="E74" i="9" s="1"/>
  <c r="DH9" i="13"/>
  <c r="E82" i="9" s="1"/>
  <c r="DB9" i="13"/>
  <c r="CL9" i="13"/>
  <c r="G71" i="9" s="1"/>
  <c r="CZ9" i="13"/>
  <c r="E78" i="9" s="1"/>
  <c r="CM9" i="13"/>
  <c r="E70" i="9" s="1"/>
  <c r="CW9" i="13"/>
  <c r="CY9" i="13"/>
  <c r="E77" i="9" s="1"/>
  <c r="CV9" i="13"/>
  <c r="CX9" i="13"/>
  <c r="E76" i="9" s="1"/>
  <c r="EF13" i="13"/>
  <c r="AA16" i="9"/>
  <c r="I319" i="9"/>
  <c r="I320" i="9"/>
  <c r="G320" i="9"/>
  <c r="I106" i="9"/>
  <c r="J106" i="9"/>
  <c r="G106" i="9"/>
  <c r="H107" i="9" s="1"/>
  <c r="I335" i="9"/>
  <c r="I336" i="9"/>
  <c r="AB16" i="9"/>
  <c r="G336" i="9"/>
  <c r="G74" i="9"/>
  <c r="H75" i="9" s="1"/>
  <c r="I74" i="9"/>
  <c r="J74" i="9"/>
  <c r="DB14" i="13"/>
  <c r="CY14" i="13"/>
  <c r="E168" i="9" s="1"/>
  <c r="DD14" i="13"/>
  <c r="E172" i="9" s="1"/>
  <c r="CM14" i="13"/>
  <c r="E161" i="9" s="1"/>
  <c r="CO14" i="13"/>
  <c r="E163" i="9" s="1"/>
  <c r="DF14" i="13"/>
  <c r="CU14" i="13"/>
  <c r="E166" i="9" s="1"/>
  <c r="DA14" i="13"/>
  <c r="E170" i="9" s="1"/>
  <c r="CL14" i="13"/>
  <c r="G162" i="9" s="1"/>
  <c r="DG14" i="13"/>
  <c r="B174" i="9" s="1"/>
  <c r="CP14" i="13"/>
  <c r="CS14" i="13"/>
  <c r="E165" i="9" s="1"/>
  <c r="CN14" i="13"/>
  <c r="E162" i="9" s="1"/>
  <c r="DI14" i="13"/>
  <c r="B173" i="9" s="1"/>
  <c r="CW14" i="13"/>
  <c r="CV14" i="13"/>
  <c r="CR14" i="13"/>
  <c r="CZ14" i="13"/>
  <c r="E169" i="9" s="1"/>
  <c r="DC14" i="13"/>
  <c r="E171" i="9" s="1"/>
  <c r="CT14" i="13"/>
  <c r="DE14" i="13"/>
  <c r="E174" i="9" s="1"/>
  <c r="CX14" i="13"/>
  <c r="E167" i="9" s="1"/>
  <c r="DH14" i="13"/>
  <c r="E173" i="9" s="1"/>
  <c r="DA10" i="13"/>
  <c r="E95" i="9" s="1"/>
  <c r="CO10" i="13"/>
  <c r="E88" i="9" s="1"/>
  <c r="CZ10" i="13"/>
  <c r="E94" i="9" s="1"/>
  <c r="CV10" i="13"/>
  <c r="CU10" i="13"/>
  <c r="E91" i="9" s="1"/>
  <c r="DC10" i="13"/>
  <c r="E96" i="9" s="1"/>
  <c r="DD10" i="13"/>
  <c r="E97" i="9" s="1"/>
  <c r="DH10" i="13"/>
  <c r="E98" i="9" s="1"/>
  <c r="DB10" i="13"/>
  <c r="CR10" i="13"/>
  <c r="CM10" i="13"/>
  <c r="E86" i="9" s="1"/>
  <c r="DE10" i="13"/>
  <c r="E99" i="9" s="1"/>
  <c r="CY10" i="13"/>
  <c r="E93" i="9" s="1"/>
  <c r="CL10" i="13"/>
  <c r="G87" i="9" s="1"/>
  <c r="DG10" i="13"/>
  <c r="B99" i="9" s="1"/>
  <c r="CX10" i="13"/>
  <c r="E92" i="9" s="1"/>
  <c r="CS10" i="13"/>
  <c r="E90" i="9" s="1"/>
  <c r="CT10" i="13"/>
  <c r="CW10" i="13"/>
  <c r="DI10" i="13"/>
  <c r="B98" i="9" s="1"/>
  <c r="DF10" i="13"/>
  <c r="CN10" i="13"/>
  <c r="E87" i="9" s="1"/>
  <c r="CP10" i="13"/>
  <c r="AA12" i="9"/>
  <c r="I83" i="9"/>
  <c r="G84" i="9"/>
  <c r="I84" i="9"/>
  <c r="DG18" i="13"/>
  <c r="B260" i="9" s="1"/>
  <c r="CN18" i="13"/>
  <c r="E248" i="9" s="1"/>
  <c r="CO18" i="13"/>
  <c r="E249" i="9" s="1"/>
  <c r="CX18" i="13"/>
  <c r="E253" i="9" s="1"/>
  <c r="CS18" i="13"/>
  <c r="E251" i="9" s="1"/>
  <c r="CU18" i="13"/>
  <c r="E252" i="9" s="1"/>
  <c r="CZ18" i="13"/>
  <c r="E255" i="9" s="1"/>
  <c r="DB18" i="13"/>
  <c r="CP18" i="13"/>
  <c r="CW18" i="13"/>
  <c r="CT18" i="13"/>
  <c r="DD18" i="13"/>
  <c r="E258" i="9" s="1"/>
  <c r="CL18" i="13"/>
  <c r="G248" i="9" s="1"/>
  <c r="DF18" i="13"/>
  <c r="CY18" i="13"/>
  <c r="E254" i="9" s="1"/>
  <c r="CR18" i="13"/>
  <c r="CM18" i="13"/>
  <c r="E247" i="9" s="1"/>
  <c r="DI18" i="13"/>
  <c r="B259" i="9" s="1"/>
  <c r="DE18" i="13"/>
  <c r="E260" i="9" s="1"/>
  <c r="DA18" i="13"/>
  <c r="E256" i="9" s="1"/>
  <c r="DC18" i="13"/>
  <c r="E257" i="9" s="1"/>
  <c r="DH18" i="13"/>
  <c r="E259" i="9" s="1"/>
  <c r="CV18" i="13"/>
  <c r="G234" i="9"/>
  <c r="I233" i="9"/>
  <c r="AC14" i="9"/>
  <c r="I234" i="9"/>
  <c r="I175" i="9"/>
  <c r="I174" i="9"/>
  <c r="G175" i="9"/>
  <c r="AC13" i="9"/>
  <c r="J31" i="9"/>
  <c r="I31" i="9"/>
  <c r="G31" i="9"/>
  <c r="H32" i="9" s="1"/>
  <c r="G293" i="9"/>
  <c r="I292" i="9"/>
  <c r="AC15" i="9"/>
  <c r="I293" i="9"/>
  <c r="DE22" i="13"/>
  <c r="E335" i="9" s="1"/>
  <c r="DF22" i="13"/>
  <c r="CT22" i="13"/>
  <c r="DI22" i="13"/>
  <c r="B334" i="9" s="1"/>
  <c r="CN22" i="13"/>
  <c r="E323" i="9" s="1"/>
  <c r="CU22" i="13"/>
  <c r="E327" i="9" s="1"/>
  <c r="DG22" i="13"/>
  <c r="B335" i="9" s="1"/>
  <c r="CY22" i="13"/>
  <c r="E329" i="9" s="1"/>
  <c r="DH22" i="13"/>
  <c r="E334" i="9" s="1"/>
  <c r="CX22" i="13"/>
  <c r="E328" i="9" s="1"/>
  <c r="CR22" i="13"/>
  <c r="DC22" i="13"/>
  <c r="E332" i="9" s="1"/>
  <c r="DD22" i="13"/>
  <c r="E333" i="9" s="1"/>
  <c r="CL22" i="13"/>
  <c r="G323" i="9" s="1"/>
  <c r="CZ22" i="13"/>
  <c r="E330" i="9" s="1"/>
  <c r="CM22" i="13"/>
  <c r="E322" i="9" s="1"/>
  <c r="CW22" i="13"/>
  <c r="CO22" i="13"/>
  <c r="E324" i="9" s="1"/>
  <c r="CS22" i="13"/>
  <c r="E326" i="9" s="1"/>
  <c r="CP22" i="13"/>
  <c r="CV22" i="13"/>
  <c r="DA22" i="13"/>
  <c r="E331" i="9" s="1"/>
  <c r="DB22" i="13"/>
  <c r="AA11" i="9"/>
  <c r="G25" i="9"/>
  <c r="I25" i="9"/>
  <c r="I24" i="9"/>
  <c r="G159" i="9"/>
  <c r="I158" i="9"/>
  <c r="I159" i="9"/>
  <c r="AB13" i="9"/>
  <c r="I142" i="9"/>
  <c r="G143" i="9"/>
  <c r="AA13" i="9"/>
  <c r="I143" i="9"/>
  <c r="CV7" i="13"/>
  <c r="CU7" i="13"/>
  <c r="E32" i="9" s="1"/>
  <c r="CP7" i="13"/>
  <c r="CX7" i="13"/>
  <c r="E33" i="9" s="1"/>
  <c r="CO7" i="13"/>
  <c r="E29" i="9" s="1"/>
  <c r="CZ7" i="13"/>
  <c r="E35" i="9" s="1"/>
  <c r="DA7" i="13"/>
  <c r="E36" i="9" s="1"/>
  <c r="DE7" i="13"/>
  <c r="E40" i="9" s="1"/>
  <c r="DG7" i="13"/>
  <c r="B40" i="9" s="1"/>
  <c r="CL7" i="13"/>
  <c r="G28" i="9" s="1"/>
  <c r="CT7" i="13"/>
  <c r="CN7" i="13"/>
  <c r="E28" i="9" s="1"/>
  <c r="DD7" i="13"/>
  <c r="E38" i="9" s="1"/>
  <c r="DF7" i="13"/>
  <c r="DH7" i="13"/>
  <c r="DI7" i="13"/>
  <c r="B39" i="9" s="1"/>
  <c r="CS7" i="13"/>
  <c r="E31" i="9" s="1"/>
  <c r="CY7" i="13"/>
  <c r="E34" i="9" s="1"/>
  <c r="DC7" i="13"/>
  <c r="E37" i="9" s="1"/>
  <c r="CR7" i="13"/>
  <c r="CW7" i="13"/>
  <c r="DB7" i="13"/>
  <c r="CM7" i="13"/>
  <c r="I57" i="9"/>
  <c r="G57" i="9"/>
  <c r="AC11" i="9"/>
  <c r="I56" i="9"/>
  <c r="DG23" i="13"/>
  <c r="B351" i="9" s="1"/>
  <c r="CP23" i="13"/>
  <c r="CL23" i="13"/>
  <c r="G339" i="9" s="1"/>
  <c r="DF23" i="13"/>
  <c r="CZ23" i="13"/>
  <c r="E346" i="9" s="1"/>
  <c r="DA23" i="13"/>
  <c r="E347" i="9" s="1"/>
  <c r="CR23" i="13"/>
  <c r="CW23" i="13"/>
  <c r="DI23" i="13"/>
  <c r="B350" i="9" s="1"/>
  <c r="CY23" i="13"/>
  <c r="E345" i="9" s="1"/>
  <c r="CV23" i="13"/>
  <c r="CS23" i="13"/>
  <c r="E342" i="9" s="1"/>
  <c r="CM23" i="13"/>
  <c r="E338" i="9" s="1"/>
  <c r="DC23" i="13"/>
  <c r="E348" i="9" s="1"/>
  <c r="DE23" i="13"/>
  <c r="E351" i="9" s="1"/>
  <c r="CU23" i="13"/>
  <c r="E343" i="9" s="1"/>
  <c r="CN23" i="13"/>
  <c r="E339" i="9" s="1"/>
  <c r="CX23" i="13"/>
  <c r="E344" i="9" s="1"/>
  <c r="DB23" i="13"/>
  <c r="CT23" i="13"/>
  <c r="CO23" i="13"/>
  <c r="E340" i="9" s="1"/>
  <c r="DD23" i="13"/>
  <c r="E349" i="9" s="1"/>
  <c r="DH23" i="13"/>
  <c r="E350" i="9" s="1"/>
  <c r="J342" i="9"/>
  <c r="G342" i="9"/>
  <c r="H343" i="9" s="1"/>
  <c r="I342" i="9"/>
  <c r="EF22" i="13"/>
  <c r="I15" i="9"/>
  <c r="G15" i="9"/>
  <c r="H16" i="9" s="1"/>
  <c r="J15" i="9"/>
  <c r="CS13" i="13"/>
  <c r="E149" i="9" s="1"/>
  <c r="CW13" i="13"/>
  <c r="DI13" i="13"/>
  <c r="B157" i="9" s="1"/>
  <c r="DB13" i="13"/>
  <c r="CV13" i="13"/>
  <c r="DF13" i="13"/>
  <c r="CO13" i="13"/>
  <c r="E147" i="9" s="1"/>
  <c r="DG13" i="13"/>
  <c r="B158" i="9" s="1"/>
  <c r="DD13" i="13"/>
  <c r="E156" i="9" s="1"/>
  <c r="CN13" i="13"/>
  <c r="E146" i="9" s="1"/>
  <c r="CZ13" i="13"/>
  <c r="E153" i="9" s="1"/>
  <c r="CM13" i="13"/>
  <c r="E145" i="9" s="1"/>
  <c r="CR13" i="13"/>
  <c r="CL13" i="13"/>
  <c r="G146" i="9" s="1"/>
  <c r="CY13" i="13"/>
  <c r="E152" i="9" s="1"/>
  <c r="CP13" i="13"/>
  <c r="DC13" i="13"/>
  <c r="E155" i="9" s="1"/>
  <c r="CU13" i="13"/>
  <c r="E150" i="9" s="1"/>
  <c r="DE13" i="13"/>
  <c r="E158" i="9" s="1"/>
  <c r="CX13" i="13"/>
  <c r="E151" i="9" s="1"/>
  <c r="DA13" i="13"/>
  <c r="E154" i="9" s="1"/>
  <c r="DH13" i="13"/>
  <c r="E157" i="9" s="1"/>
  <c r="CT13" i="13"/>
  <c r="J310" i="9"/>
  <c r="I310" i="9"/>
  <c r="G310" i="9"/>
  <c r="H311" i="9" s="1"/>
  <c r="DD21" i="13"/>
  <c r="E317" i="9" s="1"/>
  <c r="CT21" i="13"/>
  <c r="DF21" i="13"/>
  <c r="DI21" i="13"/>
  <c r="B318" i="9" s="1"/>
  <c r="DG21" i="13"/>
  <c r="B319" i="9" s="1"/>
  <c r="CP21" i="13"/>
  <c r="CU21" i="13"/>
  <c r="E311" i="9" s="1"/>
  <c r="CY21" i="13"/>
  <c r="E313" i="9" s="1"/>
  <c r="DC21" i="13"/>
  <c r="E316" i="9" s="1"/>
  <c r="CW21" i="13"/>
  <c r="CX21" i="13"/>
  <c r="E312" i="9" s="1"/>
  <c r="DB21" i="13"/>
  <c r="CM21" i="13"/>
  <c r="E306" i="9" s="1"/>
  <c r="CS21" i="13"/>
  <c r="E310" i="9" s="1"/>
  <c r="DE21" i="13"/>
  <c r="E319" i="9" s="1"/>
  <c r="CV21" i="13"/>
  <c r="CZ21" i="13"/>
  <c r="E314" i="9" s="1"/>
  <c r="DA21" i="13"/>
  <c r="E315" i="9" s="1"/>
  <c r="CN21" i="13"/>
  <c r="E307" i="9" s="1"/>
  <c r="CR21" i="13"/>
  <c r="CL21" i="13"/>
  <c r="G307" i="9" s="1"/>
  <c r="CO21" i="13"/>
  <c r="E308" i="9" s="1"/>
  <c r="DH21" i="13"/>
  <c r="E318" i="9" s="1"/>
  <c r="J165" i="9"/>
  <c r="I165" i="9"/>
  <c r="G165" i="9"/>
  <c r="H166" i="9" s="1"/>
  <c r="J192" i="9"/>
  <c r="I192" i="9"/>
  <c r="G192" i="9"/>
  <c r="H193" i="9" s="1"/>
  <c r="J149" i="9"/>
  <c r="G149" i="9"/>
  <c r="H150" i="9" s="1"/>
  <c r="I149" i="9"/>
  <c r="DI12" i="13"/>
  <c r="B141" i="9" s="1"/>
  <c r="CL12" i="13"/>
  <c r="G130" i="9" s="1"/>
  <c r="DB12" i="13"/>
  <c r="CS12" i="13"/>
  <c r="E133" i="9" s="1"/>
  <c r="CN12" i="13"/>
  <c r="E130" i="9" s="1"/>
  <c r="CT12" i="13"/>
  <c r="DC12" i="13"/>
  <c r="E139" i="9" s="1"/>
  <c r="CV12" i="13"/>
  <c r="DA12" i="13"/>
  <c r="E138" i="9" s="1"/>
  <c r="DF12" i="13"/>
  <c r="DH12" i="13"/>
  <c r="E141" i="9" s="1"/>
  <c r="DE12" i="13"/>
  <c r="E142" i="9" s="1"/>
  <c r="CW12" i="13"/>
  <c r="CX12" i="13"/>
  <c r="E135" i="9" s="1"/>
  <c r="CP12" i="13"/>
  <c r="CZ12" i="13"/>
  <c r="E137" i="9" s="1"/>
  <c r="CY12" i="13"/>
  <c r="E136" i="9" s="1"/>
  <c r="CR12" i="13"/>
  <c r="DG12" i="13"/>
  <c r="B142" i="9" s="1"/>
  <c r="CO12" i="13"/>
  <c r="E131" i="9" s="1"/>
  <c r="CU12" i="13"/>
  <c r="E134" i="9" s="1"/>
  <c r="CM12" i="13"/>
  <c r="E129" i="9" s="1"/>
  <c r="DD12" i="13"/>
  <c r="E140" i="9" s="1"/>
  <c r="EF19" i="13"/>
  <c r="CR11" i="13"/>
  <c r="CN11" i="13"/>
  <c r="E103" i="9" s="1"/>
  <c r="CM11" i="13"/>
  <c r="E102" i="9" s="1"/>
  <c r="CY11" i="13"/>
  <c r="E109" i="9" s="1"/>
  <c r="CS11" i="13"/>
  <c r="E106" i="9" s="1"/>
  <c r="DH11" i="13"/>
  <c r="E114" i="9" s="1"/>
  <c r="CO11" i="13"/>
  <c r="E104" i="9" s="1"/>
  <c r="DA11" i="13"/>
  <c r="E111" i="9" s="1"/>
  <c r="DD11" i="13"/>
  <c r="E113" i="9" s="1"/>
  <c r="DC11" i="13"/>
  <c r="E112" i="9" s="1"/>
  <c r="DF11" i="13"/>
  <c r="CP11" i="13"/>
  <c r="DI11" i="13"/>
  <c r="B114" i="9" s="1"/>
  <c r="CX11" i="13"/>
  <c r="E108" i="9" s="1"/>
  <c r="CW11" i="13"/>
  <c r="DB11" i="13"/>
  <c r="CL11" i="13"/>
  <c r="G103" i="9" s="1"/>
  <c r="CZ11" i="13"/>
  <c r="E110" i="9" s="1"/>
  <c r="CU11" i="13"/>
  <c r="E107" i="9" s="1"/>
  <c r="CV11" i="13"/>
  <c r="DE11" i="13"/>
  <c r="E115" i="9" s="1"/>
  <c r="CT11" i="13"/>
  <c r="DG11" i="13"/>
  <c r="B115" i="9" s="1"/>
  <c r="J283" i="9"/>
  <c r="G283" i="9"/>
  <c r="H284" i="9" s="1"/>
  <c r="I283" i="9"/>
  <c r="CN6" i="13"/>
  <c r="E12" i="9" s="1"/>
  <c r="CR6" i="13"/>
  <c r="CS6" i="13"/>
  <c r="E15" i="9" s="1"/>
  <c r="DA6" i="13"/>
  <c r="E20" i="9" s="1"/>
  <c r="DH6" i="13"/>
  <c r="CU6" i="13"/>
  <c r="E16" i="9" s="1"/>
  <c r="CM6" i="13"/>
  <c r="CT6" i="13"/>
  <c r="CL6" i="13"/>
  <c r="G12" i="9" s="1"/>
  <c r="CW6" i="13"/>
  <c r="DC6" i="13"/>
  <c r="E21" i="9" s="1"/>
  <c r="DE6" i="13"/>
  <c r="E24" i="9" s="1"/>
  <c r="DF6" i="13"/>
  <c r="DB6" i="13"/>
  <c r="CX6" i="13"/>
  <c r="E17" i="9" s="1"/>
  <c r="DG6" i="13"/>
  <c r="B24" i="9" s="1"/>
  <c r="CV6" i="13"/>
  <c r="CY6" i="13"/>
  <c r="E18" i="9" s="1"/>
  <c r="CZ6" i="13"/>
  <c r="E19" i="9" s="1"/>
  <c r="DD6" i="13"/>
  <c r="E22" i="9" s="1"/>
  <c r="DI6" i="13"/>
  <c r="B23" i="9" s="1"/>
  <c r="CP6" i="13"/>
  <c r="CO6" i="13"/>
  <c r="E13" i="9" s="1"/>
  <c r="EF18" i="13"/>
  <c r="I251" i="9"/>
  <c r="G251" i="9"/>
  <c r="H252" i="9" s="1"/>
  <c r="J251" i="9"/>
  <c r="EF17" i="13"/>
  <c r="EF14" i="13"/>
  <c r="G90" i="9"/>
  <c r="H91" i="9" s="1"/>
  <c r="J90" i="9"/>
  <c r="I90" i="9"/>
  <c r="I276" i="9"/>
  <c r="I277" i="9"/>
  <c r="AB15" i="9"/>
  <c r="G277" i="9"/>
  <c r="AB14" i="9"/>
  <c r="I217" i="9"/>
  <c r="G218" i="9"/>
  <c r="I218" i="9"/>
  <c r="G29" i="17"/>
  <c r="E29" i="17"/>
  <c r="H29" i="17"/>
  <c r="CJ421" i="10"/>
  <c r="BQ420" i="10"/>
  <c r="R73" i="9"/>
  <c r="O73" i="9"/>
  <c r="N73" i="9"/>
  <c r="S73" i="9"/>
  <c r="E39" i="9" l="1"/>
  <c r="EC7" i="13"/>
  <c r="E27" i="9"/>
  <c r="CQ7" i="13"/>
  <c r="E30" i="9" s="1"/>
  <c r="E23" i="9"/>
  <c r="EC6" i="13"/>
  <c r="E11" i="9"/>
  <c r="CQ6" i="13"/>
  <c r="E14" i="9" s="1"/>
  <c r="AD11" i="9"/>
  <c r="AE11" i="9" s="1"/>
  <c r="I193" i="9"/>
  <c r="G193" i="9"/>
  <c r="H194" i="9" s="1"/>
  <c r="J193" i="9"/>
  <c r="J343" i="9"/>
  <c r="G343" i="9"/>
  <c r="H344" i="9" s="1"/>
  <c r="I343" i="9"/>
  <c r="G134" i="9"/>
  <c r="H135" i="9" s="1"/>
  <c r="I134" i="9"/>
  <c r="J134" i="9"/>
  <c r="I107" i="9"/>
  <c r="G107" i="9"/>
  <c r="H108" i="9" s="1"/>
  <c r="J107" i="9"/>
  <c r="J209" i="9"/>
  <c r="G209" i="9"/>
  <c r="H210" i="9" s="1"/>
  <c r="I209" i="9"/>
  <c r="I166" i="9"/>
  <c r="G166" i="9"/>
  <c r="H167" i="9" s="1"/>
  <c r="J166" i="9"/>
  <c r="AD14" i="9"/>
  <c r="AE14" i="9" s="1"/>
  <c r="G91" i="9"/>
  <c r="H92" i="9" s="1"/>
  <c r="I91" i="9"/>
  <c r="J91" i="9"/>
  <c r="AD15" i="9"/>
  <c r="AE15" i="9" s="1"/>
  <c r="I252" i="9"/>
  <c r="G252" i="9"/>
  <c r="H253" i="9" s="1"/>
  <c r="J252" i="9"/>
  <c r="I311" i="9"/>
  <c r="J311" i="9"/>
  <c r="G311" i="9"/>
  <c r="H312" i="9" s="1"/>
  <c r="AD12" i="9"/>
  <c r="I225" i="9"/>
  <c r="J225" i="9"/>
  <c r="G225" i="9"/>
  <c r="H226" i="9" s="1"/>
  <c r="J32" i="9"/>
  <c r="I32" i="9"/>
  <c r="G32" i="9"/>
  <c r="H33" i="9" s="1"/>
  <c r="J48" i="9"/>
  <c r="G48" i="9"/>
  <c r="H49" i="9" s="1"/>
  <c r="I48" i="9"/>
  <c r="J284" i="9"/>
  <c r="I284" i="9"/>
  <c r="G284" i="9"/>
  <c r="H285" i="9" s="1"/>
  <c r="G16" i="9"/>
  <c r="H17" i="9" s="1"/>
  <c r="I16" i="9"/>
  <c r="J16" i="9"/>
  <c r="I327" i="9"/>
  <c r="G327" i="9"/>
  <c r="H328" i="9" s="1"/>
  <c r="J327" i="9"/>
  <c r="J75" i="9"/>
  <c r="I75" i="9"/>
  <c r="G75" i="9"/>
  <c r="H76" i="9" s="1"/>
  <c r="G150" i="9"/>
  <c r="H151" i="9" s="1"/>
  <c r="J150" i="9"/>
  <c r="I150" i="9"/>
  <c r="AD13" i="9"/>
  <c r="AE13" i="9" s="1"/>
  <c r="FB9" i="13"/>
  <c r="FB10" i="13"/>
  <c r="FB8" i="13"/>
  <c r="FB20" i="13"/>
  <c r="FB19" i="13"/>
  <c r="FB17" i="13"/>
  <c r="FB23" i="13"/>
  <c r="FB12" i="13"/>
  <c r="FB15" i="13"/>
  <c r="FB7" i="13"/>
  <c r="FB16" i="13"/>
  <c r="FB14" i="13"/>
  <c r="FB6" i="13"/>
  <c r="FB13" i="13"/>
  <c r="FB21" i="13"/>
  <c r="FB22" i="13"/>
  <c r="FB11" i="13"/>
  <c r="FB18" i="13"/>
  <c r="J268" i="9"/>
  <c r="G268" i="9"/>
  <c r="H269" i="9" s="1"/>
  <c r="I268" i="9"/>
  <c r="AD16" i="9"/>
  <c r="AE16" i="9" s="1"/>
  <c r="CJ420" i="10"/>
  <c r="BQ419" i="10"/>
  <c r="E41" i="9" l="1"/>
  <c r="EF7" i="13"/>
  <c r="E25" i="9"/>
  <c r="EF6" i="13"/>
  <c r="M81" i="9"/>
  <c r="FC9" i="13"/>
  <c r="N81" i="9" s="1"/>
  <c r="FA9" i="13"/>
  <c r="L81" i="9" s="1"/>
  <c r="FH9" i="13"/>
  <c r="S81" i="9" s="1"/>
  <c r="FD9" i="13"/>
  <c r="O81" i="9" s="1"/>
  <c r="FE9" i="13"/>
  <c r="P81" i="9" s="1"/>
  <c r="FG9" i="13"/>
  <c r="R81" i="9" s="1"/>
  <c r="EY9" i="13"/>
  <c r="FF9" i="13"/>
  <c r="Q81" i="9" s="1"/>
  <c r="M78" i="9"/>
  <c r="EY6" i="13"/>
  <c r="FA6" i="13"/>
  <c r="FF6" i="13"/>
  <c r="Q78" i="9" s="1"/>
  <c r="FD6" i="13"/>
  <c r="O78" i="9" s="1"/>
  <c r="G226" i="9"/>
  <c r="H227" i="9" s="1"/>
  <c r="J226" i="9"/>
  <c r="I226" i="9"/>
  <c r="FG13" i="13"/>
  <c r="R85" i="9" s="1"/>
  <c r="FD13" i="13"/>
  <c r="O85" i="9" s="1"/>
  <c r="FF13" i="13"/>
  <c r="Q85" i="9" s="1"/>
  <c r="FE13" i="13"/>
  <c r="P85" i="9" s="1"/>
  <c r="FA13" i="13"/>
  <c r="L85" i="9" s="1"/>
  <c r="EY13" i="13"/>
  <c r="M85" i="9"/>
  <c r="FH13" i="13"/>
  <c r="S85" i="9" s="1"/>
  <c r="FC13" i="13"/>
  <c r="N85" i="9" s="1"/>
  <c r="FF16" i="13"/>
  <c r="Q88" i="9" s="1"/>
  <c r="M88" i="9"/>
  <c r="FD16" i="13"/>
  <c r="O88" i="9" s="1"/>
  <c r="FH16" i="13"/>
  <c r="S88" i="9" s="1"/>
  <c r="FA16" i="13"/>
  <c r="L88" i="9" s="1"/>
  <c r="FG16" i="13"/>
  <c r="R88" i="9" s="1"/>
  <c r="FE16" i="13"/>
  <c r="P88" i="9" s="1"/>
  <c r="FC16" i="13"/>
  <c r="N88" i="9" s="1"/>
  <c r="EY16" i="13"/>
  <c r="G285" i="9"/>
  <c r="H286" i="9" s="1"/>
  <c r="I285" i="9"/>
  <c r="J285" i="9"/>
  <c r="I92" i="9"/>
  <c r="G92" i="9"/>
  <c r="H93" i="9" s="1"/>
  <c r="J92" i="9"/>
  <c r="FE8" i="13"/>
  <c r="P80" i="9" s="1"/>
  <c r="FC8" i="13"/>
  <c r="N80" i="9" s="1"/>
  <c r="M80" i="9"/>
  <c r="FG8" i="13"/>
  <c r="R80" i="9" s="1"/>
  <c r="FD8" i="13"/>
  <c r="O80" i="9" s="1"/>
  <c r="FH8" i="13"/>
  <c r="S80" i="9" s="1"/>
  <c r="FF8" i="13"/>
  <c r="Q80" i="9" s="1"/>
  <c r="EY8" i="13"/>
  <c r="FA8" i="13"/>
  <c r="L80" i="9" s="1"/>
  <c r="FA7" i="13"/>
  <c r="L79" i="9" s="1"/>
  <c r="EY7" i="13"/>
  <c r="FC7" i="13" s="1"/>
  <c r="FF7" i="13"/>
  <c r="Q79" i="9" s="1"/>
  <c r="M79" i="9"/>
  <c r="FD7" i="13"/>
  <c r="O79" i="9" s="1"/>
  <c r="G135" i="9"/>
  <c r="H136" i="9" s="1"/>
  <c r="J135" i="9"/>
  <c r="I135" i="9"/>
  <c r="EY21" i="13"/>
  <c r="FG21" i="13"/>
  <c r="R93" i="9" s="1"/>
  <c r="FD21" i="13"/>
  <c r="O93" i="9" s="1"/>
  <c r="FA21" i="13"/>
  <c r="L93" i="9" s="1"/>
  <c r="FH21" i="13"/>
  <c r="S93" i="9" s="1"/>
  <c r="M93" i="9"/>
  <c r="FF21" i="13"/>
  <c r="Q93" i="9" s="1"/>
  <c r="FC21" i="13"/>
  <c r="N93" i="9" s="1"/>
  <c r="FE21" i="13"/>
  <c r="P93" i="9" s="1"/>
  <c r="FD15" i="13"/>
  <c r="O87" i="9" s="1"/>
  <c r="M87" i="9"/>
  <c r="FG15" i="13"/>
  <c r="R87" i="9" s="1"/>
  <c r="FC15" i="13"/>
  <c r="N87" i="9" s="1"/>
  <c r="EY15" i="13"/>
  <c r="FF15" i="13"/>
  <c r="Q87" i="9" s="1"/>
  <c r="FE15" i="13"/>
  <c r="P87" i="9" s="1"/>
  <c r="FA15" i="13"/>
  <c r="L87" i="9" s="1"/>
  <c r="FH15" i="13"/>
  <c r="S87" i="9" s="1"/>
  <c r="I151" i="9"/>
  <c r="G151" i="9"/>
  <c r="H152" i="9" s="1"/>
  <c r="J151" i="9"/>
  <c r="AE12" i="9"/>
  <c r="AF16" i="9" s="1"/>
  <c r="Z18" i="9"/>
  <c r="AA20" i="9" s="1"/>
  <c r="J108" i="9"/>
  <c r="I108" i="9"/>
  <c r="G108" i="9"/>
  <c r="H109" i="9" s="1"/>
  <c r="FA12" i="13"/>
  <c r="L84" i="9" s="1"/>
  <c r="EY12" i="13"/>
  <c r="FE12" i="13"/>
  <c r="P84" i="9" s="1"/>
  <c r="M84" i="9"/>
  <c r="FH12" i="13"/>
  <c r="S84" i="9" s="1"/>
  <c r="FG12" i="13"/>
  <c r="R84" i="9" s="1"/>
  <c r="FD12" i="13"/>
  <c r="O84" i="9" s="1"/>
  <c r="FC12" i="13"/>
  <c r="N84" i="9" s="1"/>
  <c r="FF12" i="13"/>
  <c r="Q84" i="9" s="1"/>
  <c r="G312" i="9"/>
  <c r="H313" i="9" s="1"/>
  <c r="I312" i="9"/>
  <c r="J312" i="9"/>
  <c r="I167" i="9"/>
  <c r="G167" i="9"/>
  <c r="H168" i="9" s="1"/>
  <c r="J167" i="9"/>
  <c r="G344" i="9"/>
  <c r="H345" i="9" s="1"/>
  <c r="I344" i="9"/>
  <c r="J344" i="9"/>
  <c r="FH14" i="13"/>
  <c r="S86" i="9" s="1"/>
  <c r="M86" i="9"/>
  <c r="EY14" i="13"/>
  <c r="FE14" i="13"/>
  <c r="P86" i="9" s="1"/>
  <c r="FF14" i="13"/>
  <c r="Q86" i="9" s="1"/>
  <c r="FC14" i="13"/>
  <c r="N86" i="9" s="1"/>
  <c r="FA14" i="13"/>
  <c r="L86" i="9" s="1"/>
  <c r="FG14" i="13"/>
  <c r="R86" i="9" s="1"/>
  <c r="FD14" i="13"/>
  <c r="O86" i="9" s="1"/>
  <c r="G269" i="9"/>
  <c r="H270" i="9" s="1"/>
  <c r="J269" i="9"/>
  <c r="I269" i="9"/>
  <c r="FH23" i="13"/>
  <c r="S95" i="9" s="1"/>
  <c r="FG23" i="13"/>
  <c r="R95" i="9" s="1"/>
  <c r="EY23" i="13"/>
  <c r="FD23" i="13"/>
  <c r="O95" i="9" s="1"/>
  <c r="FF23" i="13"/>
  <c r="Q95" i="9" s="1"/>
  <c r="M95" i="9"/>
  <c r="FC23" i="13"/>
  <c r="N95" i="9" s="1"/>
  <c r="FA23" i="13"/>
  <c r="L95" i="9" s="1"/>
  <c r="FE23" i="13"/>
  <c r="P95" i="9" s="1"/>
  <c r="G49" i="9"/>
  <c r="H50" i="9" s="1"/>
  <c r="I49" i="9"/>
  <c r="J49" i="9"/>
  <c r="G17" i="9"/>
  <c r="H18" i="9" s="1"/>
  <c r="J17" i="9"/>
  <c r="I17" i="9"/>
  <c r="G76" i="9"/>
  <c r="H77" i="9" s="1"/>
  <c r="J76" i="9"/>
  <c r="I76" i="9"/>
  <c r="FD18" i="13"/>
  <c r="O90" i="9" s="1"/>
  <c r="FC18" i="13"/>
  <c r="N90" i="9" s="1"/>
  <c r="M90" i="9"/>
  <c r="EY18" i="13"/>
  <c r="FA18" i="13"/>
  <c r="L90" i="9" s="1"/>
  <c r="FF18" i="13"/>
  <c r="Q90" i="9" s="1"/>
  <c r="FE18" i="13"/>
  <c r="P90" i="9" s="1"/>
  <c r="FH18" i="13"/>
  <c r="S90" i="9" s="1"/>
  <c r="FG18" i="13"/>
  <c r="R90" i="9" s="1"/>
  <c r="FC17" i="13"/>
  <c r="N89" i="9" s="1"/>
  <c r="FF17" i="13"/>
  <c r="Q89" i="9" s="1"/>
  <c r="FH17" i="13"/>
  <c r="S89" i="9" s="1"/>
  <c r="FA17" i="13"/>
  <c r="L89" i="9" s="1"/>
  <c r="FD17" i="13"/>
  <c r="O89" i="9" s="1"/>
  <c r="FE17" i="13"/>
  <c r="P89" i="9" s="1"/>
  <c r="FG17" i="13"/>
  <c r="R89" i="9" s="1"/>
  <c r="M89" i="9"/>
  <c r="EY17" i="13"/>
  <c r="FC10" i="13"/>
  <c r="N82" i="9" s="1"/>
  <c r="EY10" i="13"/>
  <c r="FA10" i="13"/>
  <c r="L82" i="9" s="1"/>
  <c r="FH10" i="13"/>
  <c r="S82" i="9" s="1"/>
  <c r="FG10" i="13"/>
  <c r="R82" i="9" s="1"/>
  <c r="FE10" i="13"/>
  <c r="P82" i="9" s="1"/>
  <c r="FD10" i="13"/>
  <c r="O82" i="9" s="1"/>
  <c r="M82" i="9"/>
  <c r="FF10" i="13"/>
  <c r="Q82" i="9" s="1"/>
  <c r="FH11" i="13"/>
  <c r="S83" i="9" s="1"/>
  <c r="FF11" i="13"/>
  <c r="Q83" i="9" s="1"/>
  <c r="EY11" i="13"/>
  <c r="M83" i="9"/>
  <c r="FC11" i="13"/>
  <c r="N83" i="9" s="1"/>
  <c r="FD11" i="13"/>
  <c r="O83" i="9" s="1"/>
  <c r="FE11" i="13"/>
  <c r="P83" i="9" s="1"/>
  <c r="FG11" i="13"/>
  <c r="R83" i="9" s="1"/>
  <c r="FA11" i="13"/>
  <c r="L83" i="9" s="1"/>
  <c r="FA19" i="13"/>
  <c r="L91" i="9" s="1"/>
  <c r="FH19" i="13"/>
  <c r="S91" i="9" s="1"/>
  <c r="M91" i="9"/>
  <c r="FG19" i="13"/>
  <c r="R91" i="9" s="1"/>
  <c r="EY19" i="13"/>
  <c r="FF19" i="13"/>
  <c r="Q91" i="9" s="1"/>
  <c r="FD19" i="13"/>
  <c r="O91" i="9" s="1"/>
  <c r="FE19" i="13"/>
  <c r="P91" i="9" s="1"/>
  <c r="FC19" i="13"/>
  <c r="N91" i="9" s="1"/>
  <c r="I33" i="9"/>
  <c r="G33" i="9"/>
  <c r="H34" i="9" s="1"/>
  <c r="J33" i="9"/>
  <c r="I210" i="9"/>
  <c r="G210" i="9"/>
  <c r="H211" i="9" s="1"/>
  <c r="J210" i="9"/>
  <c r="J194" i="9"/>
  <c r="G194" i="9"/>
  <c r="H195" i="9" s="1"/>
  <c r="I194" i="9"/>
  <c r="FF22" i="13"/>
  <c r="Q94" i="9" s="1"/>
  <c r="FC22" i="13"/>
  <c r="N94" i="9" s="1"/>
  <c r="M94" i="9"/>
  <c r="FD22" i="13"/>
  <c r="O94" i="9" s="1"/>
  <c r="FE22" i="13"/>
  <c r="P94" i="9" s="1"/>
  <c r="EY22" i="13"/>
  <c r="FG22" i="13"/>
  <c r="R94" i="9" s="1"/>
  <c r="FA22" i="13"/>
  <c r="L94" i="9" s="1"/>
  <c r="FH22" i="13"/>
  <c r="S94" i="9" s="1"/>
  <c r="FA20" i="13"/>
  <c r="L92" i="9" s="1"/>
  <c r="M92" i="9"/>
  <c r="FE20" i="13"/>
  <c r="P92" i="9" s="1"/>
  <c r="FC20" i="13"/>
  <c r="N92" i="9" s="1"/>
  <c r="FF20" i="13"/>
  <c r="Q92" i="9" s="1"/>
  <c r="EY20" i="13"/>
  <c r="FH20" i="13"/>
  <c r="S92" i="9" s="1"/>
  <c r="FD20" i="13"/>
  <c r="O92" i="9" s="1"/>
  <c r="FG20" i="13"/>
  <c r="R92" i="9" s="1"/>
  <c r="I328" i="9"/>
  <c r="J328" i="9"/>
  <c r="G328" i="9"/>
  <c r="H329" i="9" s="1"/>
  <c r="I253" i="9"/>
  <c r="J253" i="9"/>
  <c r="G253" i="9"/>
  <c r="H254" i="9" s="1"/>
  <c r="BQ418" i="10"/>
  <c r="CJ419" i="10"/>
  <c r="N79" i="9" l="1"/>
  <c r="FE7" i="13"/>
  <c r="P79" i="9" s="1"/>
  <c r="FC6" i="13"/>
  <c r="N78" i="9" s="1"/>
  <c r="I50" i="9"/>
  <c r="J50" i="9"/>
  <c r="G50" i="9"/>
  <c r="J270" i="9"/>
  <c r="I270" i="9"/>
  <c r="G270" i="9"/>
  <c r="I345" i="9"/>
  <c r="J345" i="9"/>
  <c r="G345" i="9"/>
  <c r="J329" i="9"/>
  <c r="G329" i="9"/>
  <c r="I329" i="9"/>
  <c r="J93" i="9"/>
  <c r="I93" i="9"/>
  <c r="G93" i="9"/>
  <c r="I211" i="9"/>
  <c r="G211" i="9"/>
  <c r="J211" i="9"/>
  <c r="I227" i="9"/>
  <c r="G227" i="9"/>
  <c r="J227" i="9"/>
  <c r="J109" i="9"/>
  <c r="G109" i="9"/>
  <c r="I109" i="9"/>
  <c r="I77" i="9"/>
  <c r="G77" i="9"/>
  <c r="J77" i="9"/>
  <c r="J313" i="9"/>
  <c r="I313" i="9"/>
  <c r="G313" i="9"/>
  <c r="G294" i="9"/>
  <c r="G58" i="9"/>
  <c r="G176" i="9"/>
  <c r="G353" i="9"/>
  <c r="G117" i="9"/>
  <c r="G235" i="9"/>
  <c r="G136" i="9"/>
  <c r="J136" i="9"/>
  <c r="I136" i="9"/>
  <c r="G286" i="9"/>
  <c r="J286" i="9"/>
  <c r="I286" i="9"/>
  <c r="I168" i="9"/>
  <c r="G168" i="9"/>
  <c r="J168" i="9"/>
  <c r="I18" i="9"/>
  <c r="G18" i="9"/>
  <c r="J18" i="9"/>
  <c r="L78" i="9"/>
  <c r="AA23" i="9" s="1"/>
  <c r="FK4" i="13"/>
  <c r="I254" i="9"/>
  <c r="G254" i="9"/>
  <c r="J254" i="9"/>
  <c r="G152" i="9"/>
  <c r="J152" i="9"/>
  <c r="I152" i="9"/>
  <c r="G34" i="9"/>
  <c r="I34" i="9"/>
  <c r="J34" i="9"/>
  <c r="G195" i="9"/>
  <c r="J195" i="9"/>
  <c r="I195" i="9"/>
  <c r="CJ418" i="10"/>
  <c r="BQ417" i="10"/>
  <c r="FE6" i="13" l="1"/>
  <c r="P78" i="9" s="1"/>
  <c r="FG7" i="13"/>
  <c r="FK5" i="13"/>
  <c r="FK11" i="13" s="1"/>
  <c r="O97" i="9"/>
  <c r="P76" i="9"/>
  <c r="R77" i="9"/>
  <c r="L76" i="9"/>
  <c r="Q77" i="9"/>
  <c r="L75" i="9"/>
  <c r="Q76" i="9"/>
  <c r="N76" i="9"/>
  <c r="M76" i="9"/>
  <c r="O76" i="9"/>
  <c r="S76" i="9"/>
  <c r="CJ417" i="10"/>
  <c r="BQ416" i="10"/>
  <c r="FG6" i="13" l="1"/>
  <c r="FH7" i="13"/>
  <c r="S79" i="9" s="1"/>
  <c r="R79" i="9"/>
  <c r="P100" i="9"/>
  <c r="FK6" i="13"/>
  <c r="R78" i="9"/>
  <c r="P97" i="9"/>
  <c r="FH6" i="13"/>
  <c r="CJ416" i="10"/>
  <c r="BQ415" i="10"/>
  <c r="FK12" i="13" l="1"/>
  <c r="R97" i="9"/>
  <c r="FK7" i="13"/>
  <c r="S78" i="9"/>
  <c r="CJ415" i="10"/>
  <c r="BQ414" i="10"/>
  <c r="P101" i="9" l="1"/>
  <c r="FK13" i="13"/>
  <c r="P102" i="9" s="1"/>
  <c r="BQ413" i="10"/>
  <c r="CJ414" i="10"/>
  <c r="CJ413" i="10" l="1"/>
  <c r="BQ412" i="10"/>
  <c r="CJ412" i="10" l="1"/>
  <c r="BQ411" i="10"/>
  <c r="CJ411" i="10" l="1"/>
  <c r="BQ410" i="10"/>
  <c r="CJ410" i="10" l="1"/>
  <c r="BQ409" i="10"/>
  <c r="BQ408" i="10" l="1"/>
  <c r="BQ407" i="10" s="1"/>
  <c r="BQ406" i="10" s="1"/>
  <c r="BQ405" i="10" s="1"/>
  <c r="BQ404" i="10" s="1"/>
  <c r="BQ403" i="10" s="1"/>
  <c r="BQ402" i="10" s="1"/>
  <c r="BQ401" i="10" s="1"/>
  <c r="CJ409" i="10"/>
  <c r="CJ408" i="10" s="1"/>
  <c r="CJ407" i="10" s="1"/>
  <c r="CJ406" i="10" s="1"/>
  <c r="CJ405" i="10" s="1"/>
  <c r="CJ404" i="10" s="1"/>
  <c r="CJ403" i="10" s="1"/>
  <c r="CJ402" i="10" s="1"/>
  <c r="CJ401" i="10" l="1"/>
  <c r="BQ400" i="10"/>
  <c r="CJ400" i="10" l="1"/>
  <c r="BQ399" i="10"/>
  <c r="CJ399" i="10" l="1"/>
  <c r="BQ398" i="10"/>
  <c r="CJ398" i="10" l="1"/>
  <c r="BQ397" i="10"/>
  <c r="BQ396" i="10" l="1"/>
  <c r="CJ397" i="10"/>
  <c r="BQ395" i="10" l="1"/>
  <c r="CJ396" i="10"/>
  <c r="CJ395" i="10" l="1"/>
  <c r="BQ394" i="10"/>
  <c r="CJ394" i="10" l="1"/>
  <c r="BQ393" i="10"/>
  <c r="CJ393" i="10" l="1"/>
  <c r="BQ392" i="10"/>
  <c r="CJ392" i="10" l="1"/>
  <c r="BQ391" i="10"/>
  <c r="BQ390" i="10" l="1"/>
  <c r="CJ391" i="10"/>
  <c r="BQ389" i="10" l="1"/>
  <c r="CJ390" i="10"/>
  <c r="BQ388" i="10" l="1"/>
  <c r="CJ389" i="10"/>
  <c r="BQ387" i="10" l="1"/>
  <c r="CJ388" i="10"/>
  <c r="CJ387" i="10" l="1"/>
  <c r="BQ386" i="10"/>
  <c r="BQ385" i="10" l="1"/>
  <c r="CJ386" i="10"/>
  <c r="CJ385" i="10" l="1"/>
  <c r="BQ384" i="10"/>
  <c r="BQ383" i="10" l="1"/>
  <c r="CJ384" i="10"/>
  <c r="CJ383" i="10" l="1"/>
  <c r="BQ382" i="10"/>
  <c r="CJ382" i="10" l="1"/>
  <c r="BQ381" i="10"/>
  <c r="CJ381" i="10" l="1"/>
  <c r="BQ380" i="10"/>
  <c r="BQ379" i="10" l="1"/>
  <c r="CJ380" i="10"/>
  <c r="CJ379" i="10" l="1"/>
  <c r="BQ378" i="10"/>
  <c r="CJ378" i="10" l="1"/>
  <c r="BQ377" i="10"/>
  <c r="CJ377" i="10" l="1"/>
  <c r="BQ376" i="10"/>
  <c r="BQ375" i="10" l="1"/>
  <c r="CJ376" i="10"/>
  <c r="CJ375" i="10" l="1"/>
  <c r="BQ374" i="10"/>
  <c r="CJ374" i="10" l="1"/>
  <c r="BQ373" i="10"/>
  <c r="CJ373" i="10" l="1"/>
  <c r="BQ372" i="10"/>
  <c r="CJ372" i="10" l="1"/>
  <c r="BQ371" i="10"/>
  <c r="BQ370" i="10" l="1"/>
  <c r="CJ371" i="10"/>
  <c r="BQ369" i="10" l="1"/>
  <c r="CJ370" i="10"/>
  <c r="BQ368" i="10" l="1"/>
  <c r="CJ369" i="10"/>
  <c r="BQ367" i="10" l="1"/>
  <c r="CJ368" i="10"/>
  <c r="BQ366" i="10" l="1"/>
  <c r="CJ367" i="10"/>
  <c r="CJ366" i="10" l="1"/>
  <c r="BQ365" i="10"/>
  <c r="CJ365" i="10" l="1"/>
  <c r="BQ364" i="10"/>
  <c r="CJ364" i="10" l="1"/>
  <c r="BQ363" i="10"/>
  <c r="BQ362" i="10" l="1"/>
  <c r="CJ363" i="10"/>
  <c r="CJ362" i="10" l="1"/>
  <c r="BQ361" i="10"/>
  <c r="CJ361" i="10" l="1"/>
  <c r="BQ360" i="10"/>
  <c r="CJ360" i="10" l="1"/>
  <c r="BQ359" i="10"/>
  <c r="CJ359" i="10" l="1"/>
  <c r="BQ358" i="10"/>
  <c r="CJ358" i="10" l="1"/>
  <c r="BQ357" i="10"/>
  <c r="CJ357" i="10" l="1"/>
  <c r="BQ356" i="10"/>
  <c r="CJ356" i="10" l="1"/>
  <c r="BQ355" i="10"/>
  <c r="CJ355" i="10" l="1"/>
  <c r="BQ354" i="10"/>
  <c r="BQ353" i="10" l="1"/>
  <c r="CJ354" i="10"/>
  <c r="CJ353" i="10" l="1"/>
  <c r="BQ352" i="10"/>
  <c r="BQ351" i="10" l="1"/>
  <c r="CJ352" i="10"/>
  <c r="BQ350" i="10" l="1"/>
  <c r="CJ351" i="10"/>
  <c r="CJ350" i="10" l="1"/>
  <c r="BQ349" i="10"/>
  <c r="CJ349" i="10" l="1"/>
  <c r="BQ348" i="10"/>
  <c r="CJ348" i="10" l="1"/>
  <c r="BQ347" i="10"/>
  <c r="CJ347" i="10" l="1"/>
  <c r="BQ346" i="10"/>
  <c r="CJ346" i="10" l="1"/>
  <c r="BQ345" i="10"/>
  <c r="BQ344" i="10" l="1"/>
  <c r="CJ345" i="10"/>
  <c r="CJ344" i="10" l="1"/>
  <c r="BQ343" i="10"/>
  <c r="CJ343" i="10" l="1"/>
  <c r="BQ342" i="10"/>
  <c r="BQ341" i="10" l="1"/>
  <c r="CJ342" i="10"/>
  <c r="CJ341" i="10" l="1"/>
  <c r="BQ340" i="10"/>
  <c r="CJ340" i="10" l="1"/>
  <c r="BQ339" i="10"/>
  <c r="CJ339" i="10" l="1"/>
  <c r="BQ338" i="10"/>
  <c r="BQ337" i="10" l="1"/>
  <c r="CJ338" i="10"/>
  <c r="CJ337" i="10" l="1"/>
  <c r="BQ336" i="10"/>
  <c r="BQ335" i="10" l="1"/>
  <c r="CJ336" i="10"/>
  <c r="CJ335" i="10" l="1"/>
  <c r="BQ334" i="10"/>
  <c r="CJ334" i="10" l="1"/>
  <c r="BQ333" i="10"/>
  <c r="CJ333" i="10" l="1"/>
  <c r="BQ332" i="10"/>
  <c r="CJ332" i="10" l="1"/>
  <c r="BQ331" i="10"/>
  <c r="BQ330" i="10" l="1"/>
  <c r="CJ331" i="10"/>
  <c r="CJ330" i="10" l="1"/>
  <c r="BQ329" i="10"/>
  <c r="CJ329" i="10" l="1"/>
  <c r="BQ328" i="10"/>
  <c r="BQ327" i="10" l="1"/>
  <c r="CJ328" i="10"/>
  <c r="CJ327" i="10" l="1"/>
  <c r="BQ326" i="10"/>
  <c r="BQ325" i="10" l="1"/>
  <c r="CJ326" i="10"/>
  <c r="BQ324" i="10" l="1"/>
  <c r="CJ325" i="10"/>
  <c r="BQ323" i="10" l="1"/>
  <c r="CJ324" i="10"/>
  <c r="CJ323" i="10" l="1"/>
  <c r="BQ322" i="10"/>
  <c r="BQ321" i="10" l="1"/>
  <c r="CJ322" i="10"/>
  <c r="BQ320" i="10" l="1"/>
  <c r="CJ321" i="10"/>
  <c r="CJ320" i="10" l="1"/>
  <c r="BQ319" i="10"/>
  <c r="CJ319" i="10" l="1"/>
  <c r="BQ318" i="10"/>
  <c r="CJ318" i="10" l="1"/>
  <c r="BQ317" i="10"/>
  <c r="CJ317" i="10" l="1"/>
  <c r="BQ316" i="10"/>
  <c r="CJ316" i="10" l="1"/>
  <c r="BQ315" i="10"/>
  <c r="BQ314" i="10" l="1"/>
  <c r="CJ315" i="10"/>
  <c r="CJ314" i="10" l="1"/>
  <c r="BQ313" i="10"/>
  <c r="BQ312" i="10" l="1"/>
  <c r="CJ313" i="10"/>
  <c r="BQ311" i="10" l="1"/>
  <c r="CJ312" i="10"/>
  <c r="CJ311" i="10" l="1"/>
  <c r="BQ310" i="10"/>
  <c r="BQ309" i="10" l="1"/>
  <c r="CJ310" i="10"/>
  <c r="BQ308" i="10" l="1"/>
  <c r="CJ309" i="10"/>
  <c r="CJ308" i="10" l="1"/>
  <c r="BQ307" i="10"/>
  <c r="CJ307" i="10" l="1"/>
  <c r="BQ306" i="10"/>
  <c r="BQ305" i="10" l="1"/>
  <c r="CJ306" i="10"/>
  <c r="CJ305" i="10" l="1"/>
  <c r="BQ304" i="10"/>
  <c r="BQ303" i="10" l="1"/>
  <c r="CJ304" i="10"/>
  <c r="BQ302" i="10" l="1"/>
  <c r="CJ303" i="10"/>
  <c r="CJ302" i="10" l="1"/>
  <c r="BQ301" i="10"/>
  <c r="CJ301" i="10" l="1"/>
  <c r="BQ300" i="10"/>
  <c r="BQ299" i="10" l="1"/>
  <c r="CJ300" i="10"/>
  <c r="CJ299" i="10" l="1"/>
  <c r="BQ298" i="10"/>
  <c r="CJ298" i="10" l="1"/>
  <c r="BQ297" i="10"/>
  <c r="CJ297" i="10" l="1"/>
  <c r="BQ296" i="10"/>
  <c r="BQ295" i="10" l="1"/>
  <c r="CJ296" i="10"/>
  <c r="BQ294" i="10" l="1"/>
  <c r="CJ295" i="10"/>
  <c r="BQ293" i="10" l="1"/>
  <c r="CJ294" i="10"/>
  <c r="BQ292" i="10" l="1"/>
  <c r="CJ293" i="10"/>
  <c r="CJ292" i="10" l="1"/>
  <c r="BQ291" i="10"/>
  <c r="BQ290" i="10" l="1"/>
  <c r="CJ291" i="10"/>
  <c r="CJ290" i="10" l="1"/>
  <c r="BQ289" i="10"/>
  <c r="CJ289" i="10" l="1"/>
  <c r="BQ288" i="10"/>
  <c r="CJ288" i="10" l="1"/>
  <c r="BQ287" i="10"/>
  <c r="CJ287" i="10" l="1"/>
  <c r="BQ286" i="10"/>
  <c r="CJ286" i="10" l="1"/>
  <c r="BQ285" i="10"/>
  <c r="BQ284" i="10" l="1"/>
  <c r="CJ285" i="10"/>
  <c r="CJ284" i="10" l="1"/>
  <c r="BQ283" i="10"/>
  <c r="BQ282" i="10" l="1"/>
  <c r="CJ283" i="10"/>
  <c r="CJ282" i="10" l="1"/>
  <c r="BQ281" i="10"/>
  <c r="CJ281" i="10" l="1"/>
  <c r="BQ280" i="10"/>
  <c r="BQ279" i="10" l="1"/>
  <c r="CJ280" i="10"/>
  <c r="CJ279" i="10" l="1"/>
  <c r="BQ278" i="10"/>
  <c r="CJ278" i="10" l="1"/>
  <c r="BQ277" i="10"/>
  <c r="CJ277" i="10" l="1"/>
  <c r="BQ276" i="10"/>
  <c r="BQ275" i="10" l="1"/>
  <c r="CJ276" i="10"/>
  <c r="BQ274" i="10" l="1"/>
  <c r="CJ275" i="10"/>
  <c r="CJ274" i="10" l="1"/>
  <c r="BQ273" i="10"/>
  <c r="CJ273" i="10" l="1"/>
  <c r="BQ272" i="10"/>
  <c r="CJ272" i="10" l="1"/>
  <c r="BQ271" i="10"/>
  <c r="BQ270" i="10" l="1"/>
  <c r="CJ271" i="10"/>
  <c r="BQ269" i="10" l="1"/>
  <c r="CJ270" i="10"/>
  <c r="BQ268" i="10" l="1"/>
  <c r="CJ269" i="10"/>
  <c r="BQ267" i="10" l="1"/>
  <c r="CJ268" i="10"/>
  <c r="BQ266" i="10" l="1"/>
  <c r="CJ267" i="10"/>
  <c r="CJ266" i="10" l="1"/>
  <c r="BQ265" i="10"/>
  <c r="BQ264" i="10" l="1"/>
  <c r="CJ265" i="10"/>
  <c r="BQ263" i="10" l="1"/>
  <c r="CJ264" i="10"/>
  <c r="BQ262" i="10" l="1"/>
  <c r="CJ263" i="10"/>
  <c r="CJ262" i="10" l="1"/>
  <c r="BQ261" i="10"/>
  <c r="BQ260" i="10" l="1"/>
  <c r="CJ261" i="10"/>
  <c r="CJ260" i="10" l="1"/>
  <c r="BQ259" i="10"/>
  <c r="CJ259" i="10" l="1"/>
  <c r="BQ258" i="10"/>
  <c r="BQ257" i="10" l="1"/>
  <c r="CJ258" i="10"/>
  <c r="BQ256" i="10" l="1"/>
  <c r="CJ257" i="10"/>
  <c r="BQ255" i="10" l="1"/>
  <c r="CJ256" i="10"/>
  <c r="BQ254" i="10" l="1"/>
  <c r="CJ255" i="10"/>
  <c r="CJ254" i="10" l="1"/>
  <c r="BQ253" i="10"/>
  <c r="BQ252" i="10" l="1"/>
  <c r="CJ253" i="10"/>
  <c r="CJ252" i="10" l="1"/>
  <c r="BQ251" i="10"/>
  <c r="CJ251" i="10" l="1"/>
  <c r="BQ250" i="10"/>
  <c r="BQ249" i="10" l="1"/>
  <c r="CJ250" i="10"/>
  <c r="BQ248" i="10" l="1"/>
  <c r="CJ249" i="10"/>
  <c r="CJ248" i="10" l="1"/>
  <c r="BQ247" i="10"/>
  <c r="CJ247" i="10" l="1"/>
  <c r="BQ246" i="10"/>
  <c r="BQ245" i="10" l="1"/>
  <c r="CJ246" i="10"/>
  <c r="BQ244" i="10" l="1"/>
  <c r="CJ245" i="10"/>
  <c r="BQ243" i="10" l="1"/>
  <c r="CJ244" i="10"/>
  <c r="CJ243" i="10" l="1"/>
  <c r="BQ242" i="10"/>
  <c r="BQ241" i="10" l="1"/>
  <c r="CJ242" i="10"/>
  <c r="CJ241" i="10" l="1"/>
  <c r="BQ240" i="10"/>
  <c r="BQ239" i="10" l="1"/>
  <c r="CJ240" i="10"/>
  <c r="BQ238" i="10" l="1"/>
  <c r="CJ239" i="10"/>
  <c r="CJ238" i="10" l="1"/>
  <c r="BQ237" i="10"/>
  <c r="CJ237" i="10" l="1"/>
  <c r="BQ236" i="10"/>
  <c r="CJ236" i="10" l="1"/>
  <c r="BQ235" i="10"/>
  <c r="BQ234" i="10" l="1"/>
  <c r="CJ235" i="10"/>
  <c r="BQ233" i="10" l="1"/>
  <c r="CJ234" i="10"/>
  <c r="CJ233" i="10" l="1"/>
  <c r="BQ232" i="10"/>
  <c r="BQ231" i="10" l="1"/>
  <c r="CJ232" i="10"/>
  <c r="CJ231" i="10" l="1"/>
  <c r="BQ230" i="10"/>
  <c r="BQ229" i="10" l="1"/>
  <c r="CJ230" i="10"/>
  <c r="BQ228" i="10" l="1"/>
  <c r="CJ229" i="10"/>
  <c r="CJ228" i="10" l="1"/>
  <c r="BQ227" i="10"/>
  <c r="CJ227" i="10" l="1"/>
  <c r="BQ226" i="10"/>
  <c r="CJ226" i="10" l="1"/>
  <c r="BQ225" i="10"/>
  <c r="CJ225" i="10" l="1"/>
  <c r="BQ224" i="10"/>
  <c r="CJ224" i="10" l="1"/>
  <c r="BQ223" i="10"/>
  <c r="BQ222" i="10" l="1"/>
  <c r="CJ223" i="10"/>
  <c r="CJ222" i="10" l="1"/>
  <c r="BQ221" i="10"/>
  <c r="CJ221" i="10" l="1"/>
  <c r="BQ220" i="10"/>
  <c r="CJ220" i="10" l="1"/>
  <c r="BQ219" i="10"/>
  <c r="BQ218" i="10" l="1"/>
  <c r="CJ219" i="10"/>
  <c r="CJ218" i="10" l="1"/>
  <c r="BQ217" i="10"/>
  <c r="BQ216" i="10" l="1"/>
  <c r="CJ217" i="10"/>
  <c r="BQ215" i="10" l="1"/>
  <c r="CJ216" i="10"/>
  <c r="CJ215" i="10" l="1"/>
  <c r="BQ214" i="10"/>
  <c r="BQ213" i="10" l="1"/>
  <c r="CJ214" i="10"/>
  <c r="CJ213" i="10" l="1"/>
  <c r="BQ212" i="10"/>
  <c r="BQ211" i="10" l="1"/>
  <c r="CJ212" i="10"/>
  <c r="CJ211" i="10" l="1"/>
  <c r="BQ210" i="10"/>
  <c r="CJ210" i="10" l="1"/>
  <c r="BQ209" i="10"/>
  <c r="CJ209" i="10" l="1"/>
  <c r="BQ208" i="10"/>
  <c r="BQ207" i="10" l="1"/>
  <c r="CJ208" i="10"/>
  <c r="BQ206" i="10" l="1"/>
  <c r="CJ207" i="10"/>
  <c r="BQ205" i="10" l="1"/>
  <c r="CJ206" i="10"/>
  <c r="BQ204" i="10" l="1"/>
  <c r="CJ205" i="10"/>
  <c r="CJ204" i="10" l="1"/>
  <c r="BQ203" i="10"/>
  <c r="CJ203" i="10" l="1"/>
  <c r="BQ202" i="10"/>
  <c r="CJ202" i="10" l="1"/>
  <c r="BQ201" i="10"/>
  <c r="BQ200" i="10" l="1"/>
  <c r="CJ201" i="10"/>
  <c r="BQ199" i="10" l="1"/>
  <c r="CJ200" i="10"/>
  <c r="BQ198" i="10" l="1"/>
  <c r="CJ199" i="10"/>
  <c r="BQ197" i="10" l="1"/>
  <c r="CJ198" i="10"/>
  <c r="BQ196" i="10" l="1"/>
  <c r="CJ197" i="10"/>
  <c r="CJ196" i="10" l="1"/>
  <c r="BQ195" i="10"/>
  <c r="BQ194" i="10" l="1"/>
  <c r="CJ195" i="10"/>
  <c r="BQ193" i="10" l="1"/>
  <c r="CJ194" i="10"/>
  <c r="BQ192" i="10" l="1"/>
  <c r="CJ193" i="10"/>
  <c r="BQ191" i="10" l="1"/>
  <c r="CJ192" i="10"/>
  <c r="CJ191" i="10" l="1"/>
  <c r="BQ190" i="10"/>
  <c r="BQ189" i="10" l="1"/>
  <c r="CJ190" i="10"/>
  <c r="BQ188" i="10" l="1"/>
  <c r="CJ189" i="10"/>
  <c r="BQ187" i="10" l="1"/>
  <c r="CJ188" i="10"/>
  <c r="CJ187" i="10" l="1"/>
  <c r="BQ186" i="10"/>
  <c r="BQ185" i="10" l="1"/>
  <c r="CJ186" i="10"/>
  <c r="BQ184" i="10" l="1"/>
  <c r="CJ185" i="10"/>
  <c r="CJ184" i="10" l="1"/>
  <c r="BQ183" i="10"/>
  <c r="CJ183" i="10" l="1"/>
  <c r="BQ182" i="10"/>
  <c r="BQ181" i="10" l="1"/>
  <c r="CJ182" i="10"/>
  <c r="CJ181" i="10" l="1"/>
  <c r="BQ180" i="10"/>
  <c r="CJ180" i="10" l="1"/>
  <c r="BQ179" i="10"/>
  <c r="BQ178" i="10" l="1"/>
  <c r="CJ179" i="10"/>
  <c r="CJ178" i="10" l="1"/>
  <c r="BQ177" i="10"/>
  <c r="BQ176" i="10" l="1"/>
  <c r="CJ177" i="10"/>
  <c r="CJ176" i="10" l="1"/>
  <c r="BQ175" i="10"/>
  <c r="BQ174" i="10" l="1"/>
  <c r="CJ175" i="10"/>
  <c r="BQ173" i="10" l="1"/>
  <c r="CJ174" i="10"/>
  <c r="CJ173" i="10" l="1"/>
  <c r="BQ172" i="10"/>
  <c r="CJ172" i="10" l="1"/>
  <c r="BQ171" i="10"/>
  <c r="BQ170" i="10" l="1"/>
  <c r="CJ171" i="10"/>
  <c r="CJ170" i="10" l="1"/>
  <c r="BQ169" i="10"/>
  <c r="CJ169" i="10" l="1"/>
  <c r="BQ168" i="10"/>
  <c r="CJ168" i="10" l="1"/>
  <c r="BQ167" i="10"/>
  <c r="BQ166" i="10" l="1"/>
  <c r="CJ167" i="10"/>
  <c r="BQ165" i="10" l="1"/>
  <c r="CJ166" i="10"/>
  <c r="CJ165" i="10" l="1"/>
  <c r="BQ164" i="10"/>
  <c r="CJ164" i="10" l="1"/>
  <c r="BQ163" i="10"/>
  <c r="BQ162" i="10" l="1"/>
  <c r="CJ163" i="10"/>
  <c r="CJ162" i="10" l="1"/>
  <c r="BQ161" i="10"/>
  <c r="CJ161" i="10" l="1"/>
  <c r="BQ160" i="10"/>
  <c r="BQ159" i="10" l="1"/>
  <c r="CJ160" i="10"/>
  <c r="BQ158" i="10" l="1"/>
  <c r="CJ159" i="10"/>
  <c r="CJ158" i="10" l="1"/>
  <c r="BQ157" i="10"/>
  <c r="CJ157" i="10" l="1"/>
  <c r="BQ156" i="10"/>
  <c r="BQ155" i="10" l="1"/>
  <c r="CJ156" i="10"/>
  <c r="BQ154" i="10" l="1"/>
  <c r="CJ155" i="10"/>
  <c r="CJ154" i="10" l="1"/>
  <c r="BQ153" i="10"/>
  <c r="BQ152" i="10" l="1"/>
  <c r="CJ153" i="10"/>
  <c r="CJ152" i="10" l="1"/>
  <c r="BQ151" i="10"/>
  <c r="CJ151" i="10" l="1"/>
  <c r="BQ150" i="10"/>
  <c r="BQ149" i="10" l="1"/>
  <c r="CJ150" i="10"/>
  <c r="BQ148" i="10" l="1"/>
  <c r="CJ149" i="10"/>
  <c r="BQ147" i="10" l="1"/>
  <c r="CJ148" i="10"/>
  <c r="BQ146" i="10" l="1"/>
  <c r="CJ147" i="10"/>
  <c r="CJ146" i="10" l="1"/>
  <c r="BQ145" i="10"/>
  <c r="CJ145" i="10" l="1"/>
  <c r="BQ144" i="10"/>
  <c r="CJ144" i="10" l="1"/>
  <c r="BQ143" i="10"/>
  <c r="BQ142" i="10" l="1"/>
  <c r="CJ143" i="10"/>
  <c r="CJ142" i="10" l="1"/>
  <c r="BQ141" i="10"/>
  <c r="BQ140" i="10" l="1"/>
  <c r="CJ141" i="10"/>
  <c r="BQ139" i="10" l="1"/>
  <c r="CJ140" i="10"/>
  <c r="CJ139" i="10" l="1"/>
  <c r="BQ138" i="10"/>
  <c r="CJ138" i="10" l="1"/>
  <c r="BQ137" i="10"/>
  <c r="BQ136" i="10" l="1"/>
  <c r="CJ137" i="10"/>
  <c r="CJ136" i="10" l="1"/>
  <c r="BQ135" i="10"/>
  <c r="BQ134" i="10" l="1"/>
  <c r="CJ135" i="10"/>
  <c r="CJ134" i="10" l="1"/>
  <c r="BQ133" i="10"/>
  <c r="BQ132" i="10" l="1"/>
  <c r="CJ133" i="10"/>
  <c r="CJ132" i="10" l="1"/>
  <c r="BQ131" i="10"/>
  <c r="BQ130" i="10" l="1"/>
  <c r="CJ131" i="10"/>
  <c r="CJ130" i="10" l="1"/>
  <c r="BQ129" i="10"/>
  <c r="BQ128" i="10" l="1"/>
  <c r="CJ129" i="10"/>
  <c r="CJ128" i="10" l="1"/>
  <c r="BQ127" i="10"/>
  <c r="CJ127" i="10" l="1"/>
  <c r="BQ126" i="10"/>
  <c r="BQ125" i="10" l="1"/>
  <c r="CJ126" i="10"/>
  <c r="BQ124" i="10" l="1"/>
  <c r="CJ125" i="10"/>
  <c r="BQ123" i="10" l="1"/>
  <c r="CJ124" i="10"/>
  <c r="CJ123" i="10" l="1"/>
  <c r="BQ122" i="10"/>
  <c r="BQ121" i="10" l="1"/>
  <c r="CJ122" i="10"/>
  <c r="CJ121" i="10" l="1"/>
  <c r="BQ120" i="10"/>
  <c r="CJ120" i="10" l="1"/>
  <c r="BQ119" i="10"/>
  <c r="BQ118" i="10" l="1"/>
  <c r="CJ119" i="10"/>
  <c r="CJ118" i="10" l="1"/>
  <c r="BQ117" i="10"/>
  <c r="BQ116" i="10" l="1"/>
  <c r="CJ117" i="10"/>
  <c r="CJ116" i="10" l="1"/>
  <c r="BQ115" i="10"/>
  <c r="CJ115" i="10" l="1"/>
  <c r="BQ114" i="10"/>
  <c r="CJ114" i="10" l="1"/>
  <c r="BQ113" i="10"/>
  <c r="BQ112" i="10" l="1"/>
  <c r="CJ113" i="10"/>
  <c r="BQ111" i="10" l="1"/>
  <c r="CJ112" i="10"/>
  <c r="CJ111" i="10" l="1"/>
  <c r="BQ110" i="10"/>
  <c r="BQ109" i="10" l="1"/>
  <c r="CJ110" i="10"/>
  <c r="CJ109" i="10" l="1"/>
  <c r="BQ108" i="10"/>
  <c r="CJ108" i="10" l="1"/>
  <c r="BQ107" i="10"/>
  <c r="CJ107" i="10" l="1"/>
  <c r="BQ106" i="10"/>
  <c r="CJ106" i="10" l="1"/>
  <c r="BQ105" i="10"/>
  <c r="CJ105" i="10" l="1"/>
  <c r="BQ104" i="10"/>
  <c r="BQ103" i="10" l="1"/>
  <c r="CJ104" i="10"/>
  <c r="CJ103" i="10" l="1"/>
  <c r="BQ102" i="10"/>
  <c r="CJ102" i="10" l="1"/>
  <c r="BQ101" i="10"/>
  <c r="CJ101" i="10" l="1"/>
  <c r="BQ100" i="10"/>
  <c r="BQ99" i="10" l="1"/>
  <c r="CJ100" i="10"/>
  <c r="BQ98" i="10" l="1"/>
  <c r="CJ99" i="10"/>
  <c r="CJ98" i="10" l="1"/>
  <c r="BQ97" i="10"/>
  <c r="CJ97" i="10" l="1"/>
  <c r="BQ96" i="10"/>
  <c r="CJ96" i="10" l="1"/>
  <c r="BQ95" i="10"/>
  <c r="CJ95" i="10" l="1"/>
  <c r="BQ94" i="10"/>
  <c r="CJ94" i="10" l="1"/>
  <c r="BQ93" i="10"/>
  <c r="BQ92" i="10" l="1"/>
  <c r="CJ93" i="10"/>
  <c r="CJ92" i="10" l="1"/>
  <c r="BQ91" i="10"/>
  <c r="CJ91" i="10" l="1"/>
  <c r="BQ90" i="10"/>
  <c r="CJ90" i="10" l="1"/>
  <c r="BQ89" i="10"/>
  <c r="BQ88" i="10" l="1"/>
  <c r="CJ89" i="10"/>
  <c r="CJ88" i="10" l="1"/>
  <c r="BQ87" i="10"/>
  <c r="BQ86" i="10" l="1"/>
  <c r="CJ87" i="10"/>
  <c r="BQ85" i="10" l="1"/>
  <c r="CJ86" i="10"/>
  <c r="CJ85" i="10" l="1"/>
  <c r="BQ84" i="10"/>
  <c r="BQ83" i="10" l="1"/>
  <c r="CJ84" i="10"/>
  <c r="CJ83" i="10" l="1"/>
  <c r="BQ82" i="10"/>
  <c r="CJ82" i="10" l="1"/>
  <c r="BQ81" i="10"/>
  <c r="BQ80" i="10" l="1"/>
  <c r="CJ81" i="10"/>
  <c r="CJ80" i="10" l="1"/>
  <c r="BQ79" i="10"/>
  <c r="CJ79" i="10" l="1"/>
  <c r="BQ78" i="10"/>
  <c r="BQ77" i="10" l="1"/>
  <c r="CJ78" i="10"/>
  <c r="CJ77" i="10" l="1"/>
  <c r="BQ76" i="10"/>
  <c r="BQ75" i="10" l="1"/>
  <c r="CJ76" i="10"/>
  <c r="CJ75" i="10" l="1"/>
  <c r="BQ74" i="10"/>
  <c r="CJ74" i="10" l="1"/>
  <c r="BQ73" i="10"/>
  <c r="CJ73" i="10" l="1"/>
  <c r="BQ72" i="10"/>
  <c r="BQ71" i="10" l="1"/>
  <c r="CJ72" i="10"/>
  <c r="CJ71" i="10" l="1"/>
  <c r="BQ70" i="10"/>
  <c r="BQ69" i="10" l="1"/>
  <c r="CJ70" i="10"/>
  <c r="BQ68" i="10" l="1"/>
  <c r="CJ69" i="10"/>
  <c r="BQ67" i="10" l="1"/>
  <c r="CJ68" i="10"/>
  <c r="BQ66" i="10" l="1"/>
  <c r="CJ67" i="10"/>
  <c r="CJ66" i="10" l="1"/>
  <c r="BQ65" i="10"/>
  <c r="BQ64" i="10" l="1"/>
  <c r="CJ65" i="10"/>
  <c r="BQ63" i="10" l="1"/>
  <c r="CJ64" i="10"/>
  <c r="CJ63" i="10" l="1"/>
  <c r="BQ62" i="10"/>
  <c r="BQ61" i="10" l="1"/>
  <c r="CJ62" i="10"/>
  <c r="BQ60" i="10" l="1"/>
  <c r="CJ61" i="10"/>
  <c r="CJ60" i="10" l="1"/>
  <c r="BQ59" i="10"/>
  <c r="CJ59" i="10" l="1"/>
  <c r="BQ58" i="10"/>
  <c r="CJ58" i="10" l="1"/>
  <c r="BQ57" i="10"/>
  <c r="BQ56" i="10" l="1"/>
  <c r="CJ57" i="10"/>
  <c r="CJ56" i="10" l="1"/>
  <c r="BQ55" i="10"/>
  <c r="CJ55" i="10" l="1"/>
  <c r="BQ54" i="10"/>
  <c r="CJ54" i="10" l="1"/>
  <c r="BQ53" i="10"/>
  <c r="CJ53" i="10" l="1"/>
  <c r="BQ52" i="10"/>
  <c r="CJ52" i="10" l="1"/>
  <c r="BQ51" i="10"/>
  <c r="BQ50" i="10" l="1"/>
  <c r="CJ51" i="10"/>
  <c r="BQ49" i="10" l="1"/>
  <c r="CJ50" i="10"/>
  <c r="BQ48" i="10" l="1"/>
  <c r="CJ49" i="10"/>
  <c r="CJ48" i="10" l="1"/>
  <c r="BQ47" i="10"/>
  <c r="BQ46" i="10" l="1"/>
  <c r="CJ47" i="10"/>
  <c r="BQ45" i="10" l="1"/>
  <c r="CJ46" i="10"/>
  <c r="CJ45" i="10" l="1"/>
  <c r="BQ44" i="10"/>
  <c r="CJ44" i="10" l="1"/>
  <c r="BQ43" i="10"/>
  <c r="CJ43" i="10" l="1"/>
  <c r="BQ42" i="10"/>
  <c r="CJ42" i="10" l="1"/>
  <c r="BQ41" i="10"/>
  <c r="CJ41" i="10" l="1"/>
  <c r="BQ40" i="10"/>
  <c r="BQ39" i="10" l="1"/>
  <c r="CJ40" i="10"/>
  <c r="CJ39" i="10" l="1"/>
  <c r="BQ38" i="10"/>
  <c r="BQ37" i="10" l="1"/>
  <c r="CJ38" i="10"/>
  <c r="CJ37" i="10" l="1"/>
  <c r="BQ36" i="10"/>
  <c r="BQ35" i="10" l="1"/>
  <c r="CJ36" i="10"/>
  <c r="BQ34" i="10" l="1"/>
  <c r="CJ35" i="10"/>
  <c r="CJ34" i="10" l="1"/>
  <c r="BQ33" i="10"/>
  <c r="CJ33" i="10" l="1"/>
  <c r="BQ32" i="10"/>
  <c r="BQ31" i="10" l="1"/>
  <c r="CJ32" i="10"/>
  <c r="BQ30" i="10" l="1"/>
  <c r="CJ31" i="10"/>
  <c r="BQ29" i="10" l="1"/>
  <c r="CJ30" i="10"/>
  <c r="BQ28" i="10" l="1"/>
  <c r="CJ29" i="10"/>
  <c r="CJ28" i="10" l="1"/>
  <c r="BQ27" i="10"/>
  <c r="BQ26" i="10" l="1"/>
  <c r="CJ27" i="10"/>
  <c r="CJ26" i="10" l="1"/>
  <c r="BQ25" i="10"/>
  <c r="CJ25" i="10" l="1"/>
  <c r="BQ24" i="10"/>
  <c r="BQ23" i="10" l="1"/>
  <c r="CJ24" i="10"/>
  <c r="BQ22" i="10" l="1"/>
  <c r="CJ23" i="10"/>
  <c r="BQ21" i="10" l="1"/>
  <c r="CJ22" i="10"/>
  <c r="BQ20" i="10" l="1"/>
  <c r="CJ21" i="10"/>
  <c r="CJ20" i="10" l="1"/>
  <c r="BQ19" i="10"/>
  <c r="BQ18" i="10" l="1"/>
  <c r="CJ19" i="10"/>
  <c r="BQ17" i="10" l="1"/>
  <c r="CJ18" i="10"/>
  <c r="CJ17" i="10" l="1"/>
  <c r="BQ16" i="10"/>
  <c r="BQ15" i="10" l="1"/>
  <c r="CJ16" i="10"/>
  <c r="BQ14" i="10" l="1"/>
  <c r="CJ15" i="10"/>
  <c r="CJ14" i="10" l="1"/>
  <c r="BQ13" i="10"/>
  <c r="CJ13" i="10" l="1"/>
  <c r="BQ12" i="10"/>
  <c r="CJ12" i="10" l="1"/>
  <c r="BQ11" i="10"/>
  <c r="BQ10" i="10" l="1"/>
  <c r="CJ11" i="10"/>
  <c r="BQ9" i="10" l="1"/>
  <c r="CJ10" i="10"/>
  <c r="BQ8" i="10" l="1"/>
  <c r="CJ9" i="10"/>
  <c r="BQ7" i="10" l="1"/>
  <c r="CJ8" i="10"/>
  <c r="BQ6" i="10" l="1"/>
  <c r="CJ7" i="10"/>
  <c r="CJ6" i="10" l="1"/>
</calcChain>
</file>

<file path=xl/comments1.xml><?xml version="1.0" encoding="utf-8"?>
<comments xmlns="http://schemas.openxmlformats.org/spreadsheetml/2006/main">
  <authors>
    <author>SJRJ</author>
  </authors>
  <commentList>
    <comment ref="B11" authorId="0" shapeId="0">
      <text>
        <r>
          <rPr>
            <sz val="10"/>
            <color indexed="10"/>
            <rFont val="Tahoma"/>
            <family val="2"/>
          </rPr>
          <t>As informações deste quadro são extraídas do RESUMO da declaração.</t>
        </r>
      </text>
    </comment>
    <comment ref="G12" authorId="0" shapeId="0">
      <text>
        <r>
          <rPr>
            <sz val="10"/>
            <color indexed="10"/>
            <rFont val="Tahoma"/>
            <family val="2"/>
          </rPr>
          <t>Corresponde as deduções após o cálculo do imposto devido (dedução de incentivo, Contribuição Prev. Empregador Doméstico,etc).</t>
        </r>
      </text>
    </comment>
    <comment ref="J12" authorId="0" shapeId="0">
      <text>
        <r>
          <rPr>
            <sz val="10"/>
            <color indexed="10"/>
            <rFont val="Tahoma"/>
            <family val="2"/>
          </rPr>
          <t>Valor do imposto a restituir ou a pagar.</t>
        </r>
      </text>
    </comment>
    <comment ref="L12" authorId="0" shapeId="0">
      <text>
        <r>
          <rPr>
            <sz val="10"/>
            <color indexed="10"/>
            <rFont val="Tahoma"/>
            <family val="2"/>
          </rPr>
          <t>Verifica se as informações digitadas da declaração de ajuste anual estão em conformidade com o valor do ajuste anual.</t>
        </r>
      </text>
    </comment>
    <comment ref="B33" authorId="0" shapeId="0">
      <text>
        <r>
          <rPr>
            <sz val="10"/>
            <color indexed="10"/>
            <rFont val="Tahoma"/>
            <family val="2"/>
          </rPr>
          <t>Valores a serem incluídos ou retirados, da base de cálculo do imposto de renda.</t>
        </r>
      </text>
    </comment>
  </commentList>
</comments>
</file>

<file path=xl/connections.xml><?xml version="1.0" encoding="utf-8"?>
<connections xmlns="http://schemas.openxmlformats.org/spreadsheetml/2006/main">
  <connection id="1" name="Conexão" type="4" refreshedVersion="4" deleted="1" background="1" saveData="1">
    <webPr consecutive="1" textDates="1" xl2000="1" htmlFormat="rtf"/>
  </connection>
  <connection id="2" name="Conexão1" type="4" refreshedVersion="4" deleted="1" background="1" saveData="1">
    <webPr consecutive="1" textDates="1" xl2000="1" htmlFormat="rtf"/>
  </connection>
  <connection id="3" name="Conexão10" type="4" refreshedVersion="4" deleted="1" background="1" saveData="1">
    <webPr consecutive="1" textDates="1" xl2000="1" htmlFormat="rtf"/>
  </connection>
  <connection id="4" name="Conexão11" type="4" refreshedVersion="4" deleted="1" background="1" saveData="1">
    <webPr consecutive="1" textDates="1" xl2000="1" htmlFormat="rtf"/>
  </connection>
  <connection id="5" name="Conexão12" type="4" refreshedVersion="4" deleted="1" background="1" saveData="1">
    <webPr consecutive="1" textDates="1" xl2000="1" htmlFormat="rtf"/>
  </connection>
  <connection id="6" name="Conexão13" type="4" refreshedVersion="4" deleted="1" background="1" saveData="1">
    <webPr consecutive="1" textDates="1" xl2000="1" htmlFormat="rtf"/>
  </connection>
  <connection id="7" name="Conexão14" type="4" refreshedVersion="4" deleted="1" background="1" saveData="1">
    <webPr consecutive="1" textDates="1" xl2000="1" htmlFormat="rtf"/>
  </connection>
  <connection id="8" name="Conexão15" type="4" refreshedVersion="4" deleted="1" background="1" saveData="1">
    <webPr consecutive="1" textDates="1" xl2000="1" htmlFormat="rtf"/>
  </connection>
  <connection id="9" name="Conexão16" type="4" refreshedVersion="4" deleted="1" background="1" saveData="1">
    <webPr consecutive="1" textDates="1" xl2000="1" htmlFormat="rtf"/>
  </connection>
  <connection id="10" name="Conexão17" type="4" refreshedVersion="4" deleted="1" background="1" saveData="1">
    <webPr consecutive="1" textDates="1" xl2000="1" htmlFormat="rtf"/>
  </connection>
  <connection id="11" name="Conexão18" type="4" refreshedVersion="4" deleted="1" background="1" saveData="1">
    <webPr consecutive="1" textDates="1" xl2000="1" htmlFormat="rtf"/>
  </connection>
  <connection id="12" name="Conexão19" type="4" refreshedVersion="4" deleted="1" background="1" saveData="1">
    <webPr consecutive="1" textDates="1" xl2000="1" htmlFormat="rtf"/>
  </connection>
  <connection id="13" name="Conexão2" type="4" refreshedVersion="4" deleted="1" background="1" saveData="1">
    <webPr consecutive="1" textDates="1" xl2000="1" htmlFormat="rtf"/>
  </connection>
  <connection id="14" name="Conexão20" type="4" refreshedVersion="4" deleted="1" background="1" saveData="1">
    <webPr consecutive="1" textDates="1" xl2000="1" htmlFormat="rtf"/>
  </connection>
  <connection id="15" name="Conexão21" type="4" refreshedVersion="4" deleted="1" background="1" saveData="1">
    <webPr consecutive="1" textDates="1" xl2000="1" htmlFormat="rtf"/>
  </connection>
  <connection id="16" name="Conexão22" type="4" refreshedVersion="4" deleted="1" background="1" saveData="1">
    <webPr consecutive="1" textDates="1" xl2000="1" htmlFormat="rtf"/>
  </connection>
  <connection id="17" name="Conexão23" type="4" refreshedVersion="4" deleted="1" background="1" saveData="1">
    <webPr consecutive="1" textDates="1" xl2000="1" htmlFormat="rtf"/>
  </connection>
  <connection id="18" name="Conexão24" type="4" refreshedVersion="4" deleted="1" background="1" saveData="1">
    <webPr consecutive="1" textDates="1" xl2000="1" htmlFormat="rtf"/>
  </connection>
  <connection id="19" name="Conexão25" type="4" refreshedVersion="4" deleted="1" background="1" saveData="1">
    <webPr consecutive="1" textDates="1" xl2000="1" htmlFormat="rtf"/>
  </connection>
  <connection id="20" name="Conexão26" type="4" refreshedVersion="4" deleted="1" background="1" saveData="1">
    <webPr consecutive="1" textDates="1" xl2000="1" htmlFormat="rtf"/>
  </connection>
  <connection id="21" name="Conexão27" type="4" refreshedVersion="4" deleted="1" background="1" saveData="1">
    <webPr consecutive="1" textDates="1" xl2000="1" htmlFormat="rtf"/>
  </connection>
  <connection id="22" name="Conexão28" type="4" refreshedVersion="6" deleted="1" background="1" saveData="1">
    <webPr consecutive="1" textDates="1" xl2000="1" htmlFormat="rtf"/>
  </connection>
  <connection id="23" name="Conexão29" type="4" refreshedVersion="4" deleted="1" background="1" saveData="1">
    <webPr consecutive="1" textDates="1" xl2000="1" htmlFormat="rtf"/>
  </connection>
  <connection id="24" name="Conexão3" type="4" refreshedVersion="4" deleted="1" background="1" saveData="1">
    <webPr consecutive="1" textDates="1" xl2000="1" htmlFormat="rtf"/>
  </connection>
  <connection id="25" name="Conexão30" type="4" refreshedVersion="6" deleted="1" background="1" saveData="1">
    <webPr consecutive="1" textDates="1" xl2000="1" htmlFormat="rtf"/>
  </connection>
  <connection id="26" name="Conexão31" type="4" refreshedVersion="6" deleted="1" background="1" saveData="1">
    <webPr consecutive="1" textDates="1" xl2000="1" htmlFormat="rtf"/>
  </connection>
  <connection id="27" name="Conexão32" type="4" refreshedVersion="6" deleted="1" background="1" saveData="1">
    <webPr consecutive="1" textDates="1" xl2000="1" htmlFormat="rtf"/>
  </connection>
  <connection id="28" name="Conexão33" type="4" refreshedVersion="6" deleted="1" background="1" saveData="1">
    <webPr consecutive="1" textDates="1" xl2000="1" htmlFormat="rtf"/>
  </connection>
  <connection id="29" name="Conexão34" type="4" refreshedVersion="6" deleted="1" background="1" saveData="1">
    <webPr consecutive="1" textDates="1" xl2000="1" htmlFormat="rtf"/>
  </connection>
  <connection id="30" name="Conexão4" type="4" refreshedVersion="4" deleted="1" background="1" saveData="1">
    <webPr consecutive="1" textDates="1" xl2000="1" htmlFormat="rtf"/>
  </connection>
  <connection id="31" name="Conexão5" type="4" refreshedVersion="4" deleted="1" background="1" saveData="1">
    <webPr consecutive="1" textDates="1" xl2000="1" htmlFormat="rtf"/>
  </connection>
  <connection id="32" name="Conexão6" type="4" refreshedVersion="4" deleted="1" background="1" saveData="1">
    <webPr consecutive="1" textDates="1" xl2000="1" htmlFormat="rtf"/>
  </connection>
  <connection id="33" name="Conexão7" type="4" refreshedVersion="4" deleted="1" background="1" saveData="1">
    <webPr consecutive="1" textDates="1" xl2000="1" htmlFormat="rtf"/>
  </connection>
  <connection id="34" name="Conexão8" type="4" refreshedVersion="4" deleted="1" background="1" saveData="1">
    <webPr consecutive="1" textDates="1" xl2000="1" htmlFormat="rtf"/>
  </connection>
  <connection id="35" name="Conexão9" type="4" refreshedVersion="4" deleted="1" background="1" saveData="1">
    <webPr consecutive="1" textDates="1" xl2000="1" htmlFormat="rtf"/>
  </connection>
</connections>
</file>

<file path=xl/sharedStrings.xml><?xml version="1.0" encoding="utf-8"?>
<sst xmlns="http://schemas.openxmlformats.org/spreadsheetml/2006/main" count="3337" uniqueCount="564">
  <si>
    <t>PROCESSO:</t>
  </si>
  <si>
    <t>AUTOR :</t>
  </si>
  <si>
    <t>De</t>
  </si>
  <si>
    <t>Até</t>
  </si>
  <si>
    <t>Dedução</t>
  </si>
  <si>
    <t>-</t>
  </si>
  <si>
    <t>DEDUÇÃO</t>
  </si>
  <si>
    <t>MIN</t>
  </si>
  <si>
    <t>%</t>
  </si>
  <si>
    <t>FAIXA 1</t>
  </si>
  <si>
    <t>FAIXA 2</t>
  </si>
  <si>
    <t>FAIXA 3</t>
  </si>
  <si>
    <t>ANO
CALENDÁRIO</t>
  </si>
  <si>
    <t>FAIXA 4</t>
  </si>
  <si>
    <t>Alíquota</t>
  </si>
  <si>
    <t>VALOR</t>
  </si>
  <si>
    <t>DATA</t>
  </si>
  <si>
    <t>TOTAL DOS RENDIMENTOS TRIBUTÁVEIS</t>
  </si>
  <si>
    <t>TOTAL DAS DEDUÇÕES</t>
  </si>
  <si>
    <t>DECLARAÇÃO DE AJUSTE ANUAL</t>
  </si>
  <si>
    <t>NÚMERO DO PROCESSO:</t>
  </si>
  <si>
    <t>NOME DO AUTOR:</t>
  </si>
  <si>
    <t>MOTIVO/OBSERVAÇÃO</t>
  </si>
  <si>
    <t xml:space="preserve">ANO-CALENDÁRIO: </t>
  </si>
  <si>
    <t xml:space="preserve">RENDIMENTOS NÃO TRIBUTÁVEIS: </t>
  </si>
  <si>
    <t>BASE DE CÁLCULO:</t>
  </si>
  <si>
    <t>FAIXA 5</t>
  </si>
  <si>
    <t>TIPO</t>
  </si>
  <si>
    <t>RESTITUIR</t>
  </si>
  <si>
    <t>PAGAR</t>
  </si>
  <si>
    <t>HISTÓRICO</t>
  </si>
  <si>
    <t>SIMPLIFICADA</t>
  </si>
  <si>
    <t xml:space="preserve">TOTAL DEVIDO(=): </t>
  </si>
  <si>
    <t>TETO</t>
  </si>
  <si>
    <t>SIMPLIFICADO</t>
  </si>
  <si>
    <t>NÃO</t>
  </si>
  <si>
    <t>MÊS</t>
  </si>
  <si>
    <t>CÁLCULO ATUALIZADO ATÉ:</t>
  </si>
  <si>
    <t>CRITICA</t>
  </si>
  <si>
    <t>AJUSTE ANUAL</t>
  </si>
  <si>
    <t>INFORMAÇÃO</t>
  </si>
  <si>
    <t>FOLHA</t>
  </si>
  <si>
    <t>UFIR</t>
  </si>
  <si>
    <t>SELIC</t>
  </si>
  <si>
    <t>PERCENTUAL</t>
  </si>
  <si>
    <t>LIMITA O TOTAL NA DATA DO AJUIZAMENTO:</t>
  </si>
  <si>
    <t>SALÁRIO MÍNIMO</t>
  </si>
  <si>
    <t xml:space="preserve">DATA DO AJUIZAMENTO: </t>
  </si>
  <si>
    <t>LIMITE DO RPV (AJUIZAMENTO):</t>
  </si>
  <si>
    <t>ÍNDICE</t>
  </si>
  <si>
    <t>IMPOSTO DEVIDO(=):</t>
  </si>
  <si>
    <t>IMPOSTO PAGO(-):</t>
  </si>
  <si>
    <t>TOTAL DO 
IMPOSTO PAGO/RETIDO</t>
  </si>
  <si>
    <t>COMPLETA</t>
  </si>
  <si>
    <t xml:space="preserve">TIPO DA DECLARAÇÃO </t>
  </si>
  <si>
    <t>CONFIGURAÇÕES DO EXCEL</t>
  </si>
  <si>
    <t>DATA LIMITE DO AJUIZAMENTO:</t>
  </si>
  <si>
    <t xml:space="preserve">DATA FINAL DE CÁLCULO: </t>
  </si>
  <si>
    <t xml:space="preserve">ATUALIZA CÁLCULO: </t>
  </si>
  <si>
    <t>DATA LIMITE MAX. DE UFIR:</t>
  </si>
  <si>
    <t>ACUMULADO</t>
  </si>
  <si>
    <t>IPCA</t>
  </si>
  <si>
    <t>INPC</t>
  </si>
  <si>
    <t>11,79%</t>
  </si>
  <si>
    <t>5,01%</t>
  </si>
  <si>
    <t>6,68%</t>
  </si>
  <si>
    <t>10,83%</t>
  </si>
  <si>
    <t>12,14%</t>
  </si>
  <si>
    <t>15,62%</t>
  </si>
  <si>
    <t>21,08%</t>
  </si>
  <si>
    <t>26,48%</t>
  </si>
  <si>
    <t>CORREÇÃO MONETÁRIA</t>
  </si>
  <si>
    <t>JUROS</t>
  </si>
  <si>
    <t>QUANDO EXISTE LIMITAÇÃO NA DISTRIBUIÇÃO, AS PARCELAS POSTERIORES A DISTRIBUIÇÃO NÃO ESTÃO INCLUINDOO 1% NO MÊS DA ATUALIZAÇÃO. +SE(F12="A";0,01;0)</t>
  </si>
  <si>
    <t>EXCEL 2000-2003</t>
  </si>
  <si>
    <t>EXCEL 2007</t>
  </si>
  <si>
    <t>BASE DE CÁLCULO</t>
  </si>
  <si>
    <t>A SUBTRAIR</t>
  </si>
  <si>
    <t>A SOMAR</t>
  </si>
  <si>
    <t>SITUAÇÃO</t>
  </si>
  <si>
    <t>PARÂMETROS - ÍNICIO</t>
  </si>
  <si>
    <t>ANO
CALEN-DÁRIO</t>
  </si>
  <si>
    <t>RENDIMENTOS TRIBUTAVEIS</t>
  </si>
  <si>
    <t>DEDUÇÕES II</t>
  </si>
  <si>
    <t>IMPOSTO PAGO</t>
  </si>
  <si>
    <t>TABELA DE IR</t>
  </si>
  <si>
    <t>DECRÉSCIMO NOS RENDIMENTOS TRIBUTÁVEIS(-):</t>
  </si>
  <si>
    <t>ACRÉSCIMO NOS RENDIMENTOS TRIBUTÁVEIS(+):</t>
  </si>
  <si>
    <t>BASE DE CÁLCULO(=):</t>
  </si>
  <si>
    <t>TOTAL DOS RENDIMENTOS TRIBUTÁVEIS (=):</t>
  </si>
  <si>
    <t>PARCELA DE DEDUÇÃO(-):</t>
  </si>
  <si>
    <t>TABELA DO IRRF DO ANO-CALENDÁRIO</t>
  </si>
  <si>
    <t>DIFERENÇAS ATÉ A DISTRIBUIÇÃO</t>
  </si>
  <si>
    <t>AUX</t>
  </si>
  <si>
    <t>ORDENA</t>
  </si>
  <si>
    <t>ANO-CAL</t>
  </si>
  <si>
    <t>SELECIONA DATA</t>
  </si>
  <si>
    <t>INDEX.</t>
  </si>
  <si>
    <t>VALOR TOTAL</t>
  </si>
  <si>
    <t>DIFERENÇAS DEPOIS DA DISTRIBUIÇÃO</t>
  </si>
  <si>
    <t>SIT_ATUAL</t>
  </si>
  <si>
    <t>DIFERENÇA DEVIDA</t>
  </si>
  <si>
    <t>DIFERENÇA ATUALIZADA</t>
  </si>
  <si>
    <t>APURAÇÃO DO TETO DOS JUIZADOS</t>
  </si>
  <si>
    <t>VALOR TOTAL DAS PARCELAS VENCIDAS ATÉ A DISTRIBUIÇÃO:</t>
  </si>
  <si>
    <t>TETO MÁXIMO DOS JUIZADOS ESPECIAIS NA DATA DA DISTRIBUIÇÃO:</t>
  </si>
  <si>
    <t>VAL_TETO</t>
  </si>
  <si>
    <t>DAT_DIST</t>
  </si>
  <si>
    <t>RESUMO GERAL</t>
  </si>
  <si>
    <t xml:space="preserve">Principal devido: </t>
  </si>
  <si>
    <t xml:space="preserve">Juros devido: </t>
  </si>
  <si>
    <t>Total da execução:</t>
  </si>
  <si>
    <t>MEMÓRIA DE CÁLCULO</t>
  </si>
  <si>
    <t>LINHA DOS VALORES CÁLCULADOS ATÉ A DISTRIBUIÇÃO</t>
  </si>
  <si>
    <t>RESUMO GERAL FORMATADO</t>
  </si>
  <si>
    <t>Principal devido:</t>
  </si>
  <si>
    <t>Juros devido:</t>
  </si>
  <si>
    <t>LIMITA_AJUIZ</t>
  </si>
  <si>
    <t>TOTAL</t>
  </si>
  <si>
    <t>DAT_FIM</t>
  </si>
  <si>
    <t>DAT_LIM_UFIR</t>
  </si>
  <si>
    <t>SIT_ATUAL1</t>
  </si>
  <si>
    <t>TOTAL DAS DEDUÇÕES(-):</t>
  </si>
  <si>
    <t>COL_ANO</t>
  </si>
  <si>
    <t>MEMORIA DE CALCULO</t>
  </si>
  <si>
    <t>VERIFICAR POSTERIORMENTE APLICAÇÃO</t>
  </si>
  <si>
    <t>COD_IMP</t>
  </si>
  <si>
    <t>DIGIT./
CRITICA</t>
  </si>
  <si>
    <t>DIFERENÇAS APÓS A DISTRIBUIÇÃO</t>
  </si>
  <si>
    <t>PARCELA MAIS RECENTE A SER ATUALIZADA:</t>
  </si>
  <si>
    <t>VERIFICA SE A PARCELA MAIS RECENTE &gt; DATA FINAL:</t>
  </si>
  <si>
    <t>ALTERAÇÕES DA BASE DE CÁLCULO DA DECLARAÇÃO</t>
  </si>
  <si>
    <t>INDEX</t>
  </si>
  <si>
    <t>DESCONTO SIMPLIFICADO (20%)</t>
  </si>
  <si>
    <t>ACRESCIMO</t>
  </si>
  <si>
    <t>DECRESCIMO</t>
  </si>
  <si>
    <t>ALTERAÇÕES NA BASE DE CÁLCULO</t>
  </si>
  <si>
    <t>TABELA IRPF ANUAL</t>
  </si>
  <si>
    <t/>
  </si>
  <si>
    <t>EFETIVO</t>
  </si>
  <si>
    <t>CALCULADO</t>
  </si>
  <si>
    <t>DEDUÇÕES I</t>
  </si>
  <si>
    <t>NOVA BASE DE CÁLCULO(=):</t>
  </si>
  <si>
    <t>UNIDADE MONETÁRIA</t>
  </si>
  <si>
    <t>VALOR  DE REFERÊNCIA</t>
  </si>
  <si>
    <t>PRINCIPAL</t>
  </si>
  <si>
    <t>VALOR TOTAL DO PRINCIPAL ATÉ A DISTRIBUIÇÃO:</t>
  </si>
  <si>
    <t>VALOR TOTAL DOS JUROS ATÉ A DISTRIBUIÇÃO:</t>
  </si>
  <si>
    <t>PERCENTUAL DE REDUÇÃO:</t>
  </si>
  <si>
    <t>VALIDAÇÃO COLUNA ANO CALENDARIO</t>
  </si>
  <si>
    <t>(*)TOTAL DOS RENDIMENTOS TRIBUTÁVEIS  (+):</t>
  </si>
  <si>
    <t>(*)TOTAL DAS DEDUÇÕES  (-):</t>
  </si>
  <si>
    <t>(*)TOTAL DAS DEDUÇÕES DE INCENTIVO (-):</t>
  </si>
  <si>
    <t>(*)TOTAL DO IMPOSTO PAGO (-):</t>
  </si>
  <si>
    <t>(*) valor retirado da declaração de ajuste anual.</t>
  </si>
  <si>
    <t>VALORES ACRESCIDOS OU RETIRADOS DA BASE DE CÁLCULO</t>
  </si>
  <si>
    <t>VALOR A 
ACRESCER</t>
  </si>
  <si>
    <t>VALOR A 
RETIRAR</t>
  </si>
  <si>
    <t>DEMO. TETO</t>
  </si>
  <si>
    <t>VALORES-1</t>
  </si>
  <si>
    <t>VALORES-2</t>
  </si>
  <si>
    <t>VALORES-3</t>
  </si>
  <si>
    <t>TOTAL DAS DEDUÇÕES DE INCENTIVO(-):</t>
  </si>
  <si>
    <t>ALÍQUOTA APLICÁVEL(x):</t>
  </si>
  <si>
    <t>TIPO DE SEPARAÇÃO PRINCIPAL/JUROS:</t>
  </si>
  <si>
    <t>RATEIO</t>
  </si>
  <si>
    <t xml:space="preserve">PRINCIPAL </t>
  </si>
  <si>
    <t>ANO</t>
  </si>
  <si>
    <t>IMPOSTO DEVIDO</t>
  </si>
  <si>
    <t>TOTAL DEVIDO</t>
  </si>
  <si>
    <t>ANO CALEND.</t>
  </si>
  <si>
    <t>ANO CALEND. C/ IND</t>
  </si>
  <si>
    <t>DEDUÇÃO I</t>
  </si>
  <si>
    <t>ORIGINAL</t>
  </si>
  <si>
    <t>NEW</t>
  </si>
  <si>
    <t>FINAL</t>
  </si>
  <si>
    <t>INICIAL ORIG./FINAL</t>
  </si>
  <si>
    <t>ALIQ.</t>
  </si>
  <si>
    <t>IMPOSTO
PAGO</t>
  </si>
  <si>
    <t xml:space="preserve">NEW
CALCULADO           </t>
  </si>
  <si>
    <t>DECLARAÇÃO ORIGINAL/NEW - NÃO ORDENADA</t>
  </si>
  <si>
    <t>INÍCIO DA
CORREÇÃO</t>
  </si>
  <si>
    <t>DECLARAÇÃO ORIGINAL/NEW - ORDENADA PARA IMPRESSÃO</t>
  </si>
  <si>
    <t>TOTAL DEVIDO (MOEDA)</t>
  </si>
  <si>
    <t>NEW/ORIG.</t>
  </si>
  <si>
    <t>ORIG.</t>
  </si>
  <si>
    <t>CALCULO</t>
  </si>
  <si>
    <t>ANO CALEND. C/ IND/OG</t>
  </si>
  <si>
    <t>ANO orig</t>
  </si>
  <si>
    <t>DECLARAÇÃO ORIGINAL - ORDENADA</t>
  </si>
  <si>
    <t>INDEX OR</t>
  </si>
  <si>
    <t>TOTAL DAS DEDUÇÕES DE INCENTIVO</t>
  </si>
  <si>
    <t>ANO CALENDÁRIO:</t>
  </si>
  <si>
    <t>RELATÓRIO DOS VALORES ACRESCIDOS OU RETIRADOS DA BASE DE CÁLCULO</t>
  </si>
  <si>
    <t>CÁLCULO DA(S) DECLARAÇÃO(ÕES)</t>
  </si>
  <si>
    <t>VALOR ATUALIZADO</t>
  </si>
  <si>
    <t>COEFICIENTE ATUALIZAÇÃO</t>
  </si>
  <si>
    <t>S/COR</t>
  </si>
  <si>
    <t>TR</t>
  </si>
  <si>
    <t>Sem correção monetária/Juros</t>
  </si>
  <si>
    <t>SELIC até 6/2009 e após Índices da poupança</t>
  </si>
  <si>
    <t>JUROS/CORREÇÃO MONETÁRIA</t>
  </si>
  <si>
    <t>ÍNDICE DA DISTRIBUIÇÃO:</t>
  </si>
  <si>
    <t>CRITÉRIO DE CORREÇÃO:</t>
  </si>
  <si>
    <t>JUROS NA DISTRIBUIÇÃO:</t>
  </si>
  <si>
    <t>ÍNDICE PARA O FIM:</t>
  </si>
  <si>
    <t>JUROS PARA O FIM:</t>
  </si>
  <si>
    <t xml:space="preserve">                          </t>
  </si>
  <si>
    <t>TABELA DE IRPF ANUAL (TODOS OS ANOS)</t>
  </si>
  <si>
    <t>1) Habilite no Excel as opções: "Ferramentas de análise" e "Ferramentas de análise – VBA".</t>
  </si>
  <si>
    <t>2) Habilite as macros no Excel.</t>
  </si>
  <si>
    <t>2) Habilite no Excel o nível de segurança para: "médio" ou "baixo".</t>
  </si>
  <si>
    <r>
      <t xml:space="preserve">(configuração acessível através da opção </t>
    </r>
    <r>
      <rPr>
        <b/>
        <sz val="9"/>
        <color indexed="10"/>
        <rFont val="Arial"/>
        <family val="2"/>
      </rPr>
      <t>"FERRAMENTAS"</t>
    </r>
    <r>
      <rPr>
        <b/>
        <sz val="9"/>
        <rFont val="Arial"/>
        <family val="2"/>
      </rPr>
      <t xml:space="preserve"> e opção </t>
    </r>
    <r>
      <rPr>
        <b/>
        <sz val="9"/>
        <color indexed="10"/>
        <rFont val="Arial"/>
        <family val="2"/>
      </rPr>
      <t>"SUPLEMENTOS"</t>
    </r>
    <r>
      <rPr>
        <b/>
        <sz val="9"/>
        <rFont val="Arial"/>
        <family val="2"/>
      </rPr>
      <t>)</t>
    </r>
  </si>
  <si>
    <r>
      <t xml:space="preserve">(configuração acessível através da opção </t>
    </r>
    <r>
      <rPr>
        <b/>
        <sz val="9"/>
        <color indexed="10"/>
        <rFont val="Arial"/>
        <family val="2"/>
      </rPr>
      <t>"FERRAMENTAS"</t>
    </r>
    <r>
      <rPr>
        <b/>
        <sz val="9"/>
        <rFont val="Arial"/>
        <family val="2"/>
      </rPr>
      <t xml:space="preserve"> opção </t>
    </r>
    <r>
      <rPr>
        <b/>
        <sz val="9"/>
        <color indexed="10"/>
        <rFont val="Arial"/>
        <family val="2"/>
      </rPr>
      <t>"MACRO"</t>
    </r>
    <r>
      <rPr>
        <b/>
        <sz val="9"/>
        <rFont val="Arial"/>
        <family val="2"/>
      </rPr>
      <t xml:space="preserve"> e opção </t>
    </r>
    <r>
      <rPr>
        <b/>
        <sz val="9"/>
        <color indexed="10"/>
        <rFont val="Arial"/>
        <family val="2"/>
      </rPr>
      <t>"SEGURANÇA"</t>
    </r>
    <r>
      <rPr>
        <b/>
        <sz val="9"/>
        <rFont val="Arial"/>
        <family val="2"/>
      </rPr>
      <t>)</t>
    </r>
  </si>
  <si>
    <r>
      <t>(configuração acessível através do</t>
    </r>
    <r>
      <rPr>
        <b/>
        <sz val="9"/>
        <color indexed="10"/>
        <rFont val="Arial"/>
        <family val="2"/>
      </rPr>
      <t xml:space="preserve"> "Botão Microsoft Office"</t>
    </r>
    <r>
      <rPr>
        <b/>
        <sz val="9"/>
        <rFont val="Arial"/>
        <family val="2"/>
      </rPr>
      <t xml:space="preserve">          e, em seguida, clique em </t>
    </r>
    <r>
      <rPr>
        <b/>
        <sz val="9"/>
        <color indexed="10"/>
        <rFont val="Arial"/>
        <family val="2"/>
      </rPr>
      <t>"Opções do Excel"</t>
    </r>
    <r>
      <rPr>
        <b/>
        <sz val="9"/>
        <rFont val="Arial"/>
        <family val="2"/>
      </rPr>
      <t xml:space="preserve">.  Clique em </t>
    </r>
    <r>
      <rPr>
        <b/>
        <sz val="9"/>
        <color indexed="10"/>
        <rFont val="Arial"/>
        <family val="2"/>
      </rPr>
      <t>"Suplementos"</t>
    </r>
    <r>
      <rPr>
        <b/>
        <sz val="9"/>
        <rFont val="Arial"/>
        <family val="2"/>
      </rPr>
      <t xml:space="preserve"> e, na caixa Gerenciar, selecione </t>
    </r>
    <r>
      <rPr>
        <b/>
        <sz val="9"/>
        <color indexed="10"/>
        <rFont val="Arial"/>
        <family val="2"/>
      </rPr>
      <t>"Suplementos do Excel"</t>
    </r>
    <r>
      <rPr>
        <b/>
        <sz val="9"/>
        <rFont val="Arial"/>
        <family val="2"/>
      </rPr>
      <t>. Clique em</t>
    </r>
    <r>
      <rPr>
        <b/>
        <sz val="9"/>
        <color indexed="10"/>
        <rFont val="Arial"/>
        <family val="2"/>
      </rPr>
      <t xml:space="preserve"> "Ir para"</t>
    </r>
    <r>
      <rPr>
        <b/>
        <sz val="9"/>
        <rFont val="Arial"/>
        <family val="2"/>
      </rPr>
      <t>.)</t>
    </r>
  </si>
  <si>
    <t>PCIRA</t>
  </si>
  <si>
    <t>PARCELAS APÓS A DISTRIBUIÇÃO:</t>
  </si>
  <si>
    <t>PARCELAS ANTES DA DISTRIBUIÇÃO:</t>
  </si>
  <si>
    <t>JUROS - MEMÓRIA DE CÁLCULO</t>
  </si>
  <si>
    <t>CORREÇÃO MONETÁRIA - MEMÓRIA DE CÁLCULO</t>
  </si>
  <si>
    <t>VERSÃO:</t>
  </si>
  <si>
    <t>REVISÃO:</t>
  </si>
  <si>
    <t>MÊS:</t>
  </si>
  <si>
    <t>ANO FINAL:</t>
  </si>
  <si>
    <r>
      <t xml:space="preserve">(configuração acessível através do </t>
    </r>
    <r>
      <rPr>
        <b/>
        <sz val="9"/>
        <color indexed="10"/>
        <rFont val="Arial"/>
        <family val="2"/>
      </rPr>
      <t xml:space="preserve">"Botão do Microsoft Office"          </t>
    </r>
    <r>
      <rPr>
        <b/>
        <sz val="9"/>
        <rFont val="Arial"/>
        <family val="2"/>
      </rPr>
      <t xml:space="preserve"> e depois em </t>
    </r>
    <r>
      <rPr>
        <b/>
        <sz val="9"/>
        <color indexed="10"/>
        <rFont val="Arial"/>
        <family val="2"/>
      </rPr>
      <t>"Opções do Excel"</t>
    </r>
    <r>
      <rPr>
        <b/>
        <sz val="9"/>
        <rFont val="Arial"/>
        <family val="2"/>
      </rPr>
      <t xml:space="preserve">. Clique em </t>
    </r>
    <r>
      <rPr>
        <b/>
        <sz val="9"/>
        <color indexed="10"/>
        <rFont val="Arial"/>
        <family val="2"/>
      </rPr>
      <t>"Central de Confiabilidade"</t>
    </r>
    <r>
      <rPr>
        <b/>
        <sz val="9"/>
        <rFont val="Arial"/>
        <family val="2"/>
      </rPr>
      <t>, clique em</t>
    </r>
    <r>
      <rPr>
        <b/>
        <sz val="9"/>
        <color indexed="10"/>
        <rFont val="Arial"/>
        <family val="2"/>
      </rPr>
      <t xml:space="preserve"> "Configurações da Central de Confiabilidade"</t>
    </r>
    <r>
      <rPr>
        <b/>
        <sz val="9"/>
        <rFont val="Arial"/>
        <family val="2"/>
      </rPr>
      <t xml:space="preserve"> e depois em </t>
    </r>
    <r>
      <rPr>
        <b/>
        <sz val="9"/>
        <color indexed="10"/>
        <rFont val="Arial"/>
        <family val="2"/>
      </rPr>
      <t>"Configurações de Macro"</t>
    </r>
    <r>
      <rPr>
        <b/>
        <sz val="9"/>
        <rFont val="Arial"/>
        <family val="2"/>
      </rPr>
      <t>.)</t>
    </r>
  </si>
  <si>
    <t>IMPOSTO
DEVIDO RRA</t>
  </si>
  <si>
    <t>RRA</t>
  </si>
  <si>
    <t>IMPOSTO DEVIDO RRA</t>
  </si>
  <si>
    <t>IMPOSTO DEVIDO RRA(+):</t>
  </si>
  <si>
    <t>(*)IMPOSTO DEVIDO RRA(+):</t>
  </si>
  <si>
    <t>DECL-1</t>
  </si>
  <si>
    <t>DECL-2</t>
  </si>
  <si>
    <t>DECL-3</t>
  </si>
  <si>
    <t>DECL-4</t>
  </si>
  <si>
    <t>DECL-5</t>
  </si>
  <si>
    <t>DECL-6</t>
  </si>
  <si>
    <t>PLANILHA DE CÁLCULO DE AJUSTE ANUAL DO IMPOSTO DE RENDA</t>
  </si>
  <si>
    <t>PROCESSO</t>
  </si>
  <si>
    <t>IMPORTADO</t>
  </si>
  <si>
    <t>PROCESSADO</t>
  </si>
  <si>
    <t>HOJE:</t>
  </si>
  <si>
    <t>NOM_SETOR</t>
  </si>
  <si>
    <t>RENT</t>
  </si>
  <si>
    <t>CONSULTA
CÁLCULO
IRPF</t>
  </si>
  <si>
    <t>NTOT</t>
  </si>
  <si>
    <t>NPROC</t>
  </si>
  <si>
    <t>LISTA DE BLOQUEIO</t>
  </si>
  <si>
    <t>SIGLA:</t>
  </si>
  <si>
    <t>SERIAL:</t>
  </si>
  <si>
    <t>SJRJ - DCAL</t>
  </si>
  <si>
    <t>PODER JUDICIÁRIO</t>
  </si>
  <si>
    <t>JUSTIÇA FEDERAL</t>
  </si>
  <si>
    <t>Seção Judiciária do Rio de Janeiro</t>
  </si>
  <si>
    <t>DIVISÃO DE CÁLCULO</t>
  </si>
  <si>
    <t>DATA DE ATUALIZAÇÃO:</t>
  </si>
  <si>
    <t>ANO INICIAL (confecção):</t>
  </si>
  <si>
    <t>NOME DA PLANILHA:</t>
  </si>
  <si>
    <t>SIG_PLAN</t>
  </si>
  <si>
    <t>NOM_VER</t>
  </si>
  <si>
    <t>SERIAL</t>
  </si>
  <si>
    <t>NOM_PLAN</t>
  </si>
  <si>
    <t>NOME DO SETOR:</t>
  </si>
  <si>
    <t>CORREÇÃO MONETÁRIA (SITUAÇÃO DOS ÍNDICES)</t>
  </si>
  <si>
    <t>VHOJE</t>
  </si>
  <si>
    <t>VHOJE1</t>
  </si>
  <si>
    <t>INÍCIO</t>
  </si>
  <si>
    <t>FIM</t>
  </si>
  <si>
    <t>SELIC - EC/113</t>
  </si>
  <si>
    <t>CRÉDITO</t>
  </si>
  <si>
    <t>VDT_EC113</t>
  </si>
  <si>
    <t>DATA DE INICIO DA APLIC. EC 113:</t>
  </si>
  <si>
    <t>APLICA EC 113/2021:</t>
  </si>
  <si>
    <t>VOP_EC113</t>
  </si>
  <si>
    <t>RENTABILIDADE - POUPANÇA</t>
  </si>
  <si>
    <t>1%/SELIC/RENT.POUP.</t>
  </si>
  <si>
    <t>CORREÇÃO MONETÁRIA/JUROS:</t>
  </si>
  <si>
    <t>LIMITA TOTAL NA DATA DO AJUIZAMENTO:</t>
  </si>
  <si>
    <t>AUTOR:</t>
  </si>
  <si>
    <t>NUM_PROC1</t>
  </si>
  <si>
    <t>NOM_AUT</t>
  </si>
  <si>
    <t>COD_JCM</t>
  </si>
  <si>
    <t xml:space="preserve"> </t>
  </si>
  <si>
    <t>1%/SELIC</t>
  </si>
  <si>
    <t>INPC/IPCA/UFIR/S/COR</t>
  </si>
  <si>
    <t>MÊS INICIAL</t>
  </si>
  <si>
    <t>MÊS FINAL</t>
  </si>
  <si>
    <t>INPC/IPCA/UFIR/S/COR/TR</t>
  </si>
  <si>
    <t>RENTABILIDADE</t>
  </si>
  <si>
    <t>TABELA ANUAL IR</t>
  </si>
  <si>
    <t>TETO DE ATUALIZAÇÃO</t>
  </si>
  <si>
    <t>VDT_TETO</t>
  </si>
  <si>
    <t>EXC</t>
  </si>
  <si>
    <t>NR</t>
  </si>
  <si>
    <t>SEL</t>
  </si>
  <si>
    <t>ORD</t>
  </si>
  <si>
    <t>COL_ANOC</t>
  </si>
  <si>
    <t>DAT_DIST1</t>
  </si>
  <si>
    <t>TOTAL JUROS DE DIF. ATÉ DISTRIB.:</t>
  </si>
  <si>
    <t>TOTAL CM DE DIF. ATÉ DISTRIB.:</t>
  </si>
  <si>
    <t>TOTAL DE DIF. ATÉ DISTRIB.:</t>
  </si>
  <si>
    <t>TOTAL CM DE DIF. APÓS DISTRIB.:</t>
  </si>
  <si>
    <t>TOTAL JUROS DE DIF. APÓS DISTRIB.:</t>
  </si>
  <si>
    <t>JUROS ACUMULADOS ATÉ DATA FIM:</t>
  </si>
  <si>
    <t>PARCELA</t>
  </si>
  <si>
    <t>IND_CM_FIM</t>
  </si>
  <si>
    <t>IND_JR_FIM</t>
  </si>
  <si>
    <t>PARC_DD</t>
  </si>
  <si>
    <t>IND_JR_DIST</t>
  </si>
  <si>
    <t>IND_CM_DIST</t>
  </si>
  <si>
    <t>PARC_AD</t>
  </si>
  <si>
    <t xml:space="preserve">JUSTIÇA FEDERAL </t>
  </si>
  <si>
    <t>CÁLCULO DE IMPOSTO DE RENDA (ANUAL)</t>
  </si>
  <si>
    <t>PAGINA</t>
  </si>
  <si>
    <t>PARTE 1</t>
  </si>
  <si>
    <t>PARTE 2</t>
  </si>
  <si>
    <t>PARTE 3</t>
  </si>
  <si>
    <t>SELEÇÃO</t>
  </si>
  <si>
    <t>CONTA</t>
  </si>
  <si>
    <t>L62:S119,</t>
  </si>
  <si>
    <t>CTR_IMP_RG</t>
  </si>
  <si>
    <t>CTR_IMP__DT</t>
  </si>
  <si>
    <t>IMPRESSÃO - PAINEL 1</t>
  </si>
  <si>
    <t>IMPRESSÃO - PAINEL 2</t>
  </si>
  <si>
    <t>INÍCIO CORREÇÃO</t>
  </si>
  <si>
    <t>DATA DO AJUIZAMENTO (DD/MM/AAAA):</t>
  </si>
  <si>
    <t>ATUALIZA CÁLCULO ATÉ (DD/MM/AAAA):</t>
  </si>
  <si>
    <t>MOEDA</t>
  </si>
  <si>
    <t xml:space="preserve">Pular para o conteúdo principal </t>
  </si>
  <si>
    <t xml:space="preserve">InícioJustiça Federal - 2ª Região </t>
  </si>
  <si>
    <t>Imagem</t>
  </si>
  <si>
    <t>Selo Diamante CNJ 2025</t>
  </si>
  <si>
    <r>
      <t xml:space="preserve">A- A A+ </t>
    </r>
    <r>
      <rPr>
        <i/>
        <sz val="13"/>
        <color rgb="FFFFFFFF"/>
        <rFont val="Var(--bs-body-font-family)"/>
      </rPr>
      <t>Alto contraste</t>
    </r>
    <r>
      <rPr>
        <sz val="10"/>
        <color rgb="FF3B3B3B"/>
        <rFont val="Var(--bs-body-font-family)"/>
      </rPr>
      <t xml:space="preserve"> </t>
    </r>
    <r>
      <rPr>
        <u/>
        <sz val="10"/>
        <color rgb="FF0071B3"/>
        <rFont val="Var(--bs-body-font-family)"/>
      </rPr>
      <t>Acessibilidade</t>
    </r>
    <r>
      <rPr>
        <sz val="10"/>
        <color rgb="FF3B3B3B"/>
        <rFont val="Var(--bs-body-font-family)"/>
      </rPr>
      <t xml:space="preserve"> </t>
    </r>
    <r>
      <rPr>
        <u/>
        <sz val="10"/>
        <color rgb="FF0071B3"/>
        <rFont val="Var(--bs-body-font-family)"/>
      </rPr>
      <t>Redes sociais</t>
    </r>
  </si>
  <si>
    <t>Buscar</t>
  </si>
  <si>
    <t>Menu unidades principais jf2</t>
  </si>
  <si>
    <t>Vice-Presidência</t>
  </si>
  <si>
    <t>Corregedoria</t>
  </si>
  <si>
    <t>Ouvidoria</t>
  </si>
  <si>
    <t>Conciliação</t>
  </si>
  <si>
    <t>EMARF</t>
  </si>
  <si>
    <t>CCJF</t>
  </si>
  <si>
    <t>Coordenadoria dos JEFs</t>
  </si>
  <si>
    <t>Navegação principal</t>
  </si>
  <si>
    <t>Atendimento e contatos</t>
  </si>
  <si>
    <t>Consultas e serviços</t>
  </si>
  <si>
    <t>Institucional</t>
  </si>
  <si>
    <t>Transparência</t>
  </si>
  <si>
    <t>Menu de conta de usuário</t>
  </si>
  <si>
    <t>Acesso corporativo</t>
  </si>
  <si>
    <t>Usuários</t>
  </si>
  <si>
    <t>Acesso aos sistemas processuais</t>
  </si>
  <si>
    <t>texto branco sobre fundo azul-escuro</t>
  </si>
  <si>
    <t>Balcão virtual</t>
  </si>
  <si>
    <t>texto branco sobre fundo azul-cinza-escuro</t>
  </si>
  <si>
    <t>Plantão judiciário</t>
  </si>
  <si>
    <t>texto branco sobre fundo azul-esverdeado</t>
  </si>
  <si>
    <t>Primeiro atendimento (sem advogado)</t>
  </si>
  <si>
    <t>texto branco sobre fundo cinza-muito-claro</t>
  </si>
  <si>
    <t>SIC - Serviço de informação ao cidadão</t>
  </si>
  <si>
    <t>texto azul escuro sobre fundo cinza-muito-claro</t>
  </si>
  <si>
    <t>Carta de serviços</t>
  </si>
  <si>
    <t>Autenticidade de documentos</t>
  </si>
  <si>
    <t>Biblioteca</t>
  </si>
  <si>
    <t>Cálculos judiciais</t>
  </si>
  <si>
    <t>Canais de Denúncia</t>
  </si>
  <si>
    <t>Certidões Judiciais</t>
  </si>
  <si>
    <t>Competência da Justiça Federal</t>
  </si>
  <si>
    <t>Concursos e estágios</t>
  </si>
  <si>
    <t>Diário eletrônico</t>
  </si>
  <si>
    <t>Dúvidas frequentes</t>
  </si>
  <si>
    <t>Editais</t>
  </si>
  <si>
    <t>Gestão de precedentes e de ações coletivas</t>
  </si>
  <si>
    <t>Jurisprudência</t>
  </si>
  <si>
    <t>Prazos suspensos e feriados</t>
  </si>
  <si>
    <t>Precatórios e RPVs</t>
  </si>
  <si>
    <t>Sessões de julgamento</t>
  </si>
  <si>
    <t>Auxiliares</t>
  </si>
  <si>
    <t>Peritos, curadores, advogados dativos, tradutores e intérpretes</t>
  </si>
  <si>
    <t>Cadastro no sistema de Assistência Judiciária Gratuita (AJG)</t>
  </si>
  <si>
    <t>Administração</t>
  </si>
  <si>
    <t>ApoIA - Inteligência Artificial</t>
  </si>
  <si>
    <t>texto branco sobre fundo azulao</t>
  </si>
  <si>
    <t>Centros de Inteligência</t>
  </si>
  <si>
    <t>Comissão de Soluções Fundiárias</t>
  </si>
  <si>
    <t>Comitê da Saúde</t>
  </si>
  <si>
    <t>Estatísticas</t>
  </si>
  <si>
    <t>Fóruns do Poder Judiciário</t>
  </si>
  <si>
    <t>Laboratórios de Inovação</t>
  </si>
  <si>
    <t>Memória Institucional</t>
  </si>
  <si>
    <t>Rede Brasileira de Juízes de Enlace para a Convenção de Haia</t>
  </si>
  <si>
    <t>Segurança da informação</t>
  </si>
  <si>
    <r>
      <t>logo ccjf</t>
    </r>
    <r>
      <rPr>
        <sz val="10"/>
        <color rgb="FF3B3B3B"/>
        <rFont val="Var(--bs-body-font-family)"/>
      </rPr>
      <t xml:space="preserve">texto branco sobre fundo </t>
    </r>
  </si>
  <si>
    <r>
      <t>logo emarf</t>
    </r>
    <r>
      <rPr>
        <sz val="10"/>
        <color rgb="FF3B3B3B"/>
        <rFont val="Var(--bs-body-font-family)"/>
      </rPr>
      <t xml:space="preserve">texto branco sobre fundo </t>
    </r>
  </si>
  <si>
    <t>TRF2 alcança 100% no Ranking da Transparência do CNJ</t>
  </si>
  <si>
    <r>
      <t xml:space="preserve">24 Agosto, 2026 </t>
    </r>
    <r>
      <rPr>
        <sz val="16"/>
        <color rgb="FF3B3B3B"/>
        <rFont val="Var(--bs-body-font-family)"/>
      </rPr>
      <t>JF2</t>
    </r>
  </si>
  <si>
    <t xml:space="preserve">Anterior Próximo </t>
  </si>
  <si>
    <t>Trabalhos de  identificação das provas e a divulgação das notas da prova discursiva</t>
  </si>
  <si>
    <r>
      <t xml:space="preserve">11 Setembro, 2026 </t>
    </r>
    <r>
      <rPr>
        <sz val="16"/>
        <color rgb="FF3B3B3B"/>
        <rFont val="Var(--bs-body-font-family)"/>
      </rPr>
      <t>JF2</t>
    </r>
  </si>
  <si>
    <t>TRF2 adota sistema digital pioneiro em concurso para juiz federal</t>
  </si>
  <si>
    <t>Pessoa acessa o ApoIA pelo laptop</t>
  </si>
  <si>
    <r>
      <t xml:space="preserve">10 Setembro, 2026 </t>
    </r>
    <r>
      <rPr>
        <sz val="16"/>
        <color rgb="FF3B3B3B"/>
        <rFont val="Var(--bs-body-font-family)"/>
      </rPr>
      <t>JF2</t>
    </r>
  </si>
  <si>
    <t>ApoIA ganha integração direta com o SEI para processos administrativos</t>
  </si>
  <si>
    <t xml:space="preserve"> O Pleno do TRF2 escolheu seus dois novos integrantes</t>
  </si>
  <si>
    <r>
      <t xml:space="preserve">3 Setembro, 2026 </t>
    </r>
    <r>
      <rPr>
        <sz val="16"/>
        <color rgb="FF3B3B3B"/>
        <rFont val="Var(--bs-body-font-family)"/>
      </rPr>
      <t>JF2</t>
    </r>
  </si>
  <si>
    <t>Juíza Federal Geraldine Castro é a primeira promovida por merecimento no TRF2 em lista só de mulheres; Juiz Federal Wilney Magno é promovido por antiguidade</t>
  </si>
  <si>
    <t>PopRuaJud 2026</t>
  </si>
  <si>
    <t>PopRuaJud-Rio realiza mais de 17,7 mil atendimentos e revela perfil da população em situação de rua</t>
  </si>
  <si>
    <t>Todos</t>
  </si>
  <si>
    <r>
      <t xml:space="preserve">1 Setembro, 2026 </t>
    </r>
    <r>
      <rPr>
        <sz val="16"/>
        <color rgb="FF3B3B3B"/>
        <rFont val="Var(--bs-body-font-family)"/>
      </rPr>
      <t>JF2</t>
    </r>
  </si>
  <si>
    <t>Comissão de Cidadania e Direitos Humanos do TRF2 aproxima alunos de programa de educação de jovens e adultos do Judiciário</t>
  </si>
  <si>
    <t>Imagem de homem acessando o ApoIA pelo computador</t>
  </si>
  <si>
    <r>
      <t xml:space="preserve">25 Agosto, 2026 </t>
    </r>
    <r>
      <rPr>
        <sz val="16"/>
        <color rgb="FF3B3B3B"/>
        <rFont val="Var(--bs-body-font-family)"/>
      </rPr>
      <t>JF2</t>
    </r>
  </si>
  <si>
    <t>Apoia já permite acesso de dados processuais por ferramentas externas de inteligência artificial</t>
  </si>
  <si>
    <t>fundo lilar, mão no canto esquerdo como se pedisse para parar, letras em roxo</t>
  </si>
  <si>
    <t>TRF2 marca os 20 anos de vigência da Lei Maria da Penha</t>
  </si>
  <si>
    <t>Duas pessoas apertando as mãos.</t>
  </si>
  <si>
    <r>
      <t xml:space="preserve">22 Agosto, 2026 </t>
    </r>
    <r>
      <rPr>
        <sz val="16"/>
        <color rgb="FF3B3B3B"/>
        <rFont val="Var(--bs-body-font-family)"/>
      </rPr>
      <t>JF2</t>
    </r>
  </si>
  <si>
    <t>Divulgados vencedores da XVI edição do Prêmio Conciliar é Legal. Destaque para o Projeto Conciliadores Mirins, do TRF2</t>
  </si>
  <si>
    <t>Presidente do TRF2 compareceu à cerimônia de posse da nova gestão do TRF6</t>
  </si>
  <si>
    <r>
      <t xml:space="preserve">20 Agosto, 2026 </t>
    </r>
    <r>
      <rPr>
        <sz val="16"/>
        <color rgb="FF3B3B3B"/>
        <rFont val="Var(--bs-body-font-family)"/>
      </rPr>
      <t>JF2</t>
    </r>
  </si>
  <si>
    <t>Presidente do TRF2 participa da posse da nova gestão do TRF6</t>
  </si>
  <si>
    <t>Foto geral do Plenário do STJ</t>
  </si>
  <si>
    <t>Presidente do TRF2 marca presença na solenidade de posse da gestão do STJ para o biênio 2026-2028</t>
  </si>
  <si>
    <t>Notícias regionais</t>
  </si>
  <si>
    <t>Avisos</t>
  </si>
  <si>
    <r>
      <t xml:space="preserve">16 Setembro, 2026 </t>
    </r>
    <r>
      <rPr>
        <u/>
        <sz val="10"/>
        <color rgb="FF0071B3"/>
        <rFont val="Var(--bs-body-font-family)"/>
      </rPr>
      <t>TRF2</t>
    </r>
    <r>
      <rPr>
        <sz val="10"/>
        <color rgb="FF3B3B3B"/>
        <rFont val="Var(--bs-body-font-family)"/>
      </rPr>
      <t xml:space="preserve"> </t>
    </r>
  </si>
  <si>
    <t>1ª Turma Especializada divulga quórum da sessão de julgamentos do dia 22/9</t>
  </si>
  <si>
    <r>
      <t xml:space="preserve">16 Setembro, 2026 </t>
    </r>
    <r>
      <rPr>
        <u/>
        <sz val="10"/>
        <color rgb="FF0071B3"/>
        <rFont val="Var(--bs-body-font-family)"/>
      </rPr>
      <t>JFRJ</t>
    </r>
    <r>
      <rPr>
        <sz val="10"/>
        <color rgb="FF3B3B3B"/>
        <rFont val="Var(--bs-body-font-family)"/>
      </rPr>
      <t xml:space="preserve"> </t>
    </r>
  </si>
  <si>
    <t>1ª Vara Federal de S. Gonçalo seleciona estagiários de Direito</t>
  </si>
  <si>
    <t>TRF2: Biblioteca terá serviços suspensos para realização de inventário a partir de outubro</t>
  </si>
  <si>
    <r>
      <t xml:space="preserve">16 Setembro, 2026 </t>
    </r>
    <r>
      <rPr>
        <sz val="10"/>
        <color rgb="FF3B3B3B"/>
        <rFont val="Var(--bs-body-font-family)"/>
      </rPr>
      <t>JF2</t>
    </r>
  </si>
  <si>
    <t>TNU realizará sessão ordinária de julgamento em 24 de setembro, com transmissão ao vivo</t>
  </si>
  <si>
    <t xml:space="preserve">Turma Nacional de Uniformização realizará sessão virtual de 24 a 30 de setembro </t>
  </si>
  <si>
    <r>
      <t xml:space="preserve">15 Setembro, 2026 </t>
    </r>
    <r>
      <rPr>
        <u/>
        <sz val="10"/>
        <color rgb="FF0071B3"/>
        <rFont val="Var(--bs-body-font-family)"/>
      </rPr>
      <t>TRF2</t>
    </r>
    <r>
      <rPr>
        <sz val="10"/>
        <color rgb="FF3B3B3B"/>
        <rFont val="Var(--bs-body-font-family)"/>
      </rPr>
      <t xml:space="preserve"> </t>
    </r>
  </si>
  <si>
    <t>5ª Turma Especializada informa que a sessão do dia 16/9 será realizada no formato presencial, com início às 14 horas</t>
  </si>
  <si>
    <r>
      <t xml:space="preserve">14 Setembro, 2026 </t>
    </r>
    <r>
      <rPr>
        <u/>
        <sz val="10"/>
        <color rgb="FF0071B3"/>
        <rFont val="Var(--bs-body-font-family)"/>
      </rPr>
      <t>TRF2</t>
    </r>
    <r>
      <rPr>
        <sz val="10"/>
        <color rgb="FF3B3B3B"/>
        <rFont val="Var(--bs-body-font-family)"/>
      </rPr>
      <t xml:space="preserve"> </t>
    </r>
  </si>
  <si>
    <t>4ª Turma Especializada informa que a sessão do dia 16/9 ocorrerá de forma presencial, com início às 13 horas</t>
  </si>
  <si>
    <r>
      <t xml:space="preserve">10 Setembro, 2026 </t>
    </r>
    <r>
      <rPr>
        <u/>
        <sz val="10"/>
        <color rgb="FF0071B3"/>
        <rFont val="Var(--bs-body-font-family)"/>
      </rPr>
      <t>JFRJ</t>
    </r>
    <r>
      <rPr>
        <sz val="10"/>
        <color rgb="FF3B3B3B"/>
        <rFont val="Var(--bs-body-font-family)"/>
      </rPr>
      <t xml:space="preserve"> </t>
    </r>
  </si>
  <si>
    <t>Seleção de estagiários de nível superior em Desenho Industrial para a área administrativa da SJRJ</t>
  </si>
  <si>
    <r>
      <t xml:space="preserve">9 Setembro, 2026 </t>
    </r>
    <r>
      <rPr>
        <u/>
        <sz val="10"/>
        <color rgb="FF0071B3"/>
        <rFont val="Var(--bs-body-font-family)"/>
      </rPr>
      <t>TRF2</t>
    </r>
    <r>
      <rPr>
        <sz val="10"/>
        <color rgb="FF3B3B3B"/>
        <rFont val="Var(--bs-body-font-family)"/>
      </rPr>
      <t xml:space="preserve"> </t>
    </r>
  </si>
  <si>
    <t>2ª Turma Especializada divulga quórum da sessão de julgamentos do dia 17/9</t>
  </si>
  <si>
    <t>1ª Turma Especializada divulga quórum da sessão de julgamentos do dia 16/9</t>
  </si>
  <si>
    <r>
      <t xml:space="preserve">9 Setembro, 2026 </t>
    </r>
    <r>
      <rPr>
        <u/>
        <sz val="10"/>
        <color rgb="FF0071B3"/>
        <rFont val="Var(--bs-body-font-family)"/>
      </rPr>
      <t>JFRJ</t>
    </r>
    <r>
      <rPr>
        <sz val="10"/>
        <color rgb="FF3B3B3B"/>
        <rFont val="Var(--bs-body-font-family)"/>
      </rPr>
      <t xml:space="preserve"> </t>
    </r>
  </si>
  <si>
    <t>Processo Seletivo de Estagiários – 1ª Vara Federal de São Gonçalo</t>
  </si>
  <si>
    <t>1ª Turma Especializada divulga quórum da sessão de julgamentos do dia 15/9</t>
  </si>
  <si>
    <r>
      <t xml:space="preserve">8 Setembro, 2026 </t>
    </r>
    <r>
      <rPr>
        <sz val="10"/>
        <color rgb="FF3B3B3B"/>
        <rFont val="Var(--bs-body-font-family)"/>
      </rPr>
      <t>JF2</t>
    </r>
  </si>
  <si>
    <t>Emarf abre inscrições gratuitas, de 8/9 a 24/9, para vagas de estágio do curso de Direito no TRF2, na SJRJ e na SJES</t>
  </si>
  <si>
    <r>
      <t xml:space="preserve">8 Setembro, 2026 </t>
    </r>
    <r>
      <rPr>
        <u/>
        <sz val="10"/>
        <color rgb="FF0071B3"/>
        <rFont val="Var(--bs-body-font-family)"/>
      </rPr>
      <t>JFRJ</t>
    </r>
    <r>
      <rPr>
        <sz val="10"/>
        <color rgb="FF3B3B3B"/>
        <rFont val="Var(--bs-body-font-family)"/>
      </rPr>
      <t xml:space="preserve"> </t>
    </r>
  </si>
  <si>
    <t>Responsabilidade Social e Ambiental</t>
  </si>
  <si>
    <t>Logo UMF</t>
  </si>
  <si>
    <t>Unidade de Monitoramento e Fiscalização - Sistema Interamericano de Direitos Humanos</t>
  </si>
  <si>
    <t>Ícone van azul com marca da Justiça Federal</t>
  </si>
  <si>
    <t>Justiça Itinerante e Pop Rua Jud</t>
  </si>
  <si>
    <t>Ilustração azul - folha de costela de adão</t>
  </si>
  <si>
    <t>Portal Socioambiental</t>
  </si>
  <si>
    <t>Ilustração em azul - pessoas em pé</t>
  </si>
  <si>
    <t>Programa de visitas</t>
  </si>
  <si>
    <t>Notícias Regionais</t>
  </si>
  <si>
    <t>Comunicação TRF2</t>
  </si>
  <si>
    <t>Banner do evento</t>
  </si>
  <si>
    <t>Ministros do STJ participam de seminário sobre novo Marco Legal dos Seguros e desafios para a segurança jurídica no setor</t>
  </si>
  <si>
    <t>Banner do relatório</t>
  </si>
  <si>
    <t>CNJ: Relatório traça panorama inédito das estruturas de direitos humanos nos tribunais brasileiros</t>
  </si>
  <si>
    <t>Banner do Panthéon-Sorbonne</t>
  </si>
  <si>
    <t>Saiu o resultado definitivo das inscrições para Doutorado e Pós-Doutorado na Universidade Paris 1 Panthéon-Sorbonne</t>
  </si>
  <si>
    <t>CJF</t>
  </si>
  <si>
    <t>CJF apresenta nova estrutura voltada à integração e à governança da Justiça Federal</t>
  </si>
  <si>
    <t>Banner Tecnologia</t>
  </si>
  <si>
    <t>Justiça Federal avança na execução do Plano Nacional de Inovação com ações compartilhadas em rede</t>
  </si>
  <si>
    <t>+ MAIS</t>
  </si>
  <si>
    <t>Comunicação JFRJ</t>
  </si>
  <si>
    <t>mãos de crianças entrelaçadas</t>
  </si>
  <si>
    <r>
      <t xml:space="preserve">9 Setembro, 2026 </t>
    </r>
    <r>
      <rPr>
        <u/>
        <sz val="10"/>
        <color rgb="FF0071B3"/>
        <rFont val="Var(--bs-body-font-family)"/>
      </rPr>
      <t>JFRJ</t>
    </r>
  </si>
  <si>
    <t>Projeto "Conciliadores Mirins" vence XVI Prêmio Conciliar é Legal, do CNJ</t>
  </si>
  <si>
    <t>Fachada do prédio localizado no Rio Comprido</t>
  </si>
  <si>
    <r>
      <t xml:space="preserve">31 Agosto, 2026 </t>
    </r>
    <r>
      <rPr>
        <u/>
        <sz val="10"/>
        <color rgb="FF0071B3"/>
        <rFont val="Var(--bs-body-font-family)"/>
      </rPr>
      <t>JFRJ</t>
    </r>
  </si>
  <si>
    <t>Justiça Federal defere reintegração de posse de imóvel ocupado por mais de cem famílias, mas determina medidas preparatórias antes da desocupação</t>
  </si>
  <si>
    <t>sombra de rosto de mulher</t>
  </si>
  <si>
    <r>
      <t xml:space="preserve">28 Agosto, 2026 </t>
    </r>
    <r>
      <rPr>
        <u/>
        <sz val="10"/>
        <color rgb="FF0071B3"/>
        <rFont val="Var(--bs-body-font-family)"/>
      </rPr>
      <t>JFRJ</t>
    </r>
  </si>
  <si>
    <t>Lei Maria da Penha: “O silêncio pode prolongar um ciclo que se encerra com o feminicídio”, diz magistrada</t>
  </si>
  <si>
    <t>Inspeção Judicial realizada  em 13 de agosto</t>
  </si>
  <si>
    <r>
      <t xml:space="preserve">24 Agosto, 2026 </t>
    </r>
    <r>
      <rPr>
        <u/>
        <sz val="10"/>
        <color rgb="FF0071B3"/>
        <rFont val="Var(--bs-body-font-family)"/>
      </rPr>
      <t>JFRJ</t>
    </r>
  </si>
  <si>
    <t>1ª Vara Federal de Itaboraí realiza Inspeção Judicial em Silva Jardim e busca solução consensual para recomposição ambiental da Mata Atlântica</t>
  </si>
  <si>
    <t>mulheres e homem brancos em mesa sentados lado a lado</t>
  </si>
  <si>
    <t>"Conhecendo a SJRJ" recebe estudantes de CIEP de Duque de Caxias</t>
  </si>
  <si>
    <t>Comunicação JFES</t>
  </si>
  <si>
    <t>Montagem de quatro fotos de juízes e juízas participando do curso, exercitando a ferramenta de inteligência artificial em computadores de mesa</t>
  </si>
  <si>
    <r>
      <t xml:space="preserve">11 Setembro, 2026 </t>
    </r>
    <r>
      <rPr>
        <u/>
        <sz val="10"/>
        <color rgb="FF0071B3"/>
        <rFont val="Var(--bs-body-font-family)"/>
      </rPr>
      <t>JFES</t>
    </r>
  </si>
  <si>
    <t>Magistrados(as) da JFES participam de curso sobre Inteligência Artificial Generativa</t>
  </si>
  <si>
    <t>Cartaz estágio</t>
  </si>
  <si>
    <r>
      <t xml:space="preserve">9 Setembro, 2026 </t>
    </r>
    <r>
      <rPr>
        <u/>
        <sz val="10"/>
        <color rgb="FF0071B3"/>
        <rFont val="Var(--bs-body-font-family)"/>
      </rPr>
      <t>JFES</t>
    </r>
  </si>
  <si>
    <t>Seis homens e uma mulher (ao centro), de pé, posam para a foto. Dois deles mostram documentos assinados</t>
  </si>
  <si>
    <r>
      <t xml:space="preserve">3 Setembro, 2026 </t>
    </r>
    <r>
      <rPr>
        <u/>
        <sz val="10"/>
        <color rgb="FF0071B3"/>
        <rFont val="Var(--bs-body-font-family)"/>
      </rPr>
      <t>JFES</t>
    </r>
  </si>
  <si>
    <t>IJSN apresenta dados dos mutirões PopRuaJud no ES e firma protocolo de intenções com Comitê estadual</t>
  </si>
  <si>
    <t>Um homem e três mulheres posam sorrindo para a foto</t>
  </si>
  <si>
    <t>CPAMAS/JFES participa do II Encontro Direito LGBTQIA+ e Justiça, em São Paulo</t>
  </si>
  <si>
    <t>Card do evento, cuja fundo traz foto de estatueta da deusa da Justiça sobre uma mesa, estante de livros, elementos gráficos de calculadora e tabelas, representando o tema da palestra. Sobre a imagem, o título da palestra, nome do palestrante, data e local do evento, e logomarcas do TRF2, da Emarf e da JFES</t>
  </si>
  <si>
    <r>
      <t xml:space="preserve">2 Setembro, 2026 </t>
    </r>
    <r>
      <rPr>
        <u/>
        <sz val="10"/>
        <color rgb="FF0071B3"/>
        <rFont val="Var(--bs-body-font-family)"/>
      </rPr>
      <t>JFES</t>
    </r>
  </si>
  <si>
    <t>TRF2, Emarf e JFES convidam para palestra com ministro do STJ no dia 18/9, sexta, sobre os impactos da reforma tributária na Justiça Federal</t>
  </si>
  <si>
    <t xml:space="preserve">Your browser does not support iframes, but you can visit </t>
  </si>
  <si>
    <t>Informações úteis sobre os órgãos da 2ª Região</t>
  </si>
  <si>
    <t>Tribunal Regional Federal da 2ª Região</t>
  </si>
  <si>
    <t>ícone Instagram</t>
  </si>
  <si>
    <t>ícone Twitter-X</t>
  </si>
  <si>
    <t>ícone You Tube</t>
  </si>
  <si>
    <t>Sede</t>
  </si>
  <si>
    <t>Rua Acre, 80 - Centro - Rio de Janeiro-RJ</t>
  </si>
  <si>
    <t>CEP: 20081-000</t>
  </si>
  <si>
    <t>Telefone do Tribunal Regional Federal da 2ª Região</t>
  </si>
  <si>
    <t xml:space="preserve">Telefone da Justiça Federal do Rio Janeiro </t>
  </si>
  <si>
    <t>Telefone da Justiça Federal do Espírito Santo</t>
  </si>
  <si>
    <t>CNPJ: 32.243.347/0001-51</t>
  </si>
  <si>
    <t>Atendimento ao usuário do Eproc (dias úteis - 11h às 19h)</t>
  </si>
  <si>
    <t>(21) 2282-8854</t>
  </si>
  <si>
    <t>Abertura de chamados</t>
  </si>
  <si>
    <t>Contato</t>
  </si>
  <si>
    <t>Tel.: (21) 2282-8000 (2ª instância)</t>
  </si>
  <si>
    <t>Justiça Federal do Rio de Janeiro</t>
  </si>
  <si>
    <t>ícone Telegram</t>
  </si>
  <si>
    <t>Contatos</t>
  </si>
  <si>
    <t>Teleatendimento</t>
  </si>
  <si>
    <t>Atendimento ao usuário do Eproc, demais sistemas processuais e informações diversas:</t>
  </si>
  <si>
    <t>(Dias úteis - 11h às 19h)</t>
  </si>
  <si>
    <r>
      <t>(21) 2282-8854</t>
    </r>
    <r>
      <rPr>
        <b/>
        <sz val="10"/>
        <color rgb="FF3B3B3B"/>
        <rFont val="Var(--bs-body-font-family)"/>
      </rPr>
      <t xml:space="preserve"> </t>
    </r>
  </si>
  <si>
    <r>
      <t xml:space="preserve">Ou utilize a </t>
    </r>
    <r>
      <rPr>
        <b/>
        <u/>
        <sz val="10"/>
        <color rgb="FF0071B3"/>
        <rFont val="Var(--bs-body-font-family)"/>
      </rPr>
      <t>Abertura de chamados</t>
    </r>
  </si>
  <si>
    <t>Informações sobre Certidões de Distribuição:</t>
  </si>
  <si>
    <t>(21) 3218-9347</t>
  </si>
  <si>
    <t>secer@jfrj.jus.br</t>
  </si>
  <si>
    <t>Fale com a Judi (atendente virtual):</t>
  </si>
  <si>
    <t>Por telegram</t>
  </si>
  <si>
    <t>Varas, Juizados e Turmas Recursais:</t>
  </si>
  <si>
    <t>Contatos dos juízos</t>
  </si>
  <si>
    <t>Endereços</t>
  </si>
  <si>
    <t>Fóruns da capital:</t>
  </si>
  <si>
    <t>Avenida Rio Branco, 243 – Centro – Rio de Janeiro – RJ – CEP: 20040-009</t>
  </si>
  <si>
    <t>Avenida Venezuela, 134 – Saúde – Rio de Janeiro – RJ – CEP: 20081-312</t>
  </si>
  <si>
    <t>Sede administrativa:</t>
  </si>
  <si>
    <t>Av. Almirante Barroso, 78 – Centro – Rio de Janeiro – RJ – CEP: 20031-001</t>
  </si>
  <si>
    <t>Fóruns das Subseções</t>
  </si>
  <si>
    <t>Horários:</t>
  </si>
  <si>
    <t>Horário de atendimento:</t>
  </si>
  <si>
    <t>das 12h às 17h</t>
  </si>
  <si>
    <t>Horário de expediente:</t>
  </si>
  <si>
    <t>das 11h às 19h</t>
  </si>
  <si>
    <t>Plantão judiciário:</t>
  </si>
  <si>
    <t>Pedidos urgentes fora do horário de expediente (inclusive feriados e finais de semana)</t>
  </si>
  <si>
    <t>Juízos de plantão</t>
  </si>
  <si>
    <t>Perguntas e respostas com links para formas de contato da JFRJ</t>
  </si>
  <si>
    <t>CNPJ</t>
  </si>
  <si>
    <t>Justiça Federal de Primeiro Grau no Rio de Janeiro</t>
  </si>
  <si>
    <t>CNPJ: 05.424.540/0001-16</t>
  </si>
  <si>
    <t>Justiça Federal do Espírito Santo</t>
  </si>
  <si>
    <t xml:space="preserve">Av. Marechal Mascarenhas de  Moraes, 1.877, Monte Belo, Vitória - ES </t>
  </si>
  <si>
    <t xml:space="preserve">CEP: 29053-245 </t>
  </si>
  <si>
    <t>Tel.: (27) 3183-5000</t>
  </si>
  <si>
    <t>CNPJ: 05.424.467/0001-82</t>
  </si>
  <si>
    <t>Atendimento presencial nos fóruns da Justiça Federal</t>
  </si>
  <si>
    <t>Público em geral</t>
  </si>
  <si>
    <t xml:space="preserve">dias úteis, das 12 às 17h </t>
  </si>
  <si>
    <t>Advogados e estagiários de Direito com carteira da OAB</t>
  </si>
  <si>
    <t>dias úteis, das 12 às 19h</t>
  </si>
  <si>
    <t>Atendimento ao usuário do Eproc (Dias úteis - 11h às 19h)</t>
  </si>
  <si>
    <t>Símbolo acessibilidade da ONU, boneco estilizado preto e azul em círculo preto</t>
  </si>
  <si>
    <t>Site acessível</t>
  </si>
  <si>
    <r>
      <t xml:space="preserve">Desenvolvido pela Justiça Federal da 2ª Região, com </t>
    </r>
    <r>
      <rPr>
        <u/>
        <sz val="8.75"/>
        <color rgb="FF0071B3"/>
        <rFont val="Var(--bs-body-font-family)"/>
      </rPr>
      <t>Drupal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</si>
</sst>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1">
    <numFmt numFmtId="173" formatCode="_(* #,##0.00_);_(* \(#,##0.00\);_(* &quot;-&quot;??_);_(@_)"/>
    <numFmt numFmtId="174" formatCode="############\-#"/>
    <numFmt numFmtId="175" formatCode="0.0%"/>
    <numFmt numFmtId="176" formatCode="mmm\-yyyy"/>
    <numFmt numFmtId="177" formatCode="#,##0.00;[Red]#,##0.00"/>
    <numFmt numFmtId="178" formatCode="dd\-mm\-yyyy"/>
    <numFmt numFmtId="179" formatCode="d\-mm\-yyyy"/>
    <numFmt numFmtId="181" formatCode="0.0000000"/>
    <numFmt numFmtId="182" formatCode="0.00000000"/>
    <numFmt numFmtId="183" formatCode="0.0000000000"/>
    <numFmt numFmtId="184" formatCode="0.0000"/>
    <numFmt numFmtId="185" formatCode="&quot;R$ &quot;#,##0.00"/>
    <numFmt numFmtId="186" formatCode="0.0000%"/>
    <numFmt numFmtId="187" formatCode="0.00000%"/>
    <numFmt numFmtId="188" formatCode="0.000000%"/>
    <numFmt numFmtId="189" formatCode="0.000000000000"/>
    <numFmt numFmtId="190" formatCode="d\-mmm\-yyyy"/>
    <numFmt numFmtId="191" formatCode="d\-m\-yyyy"/>
    <numFmt numFmtId="196" formatCode="0.000%"/>
    <numFmt numFmtId="199" formatCode="#,##0.0000"/>
    <numFmt numFmtId="203" formatCode="#,##0.00000000"/>
  </numFmts>
  <fonts count="76">
    <font>
      <sz val="10"/>
      <name val="Arial"/>
    </font>
    <font>
      <sz val="10"/>
      <name val="Arial"/>
    </font>
    <font>
      <sz val="5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0"/>
      <name val="Arial Narrow"/>
      <family val="2"/>
    </font>
    <font>
      <sz val="8"/>
      <name val="Arial Narrow"/>
      <family val="2"/>
    </font>
    <font>
      <sz val="6"/>
      <name val="Arial"/>
      <family val="2"/>
    </font>
    <font>
      <b/>
      <sz val="8"/>
      <name val="Arial"/>
      <family val="2"/>
    </font>
    <font>
      <b/>
      <sz val="5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sz val="8"/>
      <name val="Tahoma"/>
      <family val="2"/>
    </font>
    <font>
      <b/>
      <sz val="6"/>
      <name val="Arial"/>
      <family val="2"/>
    </font>
    <font>
      <b/>
      <u/>
      <sz val="10"/>
      <color indexed="8"/>
      <name val="Arial"/>
      <family val="2"/>
    </font>
    <font>
      <b/>
      <sz val="8"/>
      <color indexed="8"/>
      <name val="Arial"/>
      <family val="2"/>
    </font>
    <font>
      <b/>
      <sz val="12"/>
      <color indexed="12"/>
      <name val="Arial"/>
      <family val="2"/>
    </font>
    <font>
      <b/>
      <u/>
      <sz val="10"/>
      <color indexed="10"/>
      <name val="Arial"/>
      <family val="2"/>
    </font>
    <font>
      <b/>
      <u/>
      <sz val="10"/>
      <name val="Arial"/>
      <family val="2"/>
    </font>
    <font>
      <sz val="10"/>
      <name val="Verdana"/>
      <family val="2"/>
    </font>
    <font>
      <b/>
      <u/>
      <sz val="8"/>
      <color indexed="8"/>
      <name val="Arial"/>
      <family val="2"/>
    </font>
    <font>
      <b/>
      <sz val="10"/>
      <color indexed="8"/>
      <name val="Arial"/>
      <family val="2"/>
    </font>
    <font>
      <sz val="10"/>
      <color indexed="10"/>
      <name val="Tahoma"/>
      <family val="2"/>
    </font>
    <font>
      <sz val="7"/>
      <color indexed="8"/>
      <name val="Arial"/>
      <family val="2"/>
    </font>
    <font>
      <sz val="8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b/>
      <sz val="12"/>
      <name val="Century Gothic"/>
      <family val="2"/>
    </font>
    <font>
      <b/>
      <sz val="10"/>
      <name val="Arial Narrow"/>
      <family val="2"/>
    </font>
    <font>
      <sz val="11"/>
      <name val="Arial"/>
      <family val="2"/>
    </font>
    <font>
      <sz val="12"/>
      <name val="Arial"/>
      <family val="2"/>
    </font>
    <font>
      <b/>
      <sz val="9"/>
      <color indexed="10"/>
      <name val="Arial"/>
      <family val="2"/>
    </font>
    <font>
      <b/>
      <sz val="8"/>
      <color indexed="10"/>
      <name val="Arial"/>
      <family val="2"/>
    </font>
    <font>
      <sz val="7"/>
      <name val="Arial"/>
      <family val="2"/>
    </font>
    <font>
      <sz val="12"/>
      <color indexed="8"/>
      <name val="Arial"/>
      <family val="2"/>
    </font>
    <font>
      <b/>
      <sz val="12"/>
      <name val="Arial"/>
      <family val="2"/>
    </font>
    <font>
      <sz val="12"/>
      <name val="Arial Narrow"/>
      <family val="2"/>
    </font>
    <font>
      <b/>
      <sz val="9"/>
      <name val="Arial"/>
      <family val="2"/>
    </font>
    <font>
      <b/>
      <u/>
      <sz val="12"/>
      <color indexed="12"/>
      <name val="Arial"/>
      <family val="2"/>
    </font>
    <font>
      <b/>
      <i/>
      <sz val="10"/>
      <name val="Arial"/>
      <family val="2"/>
    </font>
    <font>
      <sz val="8"/>
      <color indexed="10"/>
      <name val="Verdana"/>
      <family val="2"/>
    </font>
    <font>
      <b/>
      <i/>
      <sz val="8"/>
      <name val="Arial"/>
      <family val="2"/>
    </font>
    <font>
      <b/>
      <u/>
      <sz val="12"/>
      <name val="Arial"/>
      <family val="2"/>
    </font>
    <font>
      <b/>
      <sz val="8"/>
      <name val="Arial Narrow"/>
      <family val="2"/>
    </font>
    <font>
      <b/>
      <sz val="9"/>
      <name val="Arial Narrow"/>
      <family val="2"/>
    </font>
    <font>
      <b/>
      <sz val="11"/>
      <name val="Arial"/>
      <family val="2"/>
    </font>
    <font>
      <b/>
      <i/>
      <sz val="9"/>
      <name val="Arial"/>
      <family val="2"/>
    </font>
    <font>
      <b/>
      <sz val="12"/>
      <name val="Century"/>
      <family val="1"/>
    </font>
    <font>
      <b/>
      <sz val="14"/>
      <name val="Century Gothic"/>
      <family val="2"/>
    </font>
    <font>
      <sz val="11"/>
      <color theme="1"/>
      <name val="Calibri"/>
      <family val="2"/>
      <scheme val="minor"/>
    </font>
    <font>
      <b/>
      <u/>
      <sz val="12"/>
      <color rgb="FF0000FF"/>
      <name val="Arial"/>
      <family val="2"/>
    </font>
    <font>
      <sz val="8"/>
      <color rgb="FF0000FF"/>
      <name val="Arial"/>
      <family val="2"/>
    </font>
    <font>
      <b/>
      <u/>
      <sz val="10"/>
      <color rgb="FF0070C0"/>
      <name val="Arial"/>
      <family val="2"/>
    </font>
    <font>
      <sz val="8"/>
      <color rgb="FFFF0000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0"/>
      <color rgb="FFFF0000"/>
      <name val="Verdana"/>
      <family val="2"/>
    </font>
    <font>
      <b/>
      <sz val="12"/>
      <color rgb="FF0000FF"/>
      <name val="Arial"/>
      <family val="2"/>
    </font>
    <font>
      <sz val="10"/>
      <color rgb="FF3B3B3B"/>
      <name val="Var(--bs-body-font-family)"/>
    </font>
    <font>
      <u/>
      <sz val="10"/>
      <color rgb="FF0071B3"/>
      <name val="Var(--bs-body-font-family)"/>
    </font>
    <font>
      <u/>
      <sz val="24"/>
      <color rgb="FF0071B3"/>
      <name val="Var(--bs-body-font-family)"/>
    </font>
    <font>
      <i/>
      <sz val="13"/>
      <color rgb="FFFFFFFF"/>
      <name val="Var(--bs-body-font-family)"/>
    </font>
    <font>
      <sz val="18"/>
      <color rgb="FF3B3B3B"/>
      <name val="Var(--bs-body-font-family)"/>
    </font>
    <font>
      <sz val="16"/>
      <color rgb="FF3B3B3B"/>
      <name val="Var(--bs-body-font-family)"/>
    </font>
    <font>
      <u/>
      <sz val="16"/>
      <color rgb="FF0071B3"/>
      <name val="Var(--bs-body-font-family)"/>
    </font>
    <font>
      <u/>
      <sz val="10"/>
      <color rgb="FFFFFFFF"/>
      <name val="Var(--bs-body-font-family)"/>
    </font>
    <font>
      <sz val="8.75"/>
      <color rgb="FFFFFFFF"/>
      <name val="Var(--bs-body-font-family)"/>
    </font>
    <font>
      <sz val="16"/>
      <color rgb="FFAEDEFC"/>
      <name val="Var(--bs-body-font-family)"/>
    </font>
    <font>
      <sz val="8.75"/>
      <color rgb="FF3B3B3B"/>
      <name val="Var(--bs-body-font-family)"/>
    </font>
    <font>
      <b/>
      <sz val="10"/>
      <color rgb="FF3B3B3B"/>
      <name val="Var(--bs-body-font-family)"/>
    </font>
    <font>
      <sz val="12"/>
      <color rgb="FF3B3B3B"/>
      <name val="Var(--bs-body-font-family)"/>
    </font>
    <font>
      <b/>
      <u/>
      <sz val="10"/>
      <color rgb="FF0071B3"/>
      <name val="Var(--bs-body-font-family)"/>
    </font>
    <font>
      <u/>
      <sz val="8.75"/>
      <color rgb="FF0071B3"/>
      <name val="Var(--bs-body-font-family)"/>
    </font>
  </fonts>
  <fills count="25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>
        <bgColor theme="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F3E6D"/>
        <bgColor indexed="64"/>
      </patternFill>
    </fill>
    <fill>
      <patternFill patternType="solid">
        <fgColor rgb="FFF4F4F4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4" fillId="0" borderId="0"/>
    <xf numFmtId="0" fontId="52" fillId="0" borderId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173" fontId="4" fillId="0" borderId="0" applyFont="0" applyFill="0" applyBorder="0" applyAlignment="0" applyProtection="0"/>
  </cellStyleXfs>
  <cellXfs count="666">
    <xf numFmtId="0" fontId="0" fillId="0" borderId="0" xfId="0"/>
    <xf numFmtId="176" fontId="0" fillId="0" borderId="0" xfId="0" applyNumberFormat="1" applyProtection="1"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right"/>
      <protection hidden="1"/>
    </xf>
    <xf numFmtId="0" fontId="1" fillId="0" borderId="0" xfId="0" applyFont="1" applyFill="1" applyProtection="1">
      <protection hidden="1"/>
    </xf>
    <xf numFmtId="0" fontId="2" fillId="0" borderId="0" xfId="0" applyFont="1" applyProtection="1">
      <protection hidden="1"/>
    </xf>
    <xf numFmtId="0" fontId="5" fillId="0" borderId="0" xfId="0" applyFon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2" borderId="0" xfId="0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0" xfId="0" applyFill="1" applyProtection="1">
      <protection hidden="1"/>
    </xf>
    <xf numFmtId="0" fontId="13" fillId="3" borderId="1" xfId="0" applyFont="1" applyFill="1" applyBorder="1" applyAlignment="1" applyProtection="1">
      <alignment horizontal="left"/>
      <protection hidden="1"/>
    </xf>
    <xf numFmtId="0" fontId="13" fillId="8" borderId="1" xfId="0" applyFont="1" applyFill="1" applyBorder="1" applyAlignment="1" applyProtection="1">
      <alignment horizontal="center" vertical="center"/>
      <protection hidden="1"/>
    </xf>
    <xf numFmtId="1" fontId="13" fillId="4" borderId="1" xfId="0" applyNumberFormat="1" applyFont="1" applyFill="1" applyBorder="1" applyAlignment="1" applyProtection="1">
      <alignment horizontal="center" vertical="center"/>
      <protection hidden="1"/>
    </xf>
    <xf numFmtId="176" fontId="5" fillId="5" borderId="1" xfId="0" applyNumberFormat="1" applyFont="1" applyFill="1" applyBorder="1" applyAlignment="1" applyProtection="1">
      <alignment horizontal="center" vertical="center"/>
      <protection locked="0"/>
    </xf>
    <xf numFmtId="49" fontId="5" fillId="5" borderId="1" xfId="0" applyNumberFormat="1" applyFont="1" applyFill="1" applyBorder="1" applyAlignment="1" applyProtection="1">
      <alignment horizontal="center" vertical="center"/>
      <protection locked="0"/>
    </xf>
    <xf numFmtId="4" fontId="13" fillId="5" borderId="2" xfId="0" applyNumberFormat="1" applyFont="1" applyFill="1" applyBorder="1" applyAlignment="1" applyProtection="1">
      <alignment horizontal="center" vertical="center"/>
      <protection locked="0"/>
    </xf>
    <xf numFmtId="0" fontId="11" fillId="3" borderId="1" xfId="0" applyFont="1" applyFill="1" applyBorder="1" applyAlignment="1" applyProtection="1">
      <alignment horizontal="center" vertical="center"/>
      <protection hidden="1"/>
    </xf>
    <xf numFmtId="0" fontId="11" fillId="3" borderId="3" xfId="0" applyFont="1" applyFill="1" applyBorder="1" applyAlignment="1" applyProtection="1">
      <alignment horizontal="center" vertical="center"/>
      <protection hidden="1"/>
    </xf>
    <xf numFmtId="0" fontId="0" fillId="0" borderId="0" xfId="0" applyProtection="1"/>
    <xf numFmtId="0" fontId="0" fillId="0" borderId="0" xfId="0" applyFill="1" applyProtection="1"/>
    <xf numFmtId="0" fontId="13" fillId="0" borderId="0" xfId="0" applyFont="1" applyFill="1" applyBorder="1" applyAlignment="1" applyProtection="1">
      <alignment horizontal="right"/>
    </xf>
    <xf numFmtId="0" fontId="0" fillId="0" borderId="0" xfId="0" applyFill="1" applyBorder="1" applyAlignment="1" applyProtection="1">
      <alignment horizontal="center"/>
    </xf>
    <xf numFmtId="0" fontId="13" fillId="5" borderId="3" xfId="0" applyNumberFormat="1" applyFont="1" applyFill="1" applyBorder="1" applyAlignment="1" applyProtection="1">
      <alignment horizontal="center" vertical="center"/>
      <protection locked="0"/>
    </xf>
    <xf numFmtId="4" fontId="5" fillId="5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</xf>
    <xf numFmtId="0" fontId="11" fillId="9" borderId="1" xfId="0" applyFont="1" applyFill="1" applyBorder="1" applyAlignment="1" applyProtection="1">
      <alignment horizontal="center" vertical="center"/>
      <protection hidden="1"/>
    </xf>
    <xf numFmtId="179" fontId="4" fillId="3" borderId="4" xfId="0" applyNumberFormat="1" applyFont="1" applyFill="1" applyBorder="1" applyAlignment="1" applyProtection="1">
      <alignment horizontal="center" wrapText="1"/>
      <protection hidden="1"/>
    </xf>
    <xf numFmtId="10" fontId="28" fillId="3" borderId="4" xfId="3" applyNumberFormat="1" applyFont="1" applyFill="1" applyBorder="1" applyAlignment="1" applyProtection="1">
      <alignment horizontal="center" wrapText="1"/>
      <protection hidden="1"/>
    </xf>
    <xf numFmtId="10" fontId="9" fillId="3" borderId="4" xfId="3" applyNumberFormat="1" applyFont="1" applyFill="1" applyBorder="1" applyAlignment="1" applyProtection="1">
      <alignment horizontal="center" wrapText="1"/>
      <protection hidden="1"/>
    </xf>
    <xf numFmtId="10" fontId="13" fillId="3" borderId="1" xfId="3" applyNumberFormat="1" applyFont="1" applyFill="1" applyBorder="1" applyAlignment="1" applyProtection="1">
      <alignment horizontal="center" vertical="center" wrapText="1"/>
      <protection hidden="1"/>
    </xf>
    <xf numFmtId="10" fontId="13" fillId="3" borderId="1" xfId="3" applyNumberFormat="1" applyFont="1" applyFill="1" applyBorder="1" applyAlignment="1" applyProtection="1">
      <alignment horizontal="center" wrapText="1"/>
      <protection hidden="1"/>
    </xf>
    <xf numFmtId="186" fontId="28" fillId="3" borderId="1" xfId="3" applyNumberFormat="1" applyFont="1" applyFill="1" applyBorder="1" applyAlignment="1" applyProtection="1">
      <alignment horizontal="center" wrapText="1"/>
      <protection hidden="1"/>
    </xf>
    <xf numFmtId="184" fontId="13" fillId="3" borderId="1" xfId="3" applyNumberFormat="1" applyFont="1" applyFill="1" applyBorder="1" applyAlignment="1" applyProtection="1">
      <alignment horizontal="center" vertical="center" wrapText="1"/>
      <protection hidden="1"/>
    </xf>
    <xf numFmtId="10" fontId="29" fillId="3" borderId="1" xfId="3" applyNumberFormat="1" applyFont="1" applyFill="1" applyBorder="1" applyAlignment="1" applyProtection="1">
      <alignment horizontal="center" vertical="center" wrapText="1"/>
      <protection hidden="1"/>
    </xf>
    <xf numFmtId="184" fontId="29" fillId="3" borderId="1" xfId="3" applyNumberFormat="1" applyFont="1" applyFill="1" applyBorder="1" applyAlignment="1" applyProtection="1">
      <alignment horizontal="center" vertical="center" wrapText="1"/>
      <protection hidden="1"/>
    </xf>
    <xf numFmtId="187" fontId="13" fillId="3" borderId="1" xfId="3" applyNumberFormat="1" applyFont="1" applyFill="1" applyBorder="1" applyAlignment="1" applyProtection="1">
      <alignment horizontal="center" vertical="center" wrapText="1"/>
      <protection hidden="1"/>
    </xf>
    <xf numFmtId="0" fontId="13" fillId="3" borderId="1" xfId="0" applyFont="1" applyFill="1" applyBorder="1" applyAlignment="1" applyProtection="1">
      <alignment horizontal="center" vertical="center"/>
      <protection hidden="1"/>
    </xf>
    <xf numFmtId="0" fontId="0" fillId="10" borderId="0" xfId="0" applyFill="1" applyProtection="1">
      <protection hidden="1"/>
    </xf>
    <xf numFmtId="0" fontId="13" fillId="11" borderId="1" xfId="0" applyFont="1" applyFill="1" applyBorder="1" applyAlignment="1" applyProtection="1">
      <alignment horizontal="left" vertical="center"/>
      <protection hidden="1"/>
    </xf>
    <xf numFmtId="184" fontId="0" fillId="0" borderId="0" xfId="0" applyNumberFormat="1" applyProtection="1">
      <protection hidden="1"/>
    </xf>
    <xf numFmtId="10" fontId="0" fillId="0" borderId="0" xfId="0" applyNumberFormat="1" applyProtection="1">
      <protection hidden="1"/>
    </xf>
    <xf numFmtId="0" fontId="1" fillId="12" borderId="0" xfId="0" applyFont="1" applyFill="1" applyProtection="1">
      <protection hidden="1"/>
    </xf>
    <xf numFmtId="0" fontId="21" fillId="12" borderId="0" xfId="0" applyFont="1" applyFill="1" applyAlignment="1" applyProtection="1">
      <alignment horizontal="left"/>
      <protection hidden="1"/>
    </xf>
    <xf numFmtId="174" fontId="3" fillId="12" borderId="0" xfId="0" applyNumberFormat="1" applyFont="1" applyFill="1" applyBorder="1" applyAlignment="1" applyProtection="1">
      <alignment horizontal="center" vertical="center"/>
      <protection hidden="1"/>
    </xf>
    <xf numFmtId="0" fontId="5" fillId="12" borderId="0" xfId="0" applyFont="1" applyFill="1" applyProtection="1">
      <protection hidden="1"/>
    </xf>
    <xf numFmtId="0" fontId="3" fillId="12" borderId="0" xfId="0" applyNumberFormat="1" applyFont="1" applyFill="1" applyBorder="1" applyAlignment="1" applyProtection="1">
      <alignment horizontal="left" vertical="center"/>
      <protection hidden="1"/>
    </xf>
    <xf numFmtId="0" fontId="1" fillId="12" borderId="0" xfId="0" applyFont="1" applyFill="1" applyBorder="1" applyProtection="1">
      <protection hidden="1"/>
    </xf>
    <xf numFmtId="0" fontId="5" fillId="12" borderId="0" xfId="0" applyFont="1" applyFill="1" applyBorder="1" applyProtection="1">
      <protection hidden="1"/>
    </xf>
    <xf numFmtId="4" fontId="14" fillId="12" borderId="0" xfId="0" applyNumberFormat="1" applyFont="1" applyFill="1" applyBorder="1" applyAlignment="1" applyProtection="1">
      <alignment horizontal="right" vertical="top"/>
      <protection hidden="1"/>
    </xf>
    <xf numFmtId="4" fontId="14" fillId="12" borderId="0" xfId="0" applyNumberFormat="1" applyFont="1" applyFill="1" applyBorder="1" applyAlignment="1" applyProtection="1">
      <alignment horizontal="left" vertical="top"/>
      <protection hidden="1"/>
    </xf>
    <xf numFmtId="1" fontId="18" fillId="12" borderId="0" xfId="0" applyNumberFormat="1" applyFont="1" applyFill="1" applyBorder="1" applyAlignment="1" applyProtection="1">
      <alignment horizontal="left" vertical="center"/>
      <protection hidden="1"/>
    </xf>
    <xf numFmtId="0" fontId="14" fillId="12" borderId="0" xfId="0" applyNumberFormat="1" applyFont="1" applyFill="1" applyBorder="1" applyAlignment="1" applyProtection="1">
      <alignment horizontal="left" vertical="center"/>
      <protection hidden="1"/>
    </xf>
    <xf numFmtId="4" fontId="14" fillId="12" borderId="5" xfId="0" applyNumberFormat="1" applyFont="1" applyFill="1" applyBorder="1" applyAlignment="1" applyProtection="1">
      <alignment horizontal="right" vertical="top"/>
      <protection hidden="1"/>
    </xf>
    <xf numFmtId="0" fontId="13" fillId="12" borderId="6" xfId="0" applyFont="1" applyFill="1" applyBorder="1" applyAlignment="1" applyProtection="1">
      <alignment horizontal="center" wrapText="1"/>
      <protection hidden="1"/>
    </xf>
    <xf numFmtId="0" fontId="13" fillId="12" borderId="7" xfId="0" applyFont="1" applyFill="1" applyBorder="1" applyAlignment="1" applyProtection="1">
      <alignment horizontal="center" wrapText="1"/>
      <protection hidden="1"/>
    </xf>
    <xf numFmtId="0" fontId="13" fillId="12" borderId="8" xfId="0" applyFont="1" applyFill="1" applyBorder="1" applyAlignment="1" applyProtection="1">
      <alignment horizontal="right" wrapText="1"/>
      <protection hidden="1"/>
    </xf>
    <xf numFmtId="4" fontId="15" fillId="12" borderId="6" xfId="0" applyNumberFormat="1" applyFont="1" applyFill="1" applyBorder="1" applyAlignment="1" applyProtection="1">
      <alignment horizontal="right" wrapText="1"/>
      <protection hidden="1"/>
    </xf>
    <xf numFmtId="0" fontId="15" fillId="12" borderId="7" xfId="0" applyFont="1" applyFill="1" applyBorder="1" applyAlignment="1" applyProtection="1">
      <alignment horizontal="center" wrapText="1"/>
      <protection hidden="1"/>
    </xf>
    <xf numFmtId="175" fontId="15" fillId="12" borderId="7" xfId="0" applyNumberFormat="1" applyFont="1" applyFill="1" applyBorder="1" applyAlignment="1" applyProtection="1">
      <alignment horizontal="right" wrapText="1"/>
      <protection hidden="1"/>
    </xf>
    <xf numFmtId="177" fontId="15" fillId="12" borderId="8" xfId="0" applyNumberFormat="1" applyFont="1" applyFill="1" applyBorder="1" applyAlignment="1" applyProtection="1">
      <alignment horizontal="right" wrapText="1"/>
      <protection hidden="1"/>
    </xf>
    <xf numFmtId="4" fontId="15" fillId="12" borderId="9" xfId="0" applyNumberFormat="1" applyFont="1" applyFill="1" applyBorder="1" applyAlignment="1" applyProtection="1">
      <alignment horizontal="right" wrapText="1"/>
      <protection hidden="1"/>
    </xf>
    <xf numFmtId="4" fontId="15" fillId="12" borderId="0" xfId="0" applyNumberFormat="1" applyFont="1" applyFill="1" applyBorder="1" applyAlignment="1" applyProtection="1">
      <alignment horizontal="right" wrapText="1"/>
      <protection hidden="1"/>
    </xf>
    <xf numFmtId="175" fontId="15" fillId="12" borderId="0" xfId="0" applyNumberFormat="1" applyFont="1" applyFill="1" applyBorder="1" applyAlignment="1" applyProtection="1">
      <alignment horizontal="right" wrapText="1"/>
      <protection hidden="1"/>
    </xf>
    <xf numFmtId="177" fontId="15" fillId="12" borderId="10" xfId="0" applyNumberFormat="1" applyFont="1" applyFill="1" applyBorder="1" applyAlignment="1" applyProtection="1">
      <alignment horizontal="right" wrapText="1"/>
      <protection hidden="1"/>
    </xf>
    <xf numFmtId="174" fontId="14" fillId="12" borderId="0" xfId="0" applyNumberFormat="1" applyFont="1" applyFill="1" applyBorder="1" applyAlignment="1" applyProtection="1">
      <alignment horizontal="right" vertical="center"/>
      <protection hidden="1"/>
    </xf>
    <xf numFmtId="174" fontId="14" fillId="12" borderId="6" xfId="0" applyNumberFormat="1" applyFont="1" applyFill="1" applyBorder="1" applyAlignment="1" applyProtection="1">
      <alignment vertical="center"/>
      <protection hidden="1"/>
    </xf>
    <xf numFmtId="174" fontId="14" fillId="12" borderId="7" xfId="0" applyNumberFormat="1" applyFont="1" applyFill="1" applyBorder="1" applyAlignment="1" applyProtection="1">
      <alignment horizontal="right" vertical="center"/>
      <protection hidden="1"/>
    </xf>
    <xf numFmtId="175" fontId="14" fillId="12" borderId="8" xfId="3" applyNumberFormat="1" applyFont="1" applyFill="1" applyBorder="1" applyAlignment="1" applyProtection="1">
      <alignment horizontal="center" vertical="center"/>
      <protection hidden="1"/>
    </xf>
    <xf numFmtId="174" fontId="14" fillId="12" borderId="11" xfId="0" applyNumberFormat="1" applyFont="1" applyFill="1" applyBorder="1" applyAlignment="1" applyProtection="1">
      <alignment horizontal="right" vertical="center"/>
      <protection hidden="1"/>
    </xf>
    <xf numFmtId="174" fontId="14" fillId="12" borderId="5" xfId="0" applyNumberFormat="1" applyFont="1" applyFill="1" applyBorder="1" applyAlignment="1" applyProtection="1">
      <alignment horizontal="right" vertical="center"/>
      <protection hidden="1"/>
    </xf>
    <xf numFmtId="4" fontId="14" fillId="12" borderId="12" xfId="0" applyNumberFormat="1" applyFont="1" applyFill="1" applyBorder="1" applyAlignment="1" applyProtection="1">
      <alignment horizontal="center" vertical="top"/>
      <protection hidden="1"/>
    </xf>
    <xf numFmtId="0" fontId="14" fillId="12" borderId="0" xfId="0" applyNumberFormat="1" applyFont="1" applyFill="1" applyBorder="1" applyAlignment="1" applyProtection="1">
      <alignment horizontal="center" vertical="center"/>
      <protection hidden="1"/>
    </xf>
    <xf numFmtId="0" fontId="26" fillId="12" borderId="0" xfId="0" applyNumberFormat="1" applyFont="1" applyFill="1" applyBorder="1" applyAlignment="1" applyProtection="1">
      <alignment horizontal="left" vertical="center"/>
      <protection hidden="1"/>
    </xf>
    <xf numFmtId="10" fontId="15" fillId="12" borderId="0" xfId="0" applyNumberFormat="1" applyFont="1" applyFill="1" applyBorder="1" applyAlignment="1" applyProtection="1">
      <alignment horizontal="right" wrapText="1"/>
      <protection hidden="1"/>
    </xf>
    <xf numFmtId="177" fontId="15" fillId="12" borderId="0" xfId="0" applyNumberFormat="1" applyFont="1" applyFill="1" applyBorder="1" applyAlignment="1" applyProtection="1">
      <alignment horizontal="right" wrapText="1"/>
      <protection hidden="1"/>
    </xf>
    <xf numFmtId="4" fontId="18" fillId="12" borderId="0" xfId="0" applyNumberFormat="1" applyFont="1" applyFill="1" applyBorder="1" applyAlignment="1" applyProtection="1">
      <alignment horizontal="right" vertical="top"/>
      <protection hidden="1"/>
    </xf>
    <xf numFmtId="4" fontId="18" fillId="12" borderId="0" xfId="0" applyNumberFormat="1" applyFont="1" applyFill="1" applyBorder="1" applyAlignment="1" applyProtection="1">
      <alignment vertical="center"/>
      <protection hidden="1"/>
    </xf>
    <xf numFmtId="4" fontId="18" fillId="12" borderId="5" xfId="0" applyNumberFormat="1" applyFont="1" applyFill="1" applyBorder="1" applyAlignment="1" applyProtection="1">
      <alignment horizontal="right" vertical="top"/>
      <protection hidden="1"/>
    </xf>
    <xf numFmtId="4" fontId="14" fillId="12" borderId="5" xfId="0" applyNumberFormat="1" applyFont="1" applyFill="1" applyBorder="1" applyAlignment="1" applyProtection="1">
      <alignment horizontal="left" vertical="top"/>
      <protection hidden="1"/>
    </xf>
    <xf numFmtId="4" fontId="18" fillId="12" borderId="5" xfId="0" applyNumberFormat="1" applyFont="1" applyFill="1" applyBorder="1" applyAlignment="1" applyProtection="1">
      <alignment vertical="center"/>
      <protection hidden="1"/>
    </xf>
    <xf numFmtId="0" fontId="10" fillId="12" borderId="0" xfId="0" applyFont="1" applyFill="1" applyProtection="1">
      <protection hidden="1"/>
    </xf>
    <xf numFmtId="4" fontId="9" fillId="12" borderId="0" xfId="0" applyNumberFormat="1" applyFont="1" applyFill="1" applyBorder="1" applyAlignment="1" applyProtection="1">
      <alignment horizontal="center" vertical="center"/>
      <protection hidden="1"/>
    </xf>
    <xf numFmtId="10" fontId="9" fillId="12" borderId="0" xfId="3" applyNumberFormat="1" applyFont="1" applyFill="1" applyBorder="1" applyAlignment="1" applyProtection="1">
      <alignment horizontal="center" vertical="center"/>
      <protection hidden="1"/>
    </xf>
    <xf numFmtId="0" fontId="10" fillId="12" borderId="0" xfId="0" applyFont="1" applyFill="1" applyAlignment="1" applyProtection="1">
      <alignment horizontal="right"/>
      <protection hidden="1"/>
    </xf>
    <xf numFmtId="178" fontId="10" fillId="12" borderId="0" xfId="0" applyNumberFormat="1" applyFont="1" applyFill="1" applyAlignment="1" applyProtection="1">
      <alignment horizontal="right" vertical="top"/>
      <protection hidden="1"/>
    </xf>
    <xf numFmtId="4" fontId="14" fillId="12" borderId="7" xfId="0" applyNumberFormat="1" applyFont="1" applyFill="1" applyBorder="1" applyAlignment="1" applyProtection="1">
      <alignment horizontal="right" vertical="top"/>
      <protection hidden="1"/>
    </xf>
    <xf numFmtId="0" fontId="12" fillId="12" borderId="6" xfId="0" applyFont="1" applyFill="1" applyBorder="1" applyAlignment="1" applyProtection="1">
      <alignment horizontal="left" vertical="top"/>
      <protection hidden="1"/>
    </xf>
    <xf numFmtId="0" fontId="12" fillId="12" borderId="8" xfId="0" applyFont="1" applyFill="1" applyBorder="1" applyAlignment="1" applyProtection="1">
      <alignment horizontal="left" vertical="top"/>
      <protection hidden="1"/>
    </xf>
    <xf numFmtId="0" fontId="12" fillId="12" borderId="7" xfId="0" applyFont="1" applyFill="1" applyBorder="1" applyAlignment="1" applyProtection="1">
      <alignment horizontal="left" vertical="top"/>
      <protection hidden="1"/>
    </xf>
    <xf numFmtId="0" fontId="3" fillId="12" borderId="11" xfId="0" applyNumberFormat="1" applyFont="1" applyFill="1" applyBorder="1" applyAlignment="1" applyProtection="1">
      <alignment horizontal="left" vertical="center"/>
      <protection hidden="1"/>
    </xf>
    <xf numFmtId="0" fontId="3" fillId="12" borderId="5" xfId="0" applyNumberFormat="1" applyFont="1" applyFill="1" applyBorder="1" applyAlignment="1" applyProtection="1">
      <alignment horizontal="left" vertical="center"/>
      <protection hidden="1"/>
    </xf>
    <xf numFmtId="0" fontId="3" fillId="12" borderId="12" xfId="0" applyNumberFormat="1" applyFont="1" applyFill="1" applyBorder="1" applyAlignment="1" applyProtection="1">
      <alignment horizontal="left" vertical="center"/>
      <protection hidden="1"/>
    </xf>
    <xf numFmtId="174" fontId="23" fillId="12" borderId="5" xfId="0" applyNumberFormat="1" applyFont="1" applyFill="1" applyBorder="1" applyAlignment="1" applyProtection="1">
      <alignment horizontal="left"/>
      <protection hidden="1"/>
    </xf>
    <xf numFmtId="0" fontId="0" fillId="12" borderId="5" xfId="0" applyFill="1" applyBorder="1" applyProtection="1">
      <protection hidden="1"/>
    </xf>
    <xf numFmtId="0" fontId="0" fillId="12" borderId="5" xfId="0" applyFill="1" applyBorder="1" applyAlignment="1" applyProtection="1">
      <alignment horizontal="center"/>
      <protection hidden="1"/>
    </xf>
    <xf numFmtId="0" fontId="0" fillId="12" borderId="0" xfId="0" applyFill="1" applyBorder="1" applyProtection="1">
      <protection hidden="1"/>
    </xf>
    <xf numFmtId="0" fontId="13" fillId="12" borderId="1" xfId="0" quotePrefix="1" applyFont="1" applyFill="1" applyBorder="1" applyAlignment="1" applyProtection="1">
      <alignment horizontal="center" vertical="center" wrapText="1"/>
      <protection hidden="1"/>
    </xf>
    <xf numFmtId="0" fontId="13" fillId="12" borderId="1" xfId="0" applyFont="1" applyFill="1" applyBorder="1" applyAlignment="1" applyProtection="1">
      <alignment horizontal="center" vertical="center" wrapText="1"/>
      <protection hidden="1"/>
    </xf>
    <xf numFmtId="1" fontId="13" fillId="12" borderId="7" xfId="0" applyNumberFormat="1" applyFont="1" applyFill="1" applyBorder="1" applyAlignment="1" applyProtection="1">
      <alignment horizontal="center"/>
      <protection hidden="1"/>
    </xf>
    <xf numFmtId="14" fontId="13" fillId="12" borderId="0" xfId="0" applyNumberFormat="1" applyFont="1" applyFill="1" applyBorder="1" applyAlignment="1" applyProtection="1">
      <alignment horizontal="center"/>
      <protection hidden="1"/>
    </xf>
    <xf numFmtId="182" fontId="13" fillId="12" borderId="0" xfId="0" applyNumberFormat="1" applyFont="1" applyFill="1" applyBorder="1" applyAlignment="1" applyProtection="1">
      <alignment horizontal="center" vertical="center"/>
      <protection hidden="1"/>
    </xf>
    <xf numFmtId="1" fontId="13" fillId="12" borderId="0" xfId="0" applyNumberFormat="1" applyFont="1" applyFill="1" applyBorder="1" applyAlignment="1" applyProtection="1">
      <alignment horizontal="center"/>
      <protection hidden="1"/>
    </xf>
    <xf numFmtId="4" fontId="13" fillId="12" borderId="0" xfId="0" applyNumberFormat="1" applyFont="1" applyFill="1" applyBorder="1" applyAlignment="1" applyProtection="1">
      <alignment horizontal="center"/>
      <protection hidden="1"/>
    </xf>
    <xf numFmtId="10" fontId="13" fillId="12" borderId="0" xfId="0" applyNumberFormat="1" applyFont="1" applyFill="1" applyBorder="1" applyAlignment="1" applyProtection="1">
      <alignment horizontal="center"/>
      <protection hidden="1"/>
    </xf>
    <xf numFmtId="1" fontId="13" fillId="12" borderId="5" xfId="0" applyNumberFormat="1" applyFont="1" applyFill="1" applyBorder="1" applyAlignment="1" applyProtection="1">
      <alignment horizontal="center"/>
      <protection hidden="1"/>
    </xf>
    <xf numFmtId="14" fontId="13" fillId="12" borderId="5" xfId="0" applyNumberFormat="1" applyFont="1" applyFill="1" applyBorder="1" applyAlignment="1" applyProtection="1">
      <alignment horizontal="center"/>
      <protection hidden="1"/>
    </xf>
    <xf numFmtId="4" fontId="13" fillId="12" borderId="5" xfId="0" applyNumberFormat="1" applyFont="1" applyFill="1" applyBorder="1" applyAlignment="1" applyProtection="1">
      <alignment horizontal="center"/>
      <protection hidden="1"/>
    </xf>
    <xf numFmtId="182" fontId="13" fillId="12" borderId="5" xfId="0" applyNumberFormat="1" applyFont="1" applyFill="1" applyBorder="1" applyAlignment="1" applyProtection="1">
      <alignment horizontal="center" vertical="center"/>
      <protection hidden="1"/>
    </xf>
    <xf numFmtId="10" fontId="13" fillId="12" borderId="5" xfId="0" applyNumberFormat="1" applyFont="1" applyFill="1" applyBorder="1" applyAlignment="1" applyProtection="1">
      <alignment horizontal="center"/>
      <protection hidden="1"/>
    </xf>
    <xf numFmtId="190" fontId="13" fillId="12" borderId="0" xfId="0" applyNumberFormat="1" applyFont="1" applyFill="1" applyBorder="1" applyAlignment="1" applyProtection="1">
      <alignment horizontal="center"/>
      <protection hidden="1"/>
    </xf>
    <xf numFmtId="1" fontId="13" fillId="12" borderId="0" xfId="0" applyNumberFormat="1" applyFont="1" applyFill="1" applyBorder="1" applyAlignment="1" applyProtection="1">
      <alignment horizontal="right"/>
      <protection hidden="1"/>
    </xf>
    <xf numFmtId="190" fontId="13" fillId="12" borderId="5" xfId="0" applyNumberFormat="1" applyFont="1" applyFill="1" applyBorder="1" applyAlignment="1" applyProtection="1">
      <alignment horizontal="center"/>
      <protection hidden="1"/>
    </xf>
    <xf numFmtId="0" fontId="5" fillId="12" borderId="5" xfId="0" applyFont="1" applyFill="1" applyBorder="1" applyProtection="1">
      <protection hidden="1"/>
    </xf>
    <xf numFmtId="0" fontId="0" fillId="12" borderId="0" xfId="0" applyFill="1" applyProtection="1">
      <protection hidden="1"/>
    </xf>
    <xf numFmtId="0" fontId="10" fillId="12" borderId="0" xfId="0" applyFont="1" applyFill="1" applyAlignment="1" applyProtection="1">
      <alignment horizontal="left"/>
      <protection hidden="1"/>
    </xf>
    <xf numFmtId="0" fontId="16" fillId="12" borderId="0" xfId="0" applyFont="1" applyFill="1" applyAlignment="1" applyProtection="1">
      <alignment horizontal="left"/>
      <protection hidden="1"/>
    </xf>
    <xf numFmtId="4" fontId="10" fillId="12" borderId="0" xfId="0" applyNumberFormat="1" applyFont="1" applyFill="1" applyAlignment="1" applyProtection="1">
      <alignment horizontal="right" vertical="top"/>
      <protection hidden="1"/>
    </xf>
    <xf numFmtId="0" fontId="16" fillId="12" borderId="0" xfId="0" applyFont="1" applyFill="1" applyProtection="1">
      <protection hidden="1"/>
    </xf>
    <xf numFmtId="178" fontId="10" fillId="12" borderId="0" xfId="0" applyNumberFormat="1" applyFont="1" applyFill="1" applyAlignment="1" applyProtection="1">
      <alignment horizontal="right"/>
      <protection hidden="1"/>
    </xf>
    <xf numFmtId="174" fontId="17" fillId="12" borderId="7" xfId="0" applyNumberFormat="1" applyFont="1" applyFill="1" applyBorder="1" applyAlignment="1" applyProtection="1">
      <alignment horizontal="left"/>
      <protection hidden="1"/>
    </xf>
    <xf numFmtId="174" fontId="23" fillId="12" borderId="7" xfId="0" applyNumberFormat="1" applyFont="1" applyFill="1" applyBorder="1" applyAlignment="1" applyProtection="1">
      <alignment horizontal="left"/>
      <protection hidden="1"/>
    </xf>
    <xf numFmtId="0" fontId="0" fillId="12" borderId="7" xfId="0" applyFill="1" applyBorder="1" applyProtection="1">
      <protection hidden="1"/>
    </xf>
    <xf numFmtId="0" fontId="0" fillId="12" borderId="7" xfId="0" applyFill="1" applyBorder="1" applyAlignment="1" applyProtection="1">
      <alignment horizontal="center"/>
      <protection hidden="1"/>
    </xf>
    <xf numFmtId="1" fontId="21" fillId="12" borderId="0" xfId="0" applyNumberFormat="1" applyFont="1" applyFill="1" applyBorder="1" applyAlignment="1" applyProtection="1">
      <alignment horizontal="left"/>
      <protection hidden="1"/>
    </xf>
    <xf numFmtId="1" fontId="10" fillId="12" borderId="0" xfId="0" applyNumberFormat="1" applyFont="1" applyFill="1" applyBorder="1" applyAlignment="1" applyProtection="1">
      <alignment horizontal="center"/>
      <protection hidden="1"/>
    </xf>
    <xf numFmtId="14" fontId="13" fillId="12" borderId="7" xfId="0" applyNumberFormat="1" applyFont="1" applyFill="1" applyBorder="1" applyAlignment="1" applyProtection="1">
      <alignment horizontal="center"/>
      <protection hidden="1"/>
    </xf>
    <xf numFmtId="182" fontId="13" fillId="12" borderId="7" xfId="0" applyNumberFormat="1" applyFont="1" applyFill="1" applyBorder="1" applyAlignment="1" applyProtection="1">
      <alignment horizontal="center" vertical="center"/>
      <protection hidden="1"/>
    </xf>
    <xf numFmtId="0" fontId="11" fillId="12" borderId="0" xfId="0" applyFont="1" applyFill="1" applyBorder="1" applyAlignment="1" applyProtection="1">
      <alignment horizontal="right" vertical="top"/>
      <protection hidden="1"/>
    </xf>
    <xf numFmtId="4" fontId="11" fillId="12" borderId="7" xfId="0" applyNumberFormat="1" applyFont="1" applyFill="1" applyBorder="1" applyAlignment="1" applyProtection="1">
      <alignment horizontal="center" vertical="top"/>
      <protection hidden="1"/>
    </xf>
    <xf numFmtId="0" fontId="21" fillId="12" borderId="0" xfId="0" applyFont="1" applyFill="1" applyBorder="1" applyAlignment="1" applyProtection="1">
      <protection hidden="1"/>
    </xf>
    <xf numFmtId="0" fontId="6" fillId="12" borderId="7" xfId="0" applyFont="1" applyFill="1" applyBorder="1" applyAlignment="1" applyProtection="1">
      <alignment vertical="top"/>
      <protection hidden="1"/>
    </xf>
    <xf numFmtId="4" fontId="8" fillId="12" borderId="7" xfId="0" applyNumberFormat="1" applyFont="1" applyFill="1" applyBorder="1" applyAlignment="1" applyProtection="1">
      <alignment horizontal="right" vertical="top"/>
      <protection hidden="1"/>
    </xf>
    <xf numFmtId="0" fontId="31" fillId="12" borderId="0" xfId="0" applyFont="1" applyFill="1" applyBorder="1" applyAlignment="1" applyProtection="1">
      <protection hidden="1"/>
    </xf>
    <xf numFmtId="4" fontId="8" fillId="12" borderId="0" xfId="0" applyNumberFormat="1" applyFont="1" applyFill="1" applyBorder="1" applyAlignment="1" applyProtection="1">
      <alignment horizontal="right" vertical="center"/>
      <protection hidden="1"/>
    </xf>
    <xf numFmtId="0" fontId="33" fillId="12" borderId="0" xfId="0" applyFont="1" applyFill="1" applyProtection="1">
      <protection hidden="1"/>
    </xf>
    <xf numFmtId="17" fontId="33" fillId="12" borderId="0" xfId="0" applyNumberFormat="1" applyFont="1" applyFill="1" applyBorder="1" applyAlignment="1" applyProtection="1">
      <alignment vertical="center"/>
      <protection hidden="1"/>
    </xf>
    <xf numFmtId="4" fontId="39" fillId="12" borderId="0" xfId="0" applyNumberFormat="1" applyFont="1" applyFill="1" applyBorder="1" applyAlignment="1" applyProtection="1">
      <alignment horizontal="right" vertical="center"/>
      <protection hidden="1"/>
    </xf>
    <xf numFmtId="17" fontId="38" fillId="12" borderId="0" xfId="0" applyNumberFormat="1" applyFont="1" applyFill="1" applyBorder="1" applyAlignment="1" applyProtection="1">
      <alignment vertical="center"/>
      <protection hidden="1"/>
    </xf>
    <xf numFmtId="17" fontId="32" fillId="12" borderId="0" xfId="0" applyNumberFormat="1" applyFont="1" applyFill="1" applyBorder="1" applyAlignment="1" applyProtection="1">
      <alignment horizontal="left" vertical="center"/>
      <protection hidden="1"/>
    </xf>
    <xf numFmtId="17" fontId="7" fillId="12" borderId="0" xfId="0" applyNumberFormat="1" applyFont="1" applyFill="1" applyBorder="1" applyAlignment="1" applyProtection="1">
      <alignment vertical="center"/>
      <protection hidden="1"/>
    </xf>
    <xf numFmtId="185" fontId="7" fillId="12" borderId="0" xfId="0" applyNumberFormat="1" applyFont="1" applyFill="1" applyBorder="1" applyAlignment="1" applyProtection="1">
      <alignment horizontal="right" vertical="center"/>
      <protection hidden="1"/>
    </xf>
    <xf numFmtId="0" fontId="12" fillId="12" borderId="13" xfId="0" applyFont="1" applyFill="1" applyBorder="1" applyAlignment="1" applyProtection="1">
      <alignment horizontal="left" vertical="top"/>
      <protection hidden="1"/>
    </xf>
    <xf numFmtId="174" fontId="14" fillId="12" borderId="14" xfId="0" applyNumberFormat="1" applyFont="1" applyFill="1" applyBorder="1" applyAlignment="1" applyProtection="1">
      <alignment horizontal="center" vertical="center"/>
      <protection hidden="1"/>
    </xf>
    <xf numFmtId="174" fontId="24" fillId="12" borderId="5" xfId="0" applyNumberFormat="1" applyFont="1" applyFill="1" applyBorder="1" applyAlignment="1" applyProtection="1">
      <alignment horizontal="left"/>
      <protection hidden="1"/>
    </xf>
    <xf numFmtId="1" fontId="17" fillId="12" borderId="5" xfId="0" applyNumberFormat="1" applyFont="1" applyFill="1" applyBorder="1" applyAlignment="1" applyProtection="1">
      <alignment horizontal="left"/>
      <protection hidden="1"/>
    </xf>
    <xf numFmtId="0" fontId="3" fillId="12" borderId="5" xfId="0" applyNumberFormat="1" applyFont="1" applyFill="1" applyBorder="1" applyAlignment="1" applyProtection="1">
      <alignment horizontal="left"/>
      <protection hidden="1"/>
    </xf>
    <xf numFmtId="176" fontId="13" fillId="12" borderId="0" xfId="0" applyNumberFormat="1" applyFont="1" applyFill="1" applyBorder="1" applyAlignment="1" applyProtection="1">
      <alignment horizontal="center" vertical="center"/>
      <protection hidden="1"/>
    </xf>
    <xf numFmtId="4" fontId="13" fillId="12" borderId="0" xfId="0" applyNumberFormat="1" applyFont="1" applyFill="1" applyBorder="1" applyAlignment="1" applyProtection="1">
      <alignment horizontal="center" vertical="center"/>
      <protection hidden="1"/>
    </xf>
    <xf numFmtId="0" fontId="13" fillId="12" borderId="0" xfId="0" applyFont="1" applyFill="1" applyBorder="1" applyProtection="1">
      <protection hidden="1"/>
    </xf>
    <xf numFmtId="176" fontId="13" fillId="12" borderId="5" xfId="0" applyNumberFormat="1" applyFont="1" applyFill="1" applyBorder="1" applyAlignment="1" applyProtection="1">
      <alignment horizontal="center" vertical="center"/>
      <protection hidden="1"/>
    </xf>
    <xf numFmtId="4" fontId="13" fillId="12" borderId="5" xfId="0" applyNumberFormat="1" applyFont="1" applyFill="1" applyBorder="1" applyAlignment="1" applyProtection="1">
      <alignment horizontal="center" vertical="center"/>
      <protection hidden="1"/>
    </xf>
    <xf numFmtId="176" fontId="13" fillId="12" borderId="7" xfId="0" applyNumberFormat="1" applyFont="1" applyFill="1" applyBorder="1" applyAlignment="1" applyProtection="1">
      <alignment horizontal="center" vertical="center"/>
      <protection hidden="1"/>
    </xf>
    <xf numFmtId="4" fontId="13" fillId="12" borderId="7" xfId="0" applyNumberFormat="1" applyFont="1" applyFill="1" applyBorder="1" applyAlignment="1" applyProtection="1">
      <alignment horizontal="center" vertical="center"/>
      <protection hidden="1"/>
    </xf>
    <xf numFmtId="0" fontId="13" fillId="12" borderId="7" xfId="0" applyFont="1" applyFill="1" applyBorder="1" applyProtection="1">
      <protection hidden="1"/>
    </xf>
    <xf numFmtId="0" fontId="13" fillId="12" borderId="5" xfId="0" applyFont="1" applyFill="1" applyBorder="1" applyProtection="1">
      <protection hidden="1"/>
    </xf>
    <xf numFmtId="174" fontId="17" fillId="12" borderId="5" xfId="0" applyNumberFormat="1" applyFont="1" applyFill="1" applyBorder="1" applyAlignment="1" applyProtection="1">
      <alignment horizontal="left"/>
      <protection hidden="1"/>
    </xf>
    <xf numFmtId="0" fontId="30" fillId="0" borderId="0" xfId="0" applyFont="1" applyFill="1" applyBorder="1" applyAlignment="1" applyProtection="1">
      <alignment vertical="center"/>
      <protection hidden="1"/>
    </xf>
    <xf numFmtId="14" fontId="13" fillId="11" borderId="1" xfId="0" applyNumberFormat="1" applyFont="1" applyFill="1" applyBorder="1" applyAlignment="1" applyProtection="1">
      <alignment horizontal="center" vertical="center"/>
      <protection hidden="1"/>
    </xf>
    <xf numFmtId="10" fontId="13" fillId="3" borderId="3" xfId="3" applyNumberFormat="1" applyFont="1" applyFill="1" applyBorder="1" applyAlignment="1" applyProtection="1">
      <alignment horizontal="center" vertical="center" wrapText="1"/>
      <protection hidden="1"/>
    </xf>
    <xf numFmtId="10" fontId="29" fillId="3" borderId="3" xfId="3" applyNumberFormat="1" applyFont="1" applyFill="1" applyBorder="1" applyAlignment="1" applyProtection="1">
      <alignment horizontal="center" vertical="center" wrapText="1"/>
      <protection hidden="1"/>
    </xf>
    <xf numFmtId="187" fontId="13" fillId="11" borderId="1" xfId="4" applyNumberFormat="1" applyFont="1" applyFill="1" applyBorder="1" applyAlignment="1" applyProtection="1">
      <alignment horizontal="center" vertical="center"/>
      <protection hidden="1"/>
    </xf>
    <xf numFmtId="14" fontId="0" fillId="0" borderId="0" xfId="0" applyNumberFormat="1" applyFont="1" applyFill="1"/>
    <xf numFmtId="10" fontId="0" fillId="0" borderId="0" xfId="0" applyNumberFormat="1" applyFont="1" applyFill="1"/>
    <xf numFmtId="0" fontId="0" fillId="0" borderId="0" xfId="0" applyFont="1" applyFill="1"/>
    <xf numFmtId="10" fontId="13" fillId="3" borderId="15" xfId="3" applyNumberFormat="1" applyFont="1" applyFill="1" applyBorder="1" applyAlignment="1" applyProtection="1">
      <alignment horizontal="center" vertical="center" wrapText="1"/>
      <protection hidden="1"/>
    </xf>
    <xf numFmtId="0" fontId="13" fillId="13" borderId="1" xfId="0" applyFont="1" applyFill="1" applyBorder="1" applyAlignment="1" applyProtection="1">
      <alignment horizontal="center" vertical="center"/>
      <protection hidden="1"/>
    </xf>
    <xf numFmtId="14" fontId="13" fillId="3" borderId="1" xfId="0" applyNumberFormat="1" applyFont="1" applyFill="1" applyBorder="1" applyAlignment="1" applyProtection="1">
      <alignment horizontal="center" vertical="center" wrapText="1"/>
      <protection hidden="1"/>
    </xf>
    <xf numFmtId="10" fontId="9" fillId="3" borderId="1" xfId="3" applyNumberFormat="1" applyFont="1" applyFill="1" applyBorder="1" applyAlignment="1" applyProtection="1">
      <alignment horizontal="center" vertical="center" wrapText="1"/>
      <protection hidden="1"/>
    </xf>
    <xf numFmtId="10" fontId="22" fillId="3" borderId="1" xfId="3" applyNumberFormat="1" applyFont="1" applyFill="1" applyBorder="1" applyAlignment="1" applyProtection="1">
      <alignment horizontal="center" vertical="center" wrapText="1"/>
      <protection hidden="1"/>
    </xf>
    <xf numFmtId="14" fontId="13" fillId="7" borderId="1" xfId="0" applyNumberFormat="1" applyFont="1" applyFill="1" applyBorder="1" applyAlignment="1" applyProtection="1">
      <alignment horizontal="center" vertical="center" wrapText="1"/>
      <protection hidden="1"/>
    </xf>
    <xf numFmtId="184" fontId="43" fillId="7" borderId="1" xfId="3" applyNumberFormat="1" applyFont="1" applyFill="1" applyBorder="1" applyAlignment="1" applyProtection="1">
      <alignment horizontal="center" wrapText="1"/>
      <protection hidden="1"/>
    </xf>
    <xf numFmtId="184" fontId="28" fillId="3" borderId="1" xfId="3" applyNumberFormat="1" applyFont="1" applyFill="1" applyBorder="1" applyAlignment="1" applyProtection="1">
      <alignment horizontal="center" wrapText="1"/>
      <protection hidden="1"/>
    </xf>
    <xf numFmtId="0" fontId="0" fillId="14" borderId="0" xfId="0" applyFill="1" applyBorder="1" applyProtection="1">
      <protection hidden="1"/>
    </xf>
    <xf numFmtId="0" fontId="0" fillId="14" borderId="0" xfId="0" applyFill="1" applyProtection="1">
      <protection hidden="1"/>
    </xf>
    <xf numFmtId="174" fontId="53" fillId="15" borderId="6" xfId="0" applyNumberFormat="1" applyFont="1" applyFill="1" applyBorder="1" applyAlignment="1" applyProtection="1">
      <alignment horizontal="center" vertical="center"/>
      <protection hidden="1"/>
    </xf>
    <xf numFmtId="174" fontId="53" fillId="15" borderId="9" xfId="0" applyNumberFormat="1" applyFont="1" applyFill="1" applyBorder="1" applyAlignment="1" applyProtection="1">
      <alignment horizontal="center" vertical="center"/>
      <protection hidden="1"/>
    </xf>
    <xf numFmtId="4" fontId="54" fillId="15" borderId="10" xfId="0" applyNumberFormat="1" applyFont="1" applyFill="1" applyBorder="1" applyAlignment="1" applyProtection="1">
      <alignment horizontal="right" vertical="center"/>
      <protection hidden="1"/>
    </xf>
    <xf numFmtId="174" fontId="53" fillId="15" borderId="11" xfId="0" applyNumberFormat="1" applyFont="1" applyFill="1" applyBorder="1" applyAlignment="1" applyProtection="1">
      <alignment horizontal="center" vertical="center"/>
      <protection hidden="1"/>
    </xf>
    <xf numFmtId="4" fontId="54" fillId="15" borderId="12" xfId="0" applyNumberFormat="1" applyFont="1" applyFill="1" applyBorder="1" applyAlignment="1" applyProtection="1">
      <alignment horizontal="right" vertical="center"/>
      <protection hidden="1"/>
    </xf>
    <xf numFmtId="174" fontId="45" fillId="15" borderId="8" xfId="0" applyNumberFormat="1" applyFont="1" applyFill="1" applyBorder="1" applyAlignment="1" applyProtection="1">
      <alignment horizontal="center" vertical="center"/>
      <protection hidden="1"/>
    </xf>
    <xf numFmtId="174" fontId="45" fillId="15" borderId="10" xfId="0" applyNumberFormat="1" applyFont="1" applyFill="1" applyBorder="1" applyAlignment="1" applyProtection="1">
      <alignment horizontal="center" vertical="center"/>
      <protection hidden="1"/>
    </xf>
    <xf numFmtId="174" fontId="13" fillId="15" borderId="2" xfId="0" applyNumberFormat="1" applyFont="1" applyFill="1" applyBorder="1" applyAlignment="1" applyProtection="1">
      <alignment horizontal="center" vertical="center"/>
      <protection hidden="1"/>
    </xf>
    <xf numFmtId="174" fontId="13" fillId="15" borderId="10" xfId="0" applyNumberFormat="1" applyFont="1" applyFill="1" applyBorder="1" applyAlignment="1" applyProtection="1">
      <alignment horizontal="center" vertical="center"/>
      <protection hidden="1"/>
    </xf>
    <xf numFmtId="4" fontId="13" fillId="15" borderId="0" xfId="0" applyNumberFormat="1" applyFont="1" applyFill="1" applyBorder="1" applyAlignment="1" applyProtection="1">
      <alignment horizontal="center" vertical="center"/>
      <protection hidden="1"/>
    </xf>
    <xf numFmtId="175" fontId="13" fillId="15" borderId="0" xfId="3" applyNumberFormat="1" applyFont="1" applyFill="1" applyBorder="1" applyAlignment="1" applyProtection="1">
      <alignment horizontal="center" vertical="center"/>
      <protection hidden="1"/>
    </xf>
    <xf numFmtId="4" fontId="13" fillId="15" borderId="10" xfId="0" applyNumberFormat="1" applyFont="1" applyFill="1" applyBorder="1" applyAlignment="1" applyProtection="1">
      <alignment horizontal="right" vertical="center"/>
      <protection hidden="1"/>
    </xf>
    <xf numFmtId="4" fontId="13" fillId="15" borderId="5" xfId="0" applyNumberFormat="1" applyFont="1" applyFill="1" applyBorder="1" applyAlignment="1" applyProtection="1">
      <alignment horizontal="center" vertical="center"/>
      <protection hidden="1"/>
    </xf>
    <xf numFmtId="175" fontId="13" fillId="15" borderId="5" xfId="3" applyNumberFormat="1" applyFont="1" applyFill="1" applyBorder="1" applyAlignment="1" applyProtection="1">
      <alignment horizontal="center" vertical="center"/>
      <protection hidden="1"/>
    </xf>
    <xf numFmtId="0" fontId="0" fillId="16" borderId="16" xfId="0" applyFill="1" applyBorder="1" applyAlignment="1" applyProtection="1">
      <protection hidden="1"/>
    </xf>
    <xf numFmtId="0" fontId="0" fillId="16" borderId="2" xfId="0" applyFill="1" applyBorder="1" applyAlignment="1" applyProtection="1">
      <protection hidden="1"/>
    </xf>
    <xf numFmtId="0" fontId="0" fillId="16" borderId="17" xfId="0" applyFill="1" applyBorder="1" applyAlignment="1" applyProtection="1">
      <protection hidden="1"/>
    </xf>
    <xf numFmtId="0" fontId="11" fillId="17" borderId="1" xfId="0" applyFont="1" applyFill="1" applyBorder="1" applyAlignment="1" applyProtection="1">
      <alignment horizontal="center" vertical="center" wrapText="1"/>
      <protection hidden="1"/>
    </xf>
    <xf numFmtId="0" fontId="40" fillId="17" borderId="14" xfId="0" applyFont="1" applyFill="1" applyBorder="1" applyAlignment="1" applyProtection="1">
      <alignment horizontal="center" vertical="center" wrapText="1"/>
      <protection hidden="1"/>
    </xf>
    <xf numFmtId="0" fontId="4" fillId="0" borderId="0" xfId="1" applyProtection="1">
      <protection hidden="1"/>
    </xf>
    <xf numFmtId="4" fontId="13" fillId="5" borderId="2" xfId="0" applyNumberFormat="1" applyFont="1" applyFill="1" applyBorder="1" applyAlignment="1" applyProtection="1">
      <alignment horizontal="right" vertical="center"/>
      <protection locked="0"/>
    </xf>
    <xf numFmtId="4" fontId="13" fillId="5" borderId="2" xfId="0" applyNumberFormat="1" applyFont="1" applyFill="1" applyBorder="1" applyAlignment="1" applyProtection="1">
      <alignment horizontal="right" vertical="center"/>
      <protection locked="0" hidden="1"/>
    </xf>
    <xf numFmtId="0" fontId="11" fillId="17" borderId="1" xfId="0" applyFont="1" applyFill="1" applyBorder="1" applyAlignment="1" applyProtection="1">
      <alignment horizontal="center" vertical="center" wrapText="1"/>
    </xf>
    <xf numFmtId="0" fontId="46" fillId="17" borderId="1" xfId="0" applyFont="1" applyFill="1" applyBorder="1" applyAlignment="1" applyProtection="1">
      <alignment horizontal="center" vertical="center" wrapText="1"/>
    </xf>
    <xf numFmtId="0" fontId="11" fillId="17" borderId="3" xfId="0" applyFont="1" applyFill="1" applyBorder="1" applyAlignment="1" applyProtection="1">
      <alignment vertical="center"/>
    </xf>
    <xf numFmtId="0" fontId="11" fillId="17" borderId="2" xfId="0" applyFont="1" applyFill="1" applyBorder="1" applyAlignment="1" applyProtection="1">
      <alignment vertical="center"/>
    </xf>
    <xf numFmtId="0" fontId="11" fillId="17" borderId="2" xfId="0" applyFont="1" applyFill="1" applyBorder="1" applyAlignment="1" applyProtection="1">
      <alignment horizontal="left" vertical="center"/>
    </xf>
    <xf numFmtId="0" fontId="11" fillId="17" borderId="18" xfId="0" applyFont="1" applyFill="1" applyBorder="1" applyAlignment="1" applyProtection="1">
      <alignment vertical="center"/>
    </xf>
    <xf numFmtId="175" fontId="31" fillId="17" borderId="9" xfId="3" applyNumberFormat="1" applyFont="1" applyFill="1" applyBorder="1" applyAlignment="1" applyProtection="1">
      <alignment horizontal="center"/>
    </xf>
    <xf numFmtId="175" fontId="31" fillId="17" borderId="0" xfId="3" applyNumberFormat="1" applyFont="1" applyFill="1" applyBorder="1" applyAlignment="1" applyProtection="1">
      <alignment horizontal="center"/>
    </xf>
    <xf numFmtId="175" fontId="31" fillId="17" borderId="10" xfId="3" applyNumberFormat="1" applyFont="1" applyFill="1" applyBorder="1" applyAlignment="1" applyProtection="1">
      <alignment horizontal="center"/>
    </xf>
    <xf numFmtId="175" fontId="31" fillId="17" borderId="11" xfId="3" applyNumberFormat="1" applyFont="1" applyFill="1" applyBorder="1" applyAlignment="1" applyProtection="1">
      <alignment horizontal="center"/>
    </xf>
    <xf numFmtId="175" fontId="31" fillId="17" borderId="5" xfId="3" applyNumberFormat="1" applyFont="1" applyFill="1" applyBorder="1" applyAlignment="1" applyProtection="1">
      <alignment horizontal="center"/>
    </xf>
    <xf numFmtId="175" fontId="31" fillId="17" borderId="12" xfId="3" applyNumberFormat="1" applyFont="1" applyFill="1" applyBorder="1" applyAlignment="1" applyProtection="1">
      <alignment horizontal="center"/>
    </xf>
    <xf numFmtId="175" fontId="31" fillId="17" borderId="1" xfId="3" applyNumberFormat="1" applyFont="1" applyFill="1" applyBorder="1" applyAlignment="1" applyProtection="1">
      <alignment horizontal="center" vertical="center"/>
    </xf>
    <xf numFmtId="175" fontId="31" fillId="17" borderId="1" xfId="3" quotePrefix="1" applyNumberFormat="1" applyFont="1" applyFill="1" applyBorder="1" applyAlignment="1" applyProtection="1">
      <alignment horizontal="center" vertical="center"/>
    </xf>
    <xf numFmtId="0" fontId="47" fillId="17" borderId="1" xfId="0" applyFont="1" applyFill="1" applyBorder="1" applyAlignment="1" applyProtection="1">
      <alignment horizontal="center" vertical="center" wrapText="1"/>
    </xf>
    <xf numFmtId="0" fontId="46" fillId="17" borderId="2" xfId="0" applyFont="1" applyFill="1" applyBorder="1" applyAlignment="1" applyProtection="1">
      <alignment vertical="center" wrapText="1"/>
    </xf>
    <xf numFmtId="0" fontId="46" fillId="17" borderId="18" xfId="0" applyFont="1" applyFill="1" applyBorder="1" applyAlignment="1" applyProtection="1">
      <alignment vertical="center" wrapText="1"/>
    </xf>
    <xf numFmtId="0" fontId="46" fillId="17" borderId="3" xfId="0" applyFont="1" applyFill="1" applyBorder="1" applyAlignment="1" applyProtection="1">
      <alignment vertical="center" wrapText="1"/>
    </xf>
    <xf numFmtId="1" fontId="13" fillId="11" borderId="1" xfId="0" applyNumberFormat="1" applyFont="1" applyFill="1" applyBorder="1" applyAlignment="1" applyProtection="1">
      <alignment horizontal="center" vertical="center"/>
    </xf>
    <xf numFmtId="4" fontId="13" fillId="11" borderId="1" xfId="0" applyNumberFormat="1" applyFont="1" applyFill="1" applyBorder="1" applyAlignment="1" applyProtection="1">
      <alignment horizontal="center" vertical="center"/>
    </xf>
    <xf numFmtId="4" fontId="13" fillId="11" borderId="1" xfId="0" applyNumberFormat="1" applyFont="1" applyFill="1" applyBorder="1" applyAlignment="1" applyProtection="1">
      <alignment horizontal="right" vertical="center"/>
    </xf>
    <xf numFmtId="175" fontId="13" fillId="11" borderId="1" xfId="3" applyNumberFormat="1" applyFont="1" applyFill="1" applyBorder="1" applyAlignment="1" applyProtection="1">
      <alignment horizontal="center" vertical="center"/>
    </xf>
    <xf numFmtId="175" fontId="13" fillId="11" borderId="1" xfId="3" applyNumberFormat="1" applyFont="1" applyFill="1" applyBorder="1" applyAlignment="1" applyProtection="1">
      <alignment horizontal="right" vertical="center"/>
    </xf>
    <xf numFmtId="1" fontId="13" fillId="11" borderId="13" xfId="0" applyNumberFormat="1" applyFont="1" applyFill="1" applyBorder="1" applyAlignment="1" applyProtection="1">
      <alignment horizontal="center" vertical="center"/>
    </xf>
    <xf numFmtId="4" fontId="27" fillId="11" borderId="8" xfId="0" applyNumberFormat="1" applyFont="1" applyFill="1" applyBorder="1" applyAlignment="1" applyProtection="1">
      <alignment horizontal="center" vertical="center"/>
    </xf>
    <xf numFmtId="175" fontId="13" fillId="11" borderId="13" xfId="3" applyNumberFormat="1" applyFont="1" applyFill="1" applyBorder="1" applyAlignment="1" applyProtection="1">
      <alignment horizontal="center" vertical="center"/>
    </xf>
    <xf numFmtId="4" fontId="27" fillId="11" borderId="18" xfId="0" applyNumberFormat="1" applyFont="1" applyFill="1" applyBorder="1" applyAlignment="1" applyProtection="1">
      <alignment horizontal="center" vertical="center"/>
    </xf>
    <xf numFmtId="3" fontId="27" fillId="11" borderId="1" xfId="0" applyNumberFormat="1" applyFont="1" applyFill="1" applyBorder="1" applyAlignment="1" applyProtection="1">
      <alignment horizontal="center" vertical="center"/>
    </xf>
    <xf numFmtId="1" fontId="13" fillId="11" borderId="10" xfId="0" applyNumberFormat="1" applyFont="1" applyFill="1" applyBorder="1" applyAlignment="1" applyProtection="1">
      <alignment horizontal="center" vertical="center"/>
    </xf>
    <xf numFmtId="1" fontId="13" fillId="11" borderId="8" xfId="0" applyNumberFormat="1" applyFont="1" applyFill="1" applyBorder="1" applyAlignment="1" applyProtection="1">
      <alignment horizontal="center" vertical="center"/>
    </xf>
    <xf numFmtId="4" fontId="13" fillId="11" borderId="14" xfId="0" applyNumberFormat="1" applyFont="1" applyFill="1" applyBorder="1" applyAlignment="1" applyProtection="1">
      <alignment horizontal="center" vertical="center"/>
    </xf>
    <xf numFmtId="4" fontId="13" fillId="11" borderId="8" xfId="0" applyNumberFormat="1" applyFont="1" applyFill="1" applyBorder="1" applyAlignment="1" applyProtection="1">
      <alignment horizontal="center" vertical="center"/>
    </xf>
    <xf numFmtId="4" fontId="13" fillId="11" borderId="13" xfId="0" applyNumberFormat="1" applyFont="1" applyFill="1" applyBorder="1" applyAlignment="1" applyProtection="1">
      <alignment horizontal="center" vertical="center"/>
    </xf>
    <xf numFmtId="191" fontId="27" fillId="11" borderId="8" xfId="0" applyNumberFormat="1" applyFont="1" applyFill="1" applyBorder="1" applyAlignment="1" applyProtection="1">
      <alignment horizontal="center" vertical="center"/>
    </xf>
    <xf numFmtId="191" fontId="27" fillId="11" borderId="18" xfId="0" applyNumberFormat="1" applyFont="1" applyFill="1" applyBorder="1" applyAlignment="1" applyProtection="1">
      <alignment horizontal="center" vertical="center"/>
    </xf>
    <xf numFmtId="191" fontId="13" fillId="11" borderId="13" xfId="0" applyNumberFormat="1" applyFont="1" applyFill="1" applyBorder="1" applyAlignment="1" applyProtection="1">
      <alignment horizontal="center" vertical="center"/>
    </xf>
    <xf numFmtId="191" fontId="13" fillId="11" borderId="1" xfId="0" applyNumberFormat="1" applyFont="1" applyFill="1" applyBorder="1" applyAlignment="1" applyProtection="1">
      <alignment horizontal="center" vertical="center"/>
    </xf>
    <xf numFmtId="191" fontId="13" fillId="11" borderId="8" xfId="0" applyNumberFormat="1" applyFont="1" applyFill="1" applyBorder="1" applyAlignment="1" applyProtection="1">
      <alignment horizontal="center" vertical="center"/>
    </xf>
    <xf numFmtId="182" fontId="13" fillId="11" borderId="1" xfId="3" applyNumberFormat="1" applyFont="1" applyFill="1" applyBorder="1" applyAlignment="1" applyProtection="1">
      <alignment horizontal="center" vertical="center" wrapText="1"/>
    </xf>
    <xf numFmtId="186" fontId="13" fillId="11" borderId="1" xfId="3" applyNumberFormat="1" applyFont="1" applyFill="1" applyBorder="1" applyAlignment="1" applyProtection="1">
      <alignment horizontal="center" vertical="center"/>
    </xf>
    <xf numFmtId="4" fontId="13" fillId="11" borderId="8" xfId="0" quotePrefix="1" applyNumberFormat="1" applyFont="1" applyFill="1" applyBorder="1" applyAlignment="1" applyProtection="1">
      <alignment horizontal="center" vertical="center"/>
    </xf>
    <xf numFmtId="0" fontId="0" fillId="14" borderId="7" xfId="0" applyFill="1" applyBorder="1" applyAlignment="1" applyProtection="1">
      <protection hidden="1"/>
    </xf>
    <xf numFmtId="0" fontId="4" fillId="13" borderId="1" xfId="0" applyFont="1" applyFill="1" applyBorder="1" applyAlignment="1" applyProtection="1">
      <alignment horizontal="center" vertical="center"/>
      <protection hidden="1"/>
    </xf>
    <xf numFmtId="1" fontId="13" fillId="11" borderId="1" xfId="0" applyNumberFormat="1" applyFont="1" applyFill="1" applyBorder="1" applyAlignment="1" applyProtection="1">
      <alignment horizontal="center" vertical="center"/>
      <protection hidden="1"/>
    </xf>
    <xf numFmtId="1" fontId="13" fillId="11" borderId="1" xfId="0" applyNumberFormat="1" applyFont="1" applyFill="1" applyBorder="1" applyAlignment="1" applyProtection="1">
      <alignment horizontal="left" vertical="center"/>
      <protection hidden="1"/>
    </xf>
    <xf numFmtId="0" fontId="13" fillId="18" borderId="1" xfId="0" applyFont="1" applyFill="1" applyBorder="1" applyAlignment="1" applyProtection="1">
      <alignment horizontal="left" vertical="center"/>
      <protection hidden="1"/>
    </xf>
    <xf numFmtId="14" fontId="13" fillId="18" borderId="18" xfId="0" applyNumberFormat="1" applyFont="1" applyFill="1" applyBorder="1" applyAlignment="1" applyProtection="1">
      <alignment horizontal="left" vertical="center"/>
      <protection hidden="1"/>
    </xf>
    <xf numFmtId="1" fontId="13" fillId="18" borderId="18" xfId="0" applyNumberFormat="1" applyFont="1" applyFill="1" applyBorder="1" applyAlignment="1" applyProtection="1">
      <alignment horizontal="left" vertical="center"/>
      <protection hidden="1"/>
    </xf>
    <xf numFmtId="3" fontId="13" fillId="11" borderId="1" xfId="0" applyNumberFormat="1" applyFont="1" applyFill="1" applyBorder="1" applyAlignment="1" applyProtection="1">
      <alignment horizontal="center" vertical="center"/>
    </xf>
    <xf numFmtId="0" fontId="13" fillId="18" borderId="1" xfId="0" applyFont="1" applyFill="1" applyBorder="1" applyAlignment="1" applyProtection="1">
      <alignment horizontal="left" vertical="center"/>
      <protection hidden="1"/>
    </xf>
    <xf numFmtId="0" fontId="13" fillId="18" borderId="1" xfId="0" applyFont="1" applyFill="1" applyBorder="1" applyAlignment="1">
      <alignment horizontal="right" vertical="center"/>
    </xf>
    <xf numFmtId="0" fontId="0" fillId="19" borderId="5" xfId="0" applyFill="1" applyBorder="1" applyProtection="1">
      <protection hidden="1"/>
    </xf>
    <xf numFmtId="0" fontId="13" fillId="18" borderId="1" xfId="0" applyFont="1" applyFill="1" applyBorder="1" applyAlignment="1" applyProtection="1">
      <alignment horizontal="right" vertical="center"/>
      <protection hidden="1"/>
    </xf>
    <xf numFmtId="0" fontId="13" fillId="11" borderId="1" xfId="0" applyFont="1" applyFill="1" applyBorder="1" applyAlignment="1" applyProtection="1">
      <alignment vertical="center" wrapText="1"/>
      <protection hidden="1"/>
    </xf>
    <xf numFmtId="14" fontId="13" fillId="11" borderId="1" xfId="0" applyNumberFormat="1" applyFont="1" applyFill="1" applyBorder="1" applyAlignment="1" applyProtection="1">
      <alignment horizontal="left" vertical="center"/>
      <protection hidden="1"/>
    </xf>
    <xf numFmtId="0" fontId="0" fillId="19" borderId="6" xfId="0" applyFill="1" applyBorder="1" applyProtection="1">
      <protection hidden="1"/>
    </xf>
    <xf numFmtId="0" fontId="0" fillId="19" borderId="7" xfId="0" applyFill="1" applyBorder="1" applyProtection="1">
      <protection hidden="1"/>
    </xf>
    <xf numFmtId="0" fontId="0" fillId="19" borderId="8" xfId="0" applyFill="1" applyBorder="1" applyProtection="1">
      <protection hidden="1"/>
    </xf>
    <xf numFmtId="0" fontId="0" fillId="19" borderId="11" xfId="0" applyFill="1" applyBorder="1" applyProtection="1">
      <protection hidden="1"/>
    </xf>
    <xf numFmtId="0" fontId="0" fillId="19" borderId="12" xfId="0" applyFill="1" applyBorder="1" applyProtection="1">
      <protection hidden="1"/>
    </xf>
    <xf numFmtId="0" fontId="20" fillId="19" borderId="0" xfId="0" applyFont="1" applyFill="1" applyBorder="1" applyAlignment="1" applyProtection="1">
      <alignment horizontal="center"/>
      <protection hidden="1"/>
    </xf>
    <xf numFmtId="0" fontId="6" fillId="19" borderId="0" xfId="0" applyFont="1" applyFill="1" applyBorder="1" applyAlignment="1" applyProtection="1">
      <alignment horizontal="left"/>
      <protection hidden="1"/>
    </xf>
    <xf numFmtId="0" fontId="40" fillId="19" borderId="0" xfId="0" applyFont="1" applyFill="1" applyBorder="1" applyAlignment="1" applyProtection="1">
      <alignment horizontal="left"/>
      <protection hidden="1"/>
    </xf>
    <xf numFmtId="0" fontId="19" fillId="19" borderId="7" xfId="0" applyFont="1" applyFill="1" applyBorder="1" applyAlignment="1" applyProtection="1">
      <alignment horizontal="left"/>
      <protection hidden="1"/>
    </xf>
    <xf numFmtId="0" fontId="41" fillId="19" borderId="8" xfId="0" applyFont="1" applyFill="1" applyBorder="1" applyAlignment="1" applyProtection="1">
      <alignment horizontal="center"/>
      <protection hidden="1"/>
    </xf>
    <xf numFmtId="0" fontId="41" fillId="19" borderId="10" xfId="0" applyFont="1" applyFill="1" applyBorder="1" applyAlignment="1" applyProtection="1">
      <alignment horizontal="center"/>
      <protection hidden="1"/>
    </xf>
    <xf numFmtId="0" fontId="0" fillId="19" borderId="9" xfId="0" applyFill="1" applyBorder="1" applyProtection="1">
      <protection hidden="1"/>
    </xf>
    <xf numFmtId="0" fontId="20" fillId="19" borderId="10" xfId="0" applyFont="1" applyFill="1" applyBorder="1" applyAlignment="1" applyProtection="1">
      <alignment horizontal="center"/>
      <protection hidden="1"/>
    </xf>
    <xf numFmtId="0" fontId="55" fillId="19" borderId="9" xfId="0" applyFont="1" applyFill="1" applyBorder="1" applyAlignment="1" applyProtection="1">
      <alignment horizontal="right"/>
      <protection hidden="1"/>
    </xf>
    <xf numFmtId="0" fontId="6" fillId="19" borderId="10" xfId="0" applyFont="1" applyFill="1" applyBorder="1" applyAlignment="1" applyProtection="1">
      <alignment horizontal="left"/>
      <protection hidden="1"/>
    </xf>
    <xf numFmtId="0" fontId="40" fillId="19" borderId="10" xfId="0" applyFont="1" applyFill="1" applyBorder="1" applyAlignment="1" applyProtection="1">
      <alignment horizontal="left"/>
      <protection hidden="1"/>
    </xf>
    <xf numFmtId="0" fontId="40" fillId="19" borderId="5" xfId="0" applyFont="1" applyFill="1" applyBorder="1" applyAlignment="1" applyProtection="1">
      <alignment vertical="top" wrapText="1"/>
      <protection hidden="1"/>
    </xf>
    <xf numFmtId="0" fontId="40" fillId="19" borderId="12" xfId="0" applyFont="1" applyFill="1" applyBorder="1" applyAlignment="1" applyProtection="1">
      <alignment vertical="top" wrapText="1"/>
      <protection hidden="1"/>
    </xf>
    <xf numFmtId="0" fontId="13" fillId="19" borderId="6" xfId="0" applyFont="1" applyFill="1" applyBorder="1" applyAlignment="1" applyProtection="1">
      <alignment horizontal="left"/>
      <protection hidden="1"/>
    </xf>
    <xf numFmtId="0" fontId="6" fillId="19" borderId="7" xfId="0" applyFont="1" applyFill="1" applyBorder="1" applyAlignment="1" applyProtection="1">
      <alignment horizontal="left"/>
      <protection hidden="1"/>
    </xf>
    <xf numFmtId="0" fontId="6" fillId="19" borderId="8" xfId="0" applyFont="1" applyFill="1" applyBorder="1" applyAlignment="1" applyProtection="1">
      <alignment horizontal="left"/>
      <protection hidden="1"/>
    </xf>
    <xf numFmtId="14" fontId="13" fillId="11" borderId="14" xfId="0" applyNumberFormat="1" applyFont="1" applyFill="1" applyBorder="1" applyAlignment="1" applyProtection="1">
      <alignment horizontal="center" vertical="center"/>
      <protection hidden="1"/>
    </xf>
    <xf numFmtId="4" fontId="8" fillId="6" borderId="14" xfId="0" applyNumberFormat="1" applyFont="1" applyFill="1" applyBorder="1" applyAlignment="1" applyProtection="1">
      <alignment horizontal="right"/>
      <protection hidden="1"/>
    </xf>
    <xf numFmtId="17" fontId="6" fillId="17" borderId="1" xfId="0" applyNumberFormat="1" applyFont="1" applyFill="1" applyBorder="1" applyAlignment="1" applyProtection="1">
      <alignment horizontal="center" vertical="center"/>
      <protection hidden="1"/>
    </xf>
    <xf numFmtId="189" fontId="6" fillId="17" borderId="1" xfId="0" applyNumberFormat="1" applyFont="1" applyFill="1" applyBorder="1" applyAlignment="1" applyProtection="1">
      <alignment horizontal="center" vertical="center"/>
      <protection hidden="1"/>
    </xf>
    <xf numFmtId="187" fontId="13" fillId="11" borderId="1" xfId="4" applyNumberFormat="1" applyFont="1" applyFill="1" applyBorder="1" applyAlignment="1" applyProtection="1">
      <alignment horizontal="right" vertical="center"/>
      <protection hidden="1"/>
    </xf>
    <xf numFmtId="14" fontId="13" fillId="13" borderId="17" xfId="0" applyNumberFormat="1" applyFont="1" applyFill="1" applyBorder="1" applyAlignment="1" applyProtection="1">
      <alignment horizontal="center" vertical="center"/>
      <protection hidden="1"/>
    </xf>
    <xf numFmtId="196" fontId="13" fillId="13" borderId="17" xfId="4" applyNumberFormat="1" applyFont="1" applyFill="1" applyBorder="1" applyAlignment="1" applyProtection="1">
      <alignment horizontal="center"/>
      <protection hidden="1"/>
    </xf>
    <xf numFmtId="17" fontId="6" fillId="17" borderId="13" xfId="0" applyNumberFormat="1" applyFont="1" applyFill="1" applyBorder="1" applyAlignment="1" applyProtection="1">
      <alignment horizontal="center" vertical="center"/>
      <protection hidden="1"/>
    </xf>
    <xf numFmtId="189" fontId="6" fillId="17" borderId="13" xfId="0" applyNumberFormat="1" applyFont="1" applyFill="1" applyBorder="1" applyAlignment="1" applyProtection="1">
      <alignment horizontal="center" vertical="center"/>
      <protection hidden="1"/>
    </xf>
    <xf numFmtId="14" fontId="0" fillId="12" borderId="1" xfId="0" applyNumberFormat="1" applyFont="1" applyFill="1" applyBorder="1" applyProtection="1">
      <protection locked="0"/>
    </xf>
    <xf numFmtId="0" fontId="0" fillId="12" borderId="1" xfId="0" applyFill="1" applyBorder="1" applyProtection="1">
      <protection locked="0"/>
    </xf>
    <xf numFmtId="196" fontId="13" fillId="11" borderId="14" xfId="4" applyNumberFormat="1" applyFont="1" applyFill="1" applyBorder="1" applyAlignment="1" applyProtection="1">
      <alignment horizontal="right" vertical="center"/>
      <protection hidden="1"/>
    </xf>
    <xf numFmtId="196" fontId="13" fillId="13" borderId="17" xfId="3" applyNumberFormat="1" applyFont="1" applyFill="1" applyBorder="1" applyAlignment="1" applyProtection="1">
      <alignment horizontal="center"/>
      <protection hidden="1"/>
    </xf>
    <xf numFmtId="14" fontId="4" fillId="18" borderId="1" xfId="0" applyNumberFormat="1" applyFont="1" applyFill="1" applyBorder="1" applyAlignment="1" applyProtection="1">
      <alignment horizontal="left" vertical="center"/>
      <protection hidden="1"/>
    </xf>
    <xf numFmtId="14" fontId="4" fillId="11" borderId="1" xfId="0" applyNumberFormat="1" applyFont="1" applyFill="1" applyBorder="1" applyAlignment="1" applyProtection="1">
      <alignment horizontal="left" vertical="center"/>
      <protection hidden="1"/>
    </xf>
    <xf numFmtId="189" fontId="42" fillId="17" borderId="1" xfId="0" applyNumberFormat="1" applyFont="1" applyFill="1" applyBorder="1" applyAlignment="1" applyProtection="1">
      <alignment horizontal="center" vertical="center"/>
      <protection hidden="1"/>
    </xf>
    <xf numFmtId="14" fontId="13" fillId="18" borderId="1" xfId="0" applyNumberFormat="1" applyFont="1" applyFill="1" applyBorder="1" applyAlignment="1" applyProtection="1">
      <alignment horizontal="center" vertical="center"/>
      <protection hidden="1"/>
    </xf>
    <xf numFmtId="186" fontId="13" fillId="18" borderId="1" xfId="4" applyNumberFormat="1" applyFont="1" applyFill="1" applyBorder="1" applyAlignment="1" applyProtection="1">
      <alignment horizontal="center" vertical="center"/>
      <protection hidden="1"/>
    </xf>
    <xf numFmtId="186" fontId="13" fillId="11" borderId="1" xfId="4" applyNumberFormat="1" applyFont="1" applyFill="1" applyBorder="1" applyAlignment="1" applyProtection="1">
      <alignment horizontal="right" vertical="center"/>
      <protection hidden="1"/>
    </xf>
    <xf numFmtId="17" fontId="42" fillId="17" borderId="1" xfId="0" applyNumberFormat="1" applyFont="1" applyFill="1" applyBorder="1" applyAlignment="1" applyProtection="1">
      <alignment horizontal="center" vertical="center"/>
      <protection hidden="1"/>
    </xf>
    <xf numFmtId="14" fontId="56" fillId="11" borderId="1" xfId="0" applyNumberFormat="1" applyFont="1" applyFill="1" applyBorder="1" applyAlignment="1" applyProtection="1">
      <alignment horizontal="center" vertical="center"/>
      <protection hidden="1"/>
    </xf>
    <xf numFmtId="0" fontId="5" fillId="5" borderId="3" xfId="0" applyFont="1" applyFill="1" applyBorder="1" applyAlignment="1" applyProtection="1">
      <alignment horizontal="left" vertical="center"/>
      <protection locked="0"/>
    </xf>
    <xf numFmtId="0" fontId="5" fillId="5" borderId="2" xfId="0" applyFont="1" applyFill="1" applyBorder="1" applyAlignment="1" applyProtection="1">
      <alignment horizontal="left" vertical="center"/>
      <protection locked="0"/>
    </xf>
    <xf numFmtId="0" fontId="5" fillId="5" borderId="18" xfId="0" applyFont="1" applyFill="1" applyBorder="1" applyAlignment="1" applyProtection="1">
      <alignment horizontal="left" vertical="center"/>
      <protection locked="0"/>
    </xf>
    <xf numFmtId="14" fontId="48" fillId="11" borderId="1" xfId="0" applyNumberFormat="1" applyFont="1" applyFill="1" applyBorder="1" applyAlignment="1" applyProtection="1">
      <alignment horizontal="center" vertical="center"/>
      <protection hidden="1"/>
    </xf>
    <xf numFmtId="4" fontId="5" fillId="11" borderId="1" xfId="0" applyNumberFormat="1" applyFont="1" applyFill="1" applyBorder="1" applyAlignment="1" applyProtection="1">
      <alignment horizontal="center" vertical="center"/>
      <protection hidden="1"/>
    </xf>
    <xf numFmtId="4" fontId="34" fillId="11" borderId="1" xfId="0" applyNumberFormat="1" applyFont="1" applyFill="1" applyBorder="1" applyAlignment="1" applyProtection="1">
      <alignment horizontal="center" vertical="center"/>
      <protection hidden="1"/>
    </xf>
    <xf numFmtId="4" fontId="9" fillId="11" borderId="1" xfId="0" applyNumberFormat="1" applyFont="1" applyFill="1" applyBorder="1" applyAlignment="1" applyProtection="1">
      <alignment horizontal="center" vertical="center"/>
      <protection hidden="1"/>
    </xf>
    <xf numFmtId="190" fontId="13" fillId="11" borderId="1" xfId="0" applyNumberFormat="1" applyFont="1" applyFill="1" applyBorder="1" applyAlignment="1" applyProtection="1">
      <alignment horizontal="center" vertical="center"/>
      <protection hidden="1"/>
    </xf>
    <xf numFmtId="4" fontId="35" fillId="11" borderId="1" xfId="0" applyNumberFormat="1" applyFont="1" applyFill="1" applyBorder="1" applyAlignment="1" applyProtection="1">
      <alignment horizontal="center" vertical="center"/>
      <protection hidden="1"/>
    </xf>
    <xf numFmtId="1" fontId="13" fillId="11" borderId="13" xfId="0" applyNumberFormat="1" applyFont="1" applyFill="1" applyBorder="1" applyAlignment="1" applyProtection="1">
      <alignment horizontal="center" vertical="center"/>
      <protection hidden="1"/>
    </xf>
    <xf numFmtId="1" fontId="11" fillId="11" borderId="19" xfId="0" applyNumberFormat="1" applyFont="1" applyFill="1" applyBorder="1" applyAlignment="1" applyProtection="1">
      <alignment horizontal="center" vertical="center"/>
      <protection hidden="1"/>
    </xf>
    <xf numFmtId="0" fontId="13" fillId="11" borderId="1" xfId="0" applyNumberFormat="1" applyFont="1" applyFill="1" applyBorder="1" applyAlignment="1" applyProtection="1">
      <alignment horizontal="left" vertical="center"/>
      <protection hidden="1"/>
    </xf>
    <xf numFmtId="4" fontId="0" fillId="0" borderId="0" xfId="0" applyNumberFormat="1" applyFont="1" applyFill="1"/>
    <xf numFmtId="0" fontId="13" fillId="18" borderId="1" xfId="0" applyFont="1" applyFill="1" applyBorder="1" applyAlignment="1" applyProtection="1">
      <alignment horizontal="right" vertical="center"/>
      <protection hidden="1"/>
    </xf>
    <xf numFmtId="4" fontId="13" fillId="11" borderId="1" xfId="0" applyNumberFormat="1" applyFont="1" applyFill="1" applyBorder="1" applyAlignment="1" applyProtection="1">
      <alignment horizontal="right" vertical="center"/>
      <protection hidden="1"/>
    </xf>
    <xf numFmtId="175" fontId="13" fillId="11" borderId="1" xfId="3" applyNumberFormat="1" applyFont="1" applyFill="1" applyBorder="1" applyAlignment="1" applyProtection="1">
      <alignment horizontal="right" vertical="center"/>
      <protection hidden="1"/>
    </xf>
    <xf numFmtId="10" fontId="13" fillId="11" borderId="1" xfId="3" applyNumberFormat="1" applyFont="1" applyFill="1" applyBorder="1" applyAlignment="1" applyProtection="1">
      <alignment horizontal="center" vertical="center" wrapText="1"/>
      <protection hidden="1"/>
    </xf>
    <xf numFmtId="183" fontId="13" fillId="11" borderId="1" xfId="0" applyNumberFormat="1" applyFont="1" applyFill="1" applyBorder="1" applyAlignment="1" applyProtection="1">
      <alignment horizontal="center" vertical="center"/>
      <protection hidden="1"/>
    </xf>
    <xf numFmtId="0" fontId="11" fillId="17" borderId="1" xfId="0" applyFont="1" applyFill="1" applyBorder="1" applyAlignment="1" applyProtection="1">
      <alignment horizontal="center" vertical="center"/>
      <protection hidden="1"/>
    </xf>
    <xf numFmtId="188" fontId="13" fillId="11" borderId="1" xfId="4" applyNumberFormat="1" applyFont="1" applyFill="1" applyBorder="1" applyAlignment="1" applyProtection="1">
      <alignment horizontal="center" vertical="center"/>
      <protection hidden="1"/>
    </xf>
    <xf numFmtId="14" fontId="13" fillId="11" borderId="1" xfId="0" applyNumberFormat="1" applyFont="1" applyFill="1" applyBorder="1" applyAlignment="1" applyProtection="1">
      <alignment horizontal="center" vertical="center" wrapText="1"/>
      <protection hidden="1"/>
    </xf>
    <xf numFmtId="186" fontId="13" fillId="11" borderId="1" xfId="3" applyNumberFormat="1" applyFont="1" applyFill="1" applyBorder="1" applyAlignment="1" applyProtection="1">
      <alignment horizontal="center" vertical="center" wrapText="1"/>
      <protection hidden="1"/>
    </xf>
    <xf numFmtId="0" fontId="13" fillId="18" borderId="1" xfId="1" applyFont="1" applyFill="1" applyBorder="1" applyAlignment="1">
      <alignment horizontal="center" vertical="center"/>
    </xf>
    <xf numFmtId="0" fontId="13" fillId="17" borderId="1" xfId="1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 vertical="center"/>
    </xf>
    <xf numFmtId="181" fontId="13" fillId="11" borderId="1" xfId="0" applyNumberFormat="1" applyFont="1" applyFill="1" applyBorder="1" applyAlignment="1" applyProtection="1">
      <alignment vertical="center"/>
      <protection hidden="1"/>
    </xf>
    <xf numFmtId="0" fontId="13" fillId="11" borderId="1" xfId="0" applyNumberFormat="1" applyFont="1" applyFill="1" applyBorder="1" applyAlignment="1" applyProtection="1">
      <alignment horizontal="center" vertical="center"/>
      <protection hidden="1"/>
    </xf>
    <xf numFmtId="0" fontId="47" fillId="17" borderId="1" xfId="0" applyFont="1" applyFill="1" applyBorder="1" applyAlignment="1" applyProtection="1">
      <alignment horizontal="center" vertical="center" wrapText="1"/>
      <protection hidden="1"/>
    </xf>
    <xf numFmtId="17" fontId="49" fillId="17" borderId="1" xfId="0" applyNumberFormat="1" applyFont="1" applyFill="1" applyBorder="1" applyAlignment="1" applyProtection="1">
      <alignment horizontal="center" vertical="center"/>
      <protection hidden="1"/>
    </xf>
    <xf numFmtId="17" fontId="11" fillId="17" borderId="1" xfId="0" applyNumberFormat="1" applyFont="1" applyFill="1" applyBorder="1" applyAlignment="1" applyProtection="1">
      <alignment horizontal="center" vertical="center"/>
      <protection hidden="1"/>
    </xf>
    <xf numFmtId="0" fontId="0" fillId="20" borderId="0" xfId="0" applyFill="1" applyProtection="1">
      <protection hidden="1"/>
    </xf>
    <xf numFmtId="14" fontId="27" fillId="11" borderId="13" xfId="0" applyNumberFormat="1" applyFont="1" applyFill="1" applyBorder="1" applyAlignment="1" applyProtection="1">
      <alignment horizontal="center" vertical="center"/>
    </xf>
    <xf numFmtId="14" fontId="27" fillId="11" borderId="1" xfId="0" applyNumberFormat="1" applyFont="1" applyFill="1" applyBorder="1" applyAlignment="1" applyProtection="1">
      <alignment horizontal="center" vertical="center"/>
    </xf>
    <xf numFmtId="14" fontId="13" fillId="11" borderId="13" xfId="0" applyNumberFormat="1" applyFont="1" applyFill="1" applyBorder="1" applyAlignment="1" applyProtection="1">
      <alignment horizontal="center" vertical="center"/>
    </xf>
    <xf numFmtId="14" fontId="13" fillId="11" borderId="1" xfId="0" applyNumberFormat="1" applyFont="1" applyFill="1" applyBorder="1" applyAlignment="1" applyProtection="1">
      <alignment horizontal="center" vertical="center"/>
    </xf>
    <xf numFmtId="14" fontId="13" fillId="11" borderId="8" xfId="0" applyNumberFormat="1" applyFont="1" applyFill="1" applyBorder="1" applyAlignment="1" applyProtection="1">
      <alignment horizontal="center" vertical="center"/>
    </xf>
    <xf numFmtId="14" fontId="29" fillId="3" borderId="1" xfId="0" applyNumberFormat="1" applyFont="1" applyFill="1" applyBorder="1" applyAlignment="1" applyProtection="1">
      <alignment horizontal="center" vertical="center" wrapText="1"/>
      <protection hidden="1"/>
    </xf>
    <xf numFmtId="0" fontId="46" fillId="17" borderId="1" xfId="0" applyFont="1" applyFill="1" applyBorder="1" applyAlignment="1" applyProtection="1">
      <alignment horizontal="center" vertical="center" wrapText="1"/>
    </xf>
    <xf numFmtId="0" fontId="6" fillId="17" borderId="1" xfId="0" applyFont="1" applyFill="1" applyBorder="1" applyAlignment="1" applyProtection="1">
      <alignment horizontal="center" vertical="center"/>
      <protection hidden="1"/>
    </xf>
    <xf numFmtId="0" fontId="4" fillId="2" borderId="0" xfId="0" applyFont="1" applyFill="1" applyBorder="1" applyProtection="1">
      <protection hidden="1"/>
    </xf>
    <xf numFmtId="0" fontId="13" fillId="18" borderId="1" xfId="0" applyFont="1" applyFill="1" applyBorder="1" applyAlignment="1" applyProtection="1">
      <alignment horizontal="right" vertical="center"/>
      <protection hidden="1"/>
    </xf>
    <xf numFmtId="3" fontId="13" fillId="11" borderId="1" xfId="0" applyNumberFormat="1" applyFont="1" applyFill="1" applyBorder="1" applyAlignment="1" applyProtection="1">
      <alignment horizontal="right" vertical="center"/>
    </xf>
    <xf numFmtId="10" fontId="13" fillId="11" borderId="1" xfId="3" applyNumberFormat="1" applyFont="1" applyFill="1" applyBorder="1" applyAlignment="1" applyProtection="1">
      <alignment horizontal="right" vertical="center"/>
    </xf>
    <xf numFmtId="186" fontId="13" fillId="11" borderId="1" xfId="3" applyNumberFormat="1" applyFont="1" applyFill="1" applyBorder="1" applyAlignment="1" applyProtection="1">
      <alignment horizontal="right" vertical="center"/>
    </xf>
    <xf numFmtId="203" fontId="13" fillId="11" borderId="1" xfId="0" applyNumberFormat="1" applyFont="1" applyFill="1" applyBorder="1" applyAlignment="1" applyProtection="1">
      <alignment horizontal="center" vertical="center"/>
    </xf>
    <xf numFmtId="199" fontId="13" fillId="11" borderId="1" xfId="0" applyNumberFormat="1" applyFont="1" applyFill="1" applyBorder="1" applyAlignment="1" applyProtection="1">
      <alignment horizontal="right" vertical="center"/>
    </xf>
    <xf numFmtId="186" fontId="13" fillId="3" borderId="1" xfId="3" applyNumberFormat="1" applyFont="1" applyFill="1" applyBorder="1" applyAlignment="1" applyProtection="1">
      <alignment horizontal="right" vertical="center"/>
      <protection hidden="1"/>
    </xf>
    <xf numFmtId="2" fontId="13" fillId="3" borderId="1" xfId="3" applyNumberFormat="1" applyFont="1" applyFill="1" applyBorder="1" applyAlignment="1" applyProtection="1">
      <alignment horizontal="right" vertical="center"/>
      <protection hidden="1"/>
    </xf>
    <xf numFmtId="0" fontId="0" fillId="21" borderId="0" xfId="0" applyFill="1" applyProtection="1"/>
    <xf numFmtId="0" fontId="6" fillId="21" borderId="1" xfId="0" applyFont="1" applyFill="1" applyBorder="1" applyAlignment="1" applyProtection="1">
      <alignment horizontal="center"/>
    </xf>
    <xf numFmtId="0" fontId="6" fillId="21" borderId="1" xfId="0" applyFont="1" applyFill="1" applyBorder="1" applyProtection="1"/>
    <xf numFmtId="4" fontId="11" fillId="21" borderId="1" xfId="0" applyNumberFormat="1" applyFont="1" applyFill="1" applyBorder="1" applyAlignment="1" applyProtection="1">
      <alignment horizontal="center"/>
    </xf>
    <xf numFmtId="4" fontId="13" fillId="21" borderId="1" xfId="0" applyNumberFormat="1" applyFont="1" applyFill="1" applyBorder="1" applyAlignment="1" applyProtection="1">
      <alignment horizontal="center"/>
    </xf>
    <xf numFmtId="0" fontId="30" fillId="12" borderId="0" xfId="0" applyFont="1" applyFill="1" applyBorder="1" applyAlignment="1" applyProtection="1">
      <alignment vertical="center" wrapText="1"/>
      <protection hidden="1"/>
    </xf>
    <xf numFmtId="0" fontId="30" fillId="12" borderId="5" xfId="0" applyFont="1" applyFill="1" applyBorder="1" applyAlignment="1" applyProtection="1">
      <alignment vertical="center" wrapText="1"/>
      <protection hidden="1"/>
    </xf>
    <xf numFmtId="0" fontId="57" fillId="17" borderId="1" xfId="0" applyFont="1" applyFill="1" applyBorder="1" applyAlignment="1" applyProtection="1">
      <alignment horizontal="center" vertical="center"/>
      <protection hidden="1"/>
    </xf>
    <xf numFmtId="0" fontId="58" fillId="17" borderId="1" xfId="0" applyFont="1" applyFill="1" applyBorder="1" applyAlignment="1" applyProtection="1">
      <alignment horizontal="center" vertical="center"/>
      <protection hidden="1"/>
    </xf>
    <xf numFmtId="0" fontId="13" fillId="11" borderId="1" xfId="0" applyFont="1" applyFill="1" applyBorder="1" applyAlignment="1" applyProtection="1">
      <alignment horizontal="center" vertical="center"/>
      <protection hidden="1"/>
    </xf>
    <xf numFmtId="0" fontId="13" fillId="13" borderId="3" xfId="0" applyFont="1" applyFill="1" applyBorder="1" applyAlignment="1" applyProtection="1">
      <alignment horizontal="center" vertical="center"/>
      <protection hidden="1"/>
    </xf>
    <xf numFmtId="187" fontId="56" fillId="11" borderId="1" xfId="4" applyNumberFormat="1" applyFont="1" applyFill="1" applyBorder="1" applyAlignment="1" applyProtection="1">
      <alignment horizontal="right" vertical="center"/>
      <protection hidden="1"/>
    </xf>
    <xf numFmtId="14" fontId="13" fillId="3" borderId="18" xfId="0" applyNumberFormat="1" applyFont="1" applyFill="1" applyBorder="1" applyAlignment="1" applyProtection="1">
      <alignment horizontal="center" vertical="center" wrapText="1"/>
      <protection hidden="1"/>
    </xf>
    <xf numFmtId="14" fontId="29" fillId="3" borderId="18" xfId="0" applyNumberFormat="1" applyFont="1" applyFill="1" applyBorder="1" applyAlignment="1" applyProtection="1">
      <alignment horizontal="center" vertical="center" wrapText="1"/>
      <protection hidden="1"/>
    </xf>
    <xf numFmtId="187" fontId="56" fillId="11" borderId="1" xfId="4" applyNumberFormat="1" applyFont="1" applyFill="1" applyBorder="1" applyAlignment="1" applyProtection="1">
      <alignment horizontal="center" vertical="center"/>
      <protection hidden="1"/>
    </xf>
    <xf numFmtId="10" fontId="59" fillId="3" borderId="1" xfId="3" applyNumberFormat="1" applyFont="1" applyFill="1" applyBorder="1" applyAlignment="1" applyProtection="1">
      <alignment horizontal="center" vertical="center" wrapText="1"/>
      <protection hidden="1"/>
    </xf>
    <xf numFmtId="0" fontId="0" fillId="0" borderId="9" xfId="0" applyBorder="1" applyProtection="1">
      <protection hidden="1"/>
    </xf>
    <xf numFmtId="0" fontId="0" fillId="0" borderId="0" xfId="0" applyBorder="1" applyProtection="1">
      <protection hidden="1"/>
    </xf>
    <xf numFmtId="188" fontId="56" fillId="11" borderId="1" xfId="4" applyNumberFormat="1" applyFont="1" applyFill="1" applyBorder="1" applyAlignment="1" applyProtection="1">
      <alignment horizontal="center" vertical="center"/>
      <protection hidden="1"/>
    </xf>
    <xf numFmtId="4" fontId="13" fillId="12" borderId="7" xfId="0" applyNumberFormat="1" applyFont="1" applyFill="1" applyBorder="1" applyAlignment="1" applyProtection="1">
      <alignment horizontal="right"/>
      <protection hidden="1"/>
    </xf>
    <xf numFmtId="4" fontId="13" fillId="12" borderId="0" xfId="0" applyNumberFormat="1" applyFont="1" applyFill="1" applyBorder="1" applyAlignment="1" applyProtection="1">
      <alignment horizontal="right"/>
      <protection hidden="1"/>
    </xf>
    <xf numFmtId="4" fontId="13" fillId="12" borderId="5" xfId="0" applyNumberFormat="1" applyFont="1" applyFill="1" applyBorder="1" applyAlignment="1" applyProtection="1">
      <alignment horizontal="right"/>
      <protection hidden="1"/>
    </xf>
    <xf numFmtId="10" fontId="13" fillId="12" borderId="7" xfId="0" applyNumberFormat="1" applyFont="1" applyFill="1" applyBorder="1" applyAlignment="1" applyProtection="1">
      <alignment horizontal="right"/>
      <protection hidden="1"/>
    </xf>
    <xf numFmtId="10" fontId="13" fillId="12" borderId="0" xfId="0" applyNumberFormat="1" applyFont="1" applyFill="1" applyBorder="1" applyAlignment="1" applyProtection="1">
      <alignment horizontal="right"/>
      <protection hidden="1"/>
    </xf>
    <xf numFmtId="10" fontId="13" fillId="12" borderId="5" xfId="0" applyNumberFormat="1" applyFont="1" applyFill="1" applyBorder="1" applyAlignment="1" applyProtection="1">
      <alignment horizontal="right"/>
      <protection hidden="1"/>
    </xf>
    <xf numFmtId="4" fontId="11" fillId="12" borderId="7" xfId="0" applyNumberFormat="1" applyFont="1" applyFill="1" applyBorder="1" applyAlignment="1" applyProtection="1">
      <alignment horizontal="right" vertical="top"/>
      <protection hidden="1"/>
    </xf>
    <xf numFmtId="10" fontId="11" fillId="12" borderId="7" xfId="0" applyNumberFormat="1" applyFont="1" applyFill="1" applyBorder="1" applyAlignment="1" applyProtection="1">
      <alignment horizontal="right" vertical="top"/>
      <protection hidden="1"/>
    </xf>
    <xf numFmtId="4" fontId="13" fillId="12" borderId="0" xfId="0" applyNumberFormat="1" applyFont="1" applyFill="1" applyBorder="1" applyAlignment="1" applyProtection="1">
      <alignment horizontal="right" vertical="top"/>
      <protection hidden="1"/>
    </xf>
    <xf numFmtId="4" fontId="27" fillId="11" borderId="1" xfId="0" applyNumberFormat="1" applyFont="1" applyFill="1" applyBorder="1" applyAlignment="1" applyProtection="1">
      <alignment horizontal="center" vertical="center"/>
    </xf>
    <xf numFmtId="1" fontId="48" fillId="12" borderId="1" xfId="4" applyNumberFormat="1" applyFont="1" applyFill="1" applyBorder="1" applyAlignment="1" applyProtection="1">
      <alignment vertical="center" wrapText="1"/>
      <protection locked="0" hidden="1"/>
    </xf>
    <xf numFmtId="1" fontId="40" fillId="12" borderId="1" xfId="4" applyNumberFormat="1" applyFont="1" applyFill="1" applyBorder="1" applyAlignment="1" applyProtection="1">
      <alignment vertical="center"/>
      <protection locked="0" hidden="1"/>
    </xf>
    <xf numFmtId="0" fontId="6" fillId="17" borderId="6" xfId="0" applyFont="1" applyFill="1" applyBorder="1" applyAlignment="1" applyProtection="1">
      <alignment horizontal="center" vertical="center"/>
      <protection hidden="1"/>
    </xf>
    <xf numFmtId="0" fontId="6" fillId="17" borderId="7" xfId="0" applyFont="1" applyFill="1" applyBorder="1" applyAlignment="1" applyProtection="1">
      <alignment horizontal="center" vertical="center"/>
      <protection hidden="1"/>
    </xf>
    <xf numFmtId="0" fontId="6" fillId="17" borderId="8" xfId="0" applyFont="1" applyFill="1" applyBorder="1" applyAlignment="1" applyProtection="1">
      <alignment horizontal="center" vertical="center"/>
      <protection hidden="1"/>
    </xf>
    <xf numFmtId="0" fontId="6" fillId="17" borderId="11" xfId="0" applyFont="1" applyFill="1" applyBorder="1" applyAlignment="1" applyProtection="1">
      <alignment horizontal="center" vertical="center"/>
      <protection hidden="1"/>
    </xf>
    <xf numFmtId="0" fontId="6" fillId="17" borderId="5" xfId="0" applyFont="1" applyFill="1" applyBorder="1" applyAlignment="1" applyProtection="1">
      <alignment horizontal="center" vertical="center"/>
      <protection hidden="1"/>
    </xf>
    <xf numFmtId="0" fontId="6" fillId="17" borderId="12" xfId="0" applyFont="1" applyFill="1" applyBorder="1" applyAlignment="1" applyProtection="1">
      <alignment horizontal="center" vertical="center"/>
      <protection hidden="1"/>
    </xf>
    <xf numFmtId="0" fontId="6" fillId="22" borderId="3" xfId="0" applyFont="1" applyFill="1" applyBorder="1" applyAlignment="1" applyProtection="1">
      <alignment horizontal="left" vertical="center"/>
      <protection hidden="1"/>
    </xf>
    <xf numFmtId="0" fontId="6" fillId="22" borderId="2" xfId="0" applyFont="1" applyFill="1" applyBorder="1" applyAlignment="1" applyProtection="1">
      <alignment horizontal="left" vertical="center"/>
      <protection hidden="1"/>
    </xf>
    <xf numFmtId="0" fontId="6" fillId="22" borderId="18" xfId="0" applyFont="1" applyFill="1" applyBorder="1" applyAlignment="1" applyProtection="1">
      <alignment horizontal="left" vertical="center"/>
      <protection hidden="1"/>
    </xf>
    <xf numFmtId="4" fontId="13" fillId="11" borderId="3" xfId="0" applyNumberFormat="1" applyFont="1" applyFill="1" applyBorder="1" applyAlignment="1" applyProtection="1">
      <alignment horizontal="left" vertical="center"/>
      <protection hidden="1"/>
    </xf>
    <xf numFmtId="4" fontId="13" fillId="11" borderId="2" xfId="0" applyNumberFormat="1" applyFont="1" applyFill="1" applyBorder="1" applyAlignment="1" applyProtection="1">
      <alignment horizontal="left" vertical="center"/>
      <protection hidden="1"/>
    </xf>
    <xf numFmtId="4" fontId="13" fillId="11" borderId="18" xfId="0" applyNumberFormat="1" applyFont="1" applyFill="1" applyBorder="1" applyAlignment="1" applyProtection="1">
      <alignment horizontal="left" vertical="center"/>
      <protection hidden="1"/>
    </xf>
    <xf numFmtId="4" fontId="13" fillId="5" borderId="2" xfId="0" applyNumberFormat="1" applyFont="1" applyFill="1" applyBorder="1" applyAlignment="1" applyProtection="1">
      <alignment horizontal="right" vertical="center"/>
      <protection locked="0" hidden="1"/>
    </xf>
    <xf numFmtId="0" fontId="11" fillId="17" borderId="13" xfId="0" applyFont="1" applyFill="1" applyBorder="1" applyAlignment="1" applyProtection="1">
      <alignment horizontal="center" vertical="center" wrapText="1"/>
      <protection hidden="1"/>
    </xf>
    <xf numFmtId="0" fontId="11" fillId="17" borderId="14" xfId="0" applyFont="1" applyFill="1" applyBorder="1" applyAlignment="1" applyProtection="1">
      <alignment horizontal="center" vertical="center" wrapText="1"/>
      <protection hidden="1"/>
    </xf>
    <xf numFmtId="0" fontId="13" fillId="18" borderId="1" xfId="0" applyFont="1" applyFill="1" applyBorder="1" applyAlignment="1">
      <alignment horizontal="right" vertical="center"/>
    </xf>
    <xf numFmtId="0" fontId="11" fillId="17" borderId="1" xfId="0" applyFont="1" applyFill="1" applyBorder="1" applyAlignment="1" applyProtection="1">
      <alignment horizontal="center" vertical="center"/>
      <protection hidden="1"/>
    </xf>
    <xf numFmtId="0" fontId="11" fillId="17" borderId="6" xfId="0" applyFont="1" applyFill="1" applyBorder="1" applyAlignment="1" applyProtection="1">
      <alignment horizontal="center" vertical="center" wrapText="1"/>
      <protection hidden="1"/>
    </xf>
    <xf numFmtId="0" fontId="11" fillId="17" borderId="8" xfId="0" applyFont="1" applyFill="1" applyBorder="1" applyAlignment="1" applyProtection="1">
      <alignment horizontal="center" vertical="center" wrapText="1"/>
      <protection hidden="1"/>
    </xf>
    <xf numFmtId="0" fontId="11" fillId="17" borderId="11" xfId="0" applyFont="1" applyFill="1" applyBorder="1" applyAlignment="1" applyProtection="1">
      <alignment horizontal="center" vertical="center" wrapText="1"/>
      <protection hidden="1"/>
    </xf>
    <xf numFmtId="0" fontId="11" fillId="17" borderId="12" xfId="0" applyFont="1" applyFill="1" applyBorder="1" applyAlignment="1" applyProtection="1">
      <alignment horizontal="center" vertical="center" wrapText="1"/>
      <protection hidden="1"/>
    </xf>
    <xf numFmtId="0" fontId="6" fillId="17" borderId="13" xfId="0" applyFont="1" applyFill="1" applyBorder="1" applyAlignment="1" applyProtection="1">
      <alignment horizontal="center" vertical="center"/>
      <protection hidden="1"/>
    </xf>
    <xf numFmtId="0" fontId="6" fillId="17" borderId="14" xfId="0" applyFont="1" applyFill="1" applyBorder="1" applyAlignment="1" applyProtection="1">
      <alignment horizontal="center" vertical="center"/>
      <protection hidden="1"/>
    </xf>
    <xf numFmtId="0" fontId="6" fillId="17" borderId="3" xfId="0" applyFont="1" applyFill="1" applyBorder="1" applyAlignment="1" applyProtection="1">
      <alignment horizontal="center" vertical="center" wrapText="1"/>
      <protection hidden="1"/>
    </xf>
    <xf numFmtId="0" fontId="6" fillId="17" borderId="18" xfId="0" applyFont="1" applyFill="1" applyBorder="1" applyAlignment="1" applyProtection="1">
      <alignment horizontal="center" vertical="center" wrapText="1"/>
      <protection hidden="1"/>
    </xf>
    <xf numFmtId="0" fontId="11" fillId="17" borderId="3" xfId="0" applyFont="1" applyFill="1" applyBorder="1" applyAlignment="1" applyProtection="1">
      <alignment horizontal="center" vertical="center"/>
      <protection hidden="1"/>
    </xf>
    <xf numFmtId="0" fontId="11" fillId="17" borderId="2" xfId="0" applyFont="1" applyFill="1" applyBorder="1" applyAlignment="1" applyProtection="1">
      <alignment horizontal="center" vertical="center"/>
      <protection hidden="1"/>
    </xf>
    <xf numFmtId="0" fontId="11" fillId="17" borderId="13" xfId="0" applyFont="1" applyFill="1" applyBorder="1" applyAlignment="1" applyProtection="1">
      <alignment horizontal="center" vertical="center"/>
      <protection hidden="1"/>
    </xf>
    <xf numFmtId="0" fontId="4" fillId="17" borderId="14" xfId="0" applyFont="1" applyFill="1" applyBorder="1"/>
    <xf numFmtId="0" fontId="6" fillId="9" borderId="1" xfId="0" applyFont="1" applyFill="1" applyBorder="1" applyAlignment="1" applyProtection="1">
      <alignment horizontal="center" vertical="center" wrapText="1"/>
      <protection hidden="1"/>
    </xf>
    <xf numFmtId="0" fontId="6" fillId="9" borderId="1" xfId="0" applyFont="1" applyFill="1" applyBorder="1" applyAlignment="1" applyProtection="1">
      <alignment horizontal="center" vertical="center"/>
      <protection hidden="1"/>
    </xf>
    <xf numFmtId="0" fontId="57" fillId="17" borderId="1" xfId="0" applyFont="1" applyFill="1" applyBorder="1" applyAlignment="1" applyProtection="1">
      <alignment horizontal="left" vertical="center"/>
      <protection hidden="1"/>
    </xf>
    <xf numFmtId="0" fontId="13" fillId="18" borderId="1" xfId="0" applyFont="1" applyFill="1" applyBorder="1" applyAlignment="1" applyProtection="1">
      <alignment horizontal="right" vertical="center"/>
      <protection hidden="1"/>
    </xf>
    <xf numFmtId="0" fontId="4" fillId="17" borderId="14" xfId="0" applyFont="1" applyFill="1" applyBorder="1" applyProtection="1">
      <protection hidden="1"/>
    </xf>
    <xf numFmtId="0" fontId="6" fillId="22" borderId="1" xfId="0" applyFont="1" applyFill="1" applyBorder="1" applyAlignment="1" applyProtection="1">
      <alignment horizontal="left" vertical="center"/>
      <protection hidden="1"/>
    </xf>
    <xf numFmtId="14" fontId="5" fillId="5" borderId="3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49" fontId="4" fillId="5" borderId="1" xfId="0" applyNumberFormat="1" applyFont="1" applyFill="1" applyBorder="1" applyAlignment="1" applyProtection="1">
      <alignment horizontal="left" vertical="center"/>
      <protection locked="0"/>
    </xf>
    <xf numFmtId="1" fontId="48" fillId="11" borderId="3" xfId="4" applyNumberFormat="1" applyFont="1" applyFill="1" applyBorder="1" applyAlignment="1" applyProtection="1">
      <alignment horizontal="left" vertical="center" wrapText="1"/>
      <protection hidden="1"/>
    </xf>
    <xf numFmtId="1" fontId="48" fillId="11" borderId="2" xfId="4" applyNumberFormat="1" applyFont="1" applyFill="1" applyBorder="1" applyAlignment="1" applyProtection="1">
      <alignment horizontal="left" vertical="center" wrapText="1"/>
      <protection hidden="1"/>
    </xf>
    <xf numFmtId="1" fontId="48" fillId="11" borderId="18" xfId="4" applyNumberFormat="1" applyFont="1" applyFill="1" applyBorder="1" applyAlignment="1" applyProtection="1">
      <alignment horizontal="left" vertical="center" wrapText="1"/>
      <protection hidden="1"/>
    </xf>
    <xf numFmtId="1" fontId="5" fillId="11" borderId="3" xfId="4" applyNumberFormat="1" applyFont="1" applyFill="1" applyBorder="1" applyAlignment="1" applyProtection="1">
      <alignment horizontal="left" vertical="center"/>
      <protection hidden="1"/>
    </xf>
    <xf numFmtId="1" fontId="5" fillId="11" borderId="2" xfId="4" applyNumberFormat="1" applyFont="1" applyFill="1" applyBorder="1" applyAlignment="1" applyProtection="1">
      <alignment horizontal="left" vertical="center"/>
      <protection hidden="1"/>
    </xf>
    <xf numFmtId="1" fontId="5" fillId="11" borderId="18" xfId="4" applyNumberFormat="1" applyFont="1" applyFill="1" applyBorder="1" applyAlignment="1" applyProtection="1">
      <alignment horizontal="left" vertical="center"/>
      <protection hidden="1"/>
    </xf>
    <xf numFmtId="0" fontId="13" fillId="8" borderId="3" xfId="0" applyFont="1" applyFill="1" applyBorder="1" applyAlignment="1" applyProtection="1">
      <alignment horizontal="right" vertical="center"/>
      <protection hidden="1"/>
    </xf>
    <xf numFmtId="0" fontId="13" fillId="8" borderId="18" xfId="0" applyFont="1" applyFill="1" applyBorder="1" applyAlignment="1" applyProtection="1">
      <alignment horizontal="right" vertical="center"/>
      <protection hidden="1"/>
    </xf>
    <xf numFmtId="0" fontId="11" fillId="17" borderId="3" xfId="0" applyFont="1" applyFill="1" applyBorder="1" applyAlignment="1" applyProtection="1">
      <alignment horizontal="center" vertical="center" wrapText="1"/>
      <protection hidden="1"/>
    </xf>
    <xf numFmtId="0" fontId="11" fillId="17" borderId="2" xfId="0" applyFont="1" applyFill="1" applyBorder="1" applyAlignment="1" applyProtection="1">
      <alignment horizontal="center" vertical="center" wrapText="1"/>
      <protection hidden="1"/>
    </xf>
    <xf numFmtId="0" fontId="11" fillId="17" borderId="18" xfId="0" applyFont="1" applyFill="1" applyBorder="1" applyAlignment="1" applyProtection="1">
      <alignment horizontal="center" vertical="center" wrapText="1"/>
      <protection hidden="1"/>
    </xf>
    <xf numFmtId="0" fontId="13" fillId="5" borderId="6" xfId="0" applyFont="1" applyFill="1" applyBorder="1" applyAlignment="1" applyProtection="1">
      <alignment horizontal="left" vertical="top" wrapText="1"/>
      <protection locked="0"/>
    </xf>
    <xf numFmtId="0" fontId="13" fillId="5" borderId="7" xfId="0" applyFont="1" applyFill="1" applyBorder="1" applyAlignment="1" applyProtection="1">
      <alignment horizontal="left" vertical="top" wrapText="1"/>
      <protection locked="0"/>
    </xf>
    <xf numFmtId="0" fontId="13" fillId="5" borderId="8" xfId="0" applyFont="1" applyFill="1" applyBorder="1" applyAlignment="1" applyProtection="1">
      <alignment horizontal="left" vertical="top" wrapText="1"/>
      <protection locked="0"/>
    </xf>
    <xf numFmtId="0" fontId="13" fillId="5" borderId="9" xfId="0" applyFont="1" applyFill="1" applyBorder="1" applyAlignment="1" applyProtection="1">
      <alignment horizontal="left" vertical="top" wrapText="1"/>
      <protection locked="0"/>
    </xf>
    <xf numFmtId="0" fontId="13" fillId="5" borderId="0" xfId="0" applyFont="1" applyFill="1" applyBorder="1" applyAlignment="1" applyProtection="1">
      <alignment horizontal="left" vertical="top" wrapText="1"/>
      <protection locked="0"/>
    </xf>
    <xf numFmtId="0" fontId="13" fillId="5" borderId="10" xfId="0" applyFont="1" applyFill="1" applyBorder="1" applyAlignment="1" applyProtection="1">
      <alignment horizontal="left" vertical="top" wrapText="1"/>
      <protection locked="0"/>
    </xf>
    <xf numFmtId="0" fontId="13" fillId="5" borderId="11" xfId="0" applyFont="1" applyFill="1" applyBorder="1" applyAlignment="1" applyProtection="1">
      <alignment horizontal="left" vertical="top" wrapText="1"/>
      <protection locked="0"/>
    </xf>
    <xf numFmtId="0" fontId="13" fillId="5" borderId="5" xfId="0" applyFont="1" applyFill="1" applyBorder="1" applyAlignment="1" applyProtection="1">
      <alignment horizontal="left" vertical="top" wrapText="1"/>
      <protection locked="0"/>
    </xf>
    <xf numFmtId="0" fontId="13" fillId="5" borderId="12" xfId="0" applyFont="1" applyFill="1" applyBorder="1" applyAlignment="1" applyProtection="1">
      <alignment horizontal="left" vertical="top" wrapText="1"/>
      <protection locked="0"/>
    </xf>
    <xf numFmtId="0" fontId="6" fillId="12" borderId="7" xfId="0" applyFont="1" applyFill="1" applyBorder="1" applyAlignment="1" applyProtection="1">
      <alignment horizontal="center" vertical="center"/>
      <protection hidden="1"/>
    </xf>
    <xf numFmtId="0" fontId="6" fillId="12" borderId="5" xfId="0" applyFont="1" applyFill="1" applyBorder="1" applyAlignment="1" applyProtection="1">
      <alignment horizontal="center" vertical="center"/>
      <protection hidden="1"/>
    </xf>
    <xf numFmtId="0" fontId="51" fillId="12" borderId="0" xfId="0" applyFont="1" applyFill="1" applyBorder="1" applyAlignment="1" applyProtection="1">
      <alignment horizontal="left" vertical="center" wrapText="1" indent="7"/>
      <protection hidden="1"/>
    </xf>
    <xf numFmtId="0" fontId="38" fillId="12" borderId="5" xfId="0" applyFont="1" applyFill="1" applyBorder="1" applyAlignment="1" applyProtection="1">
      <alignment horizontal="left" vertical="center" wrapText="1" indent="7"/>
      <protection hidden="1"/>
    </xf>
    <xf numFmtId="0" fontId="12" fillId="12" borderId="6" xfId="0" applyFont="1" applyFill="1" applyBorder="1" applyAlignment="1" applyProtection="1">
      <alignment horizontal="left" vertical="top"/>
      <protection hidden="1"/>
    </xf>
    <xf numFmtId="0" fontId="12" fillId="12" borderId="7" xfId="0" applyFont="1" applyFill="1" applyBorder="1" applyAlignment="1" applyProtection="1">
      <alignment horizontal="left" vertical="top"/>
      <protection hidden="1"/>
    </xf>
    <xf numFmtId="0" fontId="12" fillId="12" borderId="8" xfId="0" applyFont="1" applyFill="1" applyBorder="1" applyAlignment="1" applyProtection="1">
      <alignment horizontal="left" vertical="top"/>
      <protection hidden="1"/>
    </xf>
    <xf numFmtId="0" fontId="3" fillId="12" borderId="11" xfId="0" applyNumberFormat="1" applyFont="1" applyFill="1" applyBorder="1" applyAlignment="1" applyProtection="1">
      <alignment horizontal="left" vertical="center"/>
      <protection hidden="1"/>
    </xf>
    <xf numFmtId="0" fontId="3" fillId="12" borderId="5" xfId="0" applyNumberFormat="1" applyFont="1" applyFill="1" applyBorder="1" applyAlignment="1" applyProtection="1">
      <alignment horizontal="left" vertical="center"/>
      <protection hidden="1"/>
    </xf>
    <xf numFmtId="0" fontId="3" fillId="12" borderId="12" xfId="0" applyNumberFormat="1" applyFont="1" applyFill="1" applyBorder="1" applyAlignment="1" applyProtection="1">
      <alignment horizontal="left" vertical="center"/>
      <protection hidden="1"/>
    </xf>
    <xf numFmtId="0" fontId="51" fillId="12" borderId="0" xfId="0" applyFont="1" applyFill="1" applyBorder="1" applyAlignment="1" applyProtection="1">
      <alignment horizontal="left" vertical="center"/>
      <protection hidden="1"/>
    </xf>
    <xf numFmtId="174" fontId="14" fillId="12" borderId="0" xfId="0" applyNumberFormat="1" applyFont="1" applyFill="1" applyBorder="1" applyAlignment="1" applyProtection="1">
      <alignment horizontal="right" vertical="center"/>
      <protection hidden="1"/>
    </xf>
    <xf numFmtId="0" fontId="11" fillId="12" borderId="0" xfId="0" applyFont="1" applyFill="1" applyAlignment="1" applyProtection="1">
      <alignment horizontal="center"/>
      <protection hidden="1"/>
    </xf>
    <xf numFmtId="4" fontId="18" fillId="12" borderId="5" xfId="0" applyNumberFormat="1" applyFont="1" applyFill="1" applyBorder="1" applyAlignment="1" applyProtection="1">
      <alignment horizontal="center" vertical="center"/>
      <protection hidden="1"/>
    </xf>
    <xf numFmtId="0" fontId="38" fillId="12" borderId="5" xfId="0" applyFont="1" applyFill="1" applyBorder="1" applyAlignment="1" applyProtection="1">
      <alignment horizontal="left" vertical="center"/>
      <protection hidden="1"/>
    </xf>
    <xf numFmtId="174" fontId="18" fillId="12" borderId="0" xfId="0" applyNumberFormat="1" applyFont="1" applyFill="1" applyBorder="1" applyAlignment="1" applyProtection="1">
      <alignment horizontal="right" vertical="center"/>
      <protection hidden="1"/>
    </xf>
    <xf numFmtId="174" fontId="18" fillId="12" borderId="0" xfId="0" applyNumberFormat="1" applyFont="1" applyFill="1" applyBorder="1" applyAlignment="1" applyProtection="1">
      <alignment horizontal="left" vertical="center"/>
      <protection hidden="1"/>
    </xf>
    <xf numFmtId="0" fontId="14" fillId="12" borderId="11" xfId="0" applyNumberFormat="1" applyFont="1" applyFill="1" applyBorder="1" applyAlignment="1" applyProtection="1">
      <alignment horizontal="center" vertical="center"/>
      <protection hidden="1"/>
    </xf>
    <xf numFmtId="0" fontId="14" fillId="12" borderId="5" xfId="0" applyNumberFormat="1" applyFont="1" applyFill="1" applyBorder="1" applyAlignment="1" applyProtection="1">
      <alignment horizontal="center" vertical="center"/>
      <protection hidden="1"/>
    </xf>
    <xf numFmtId="0" fontId="14" fillId="12" borderId="12" xfId="0" applyNumberFormat="1" applyFont="1" applyFill="1" applyBorder="1" applyAlignment="1" applyProtection="1">
      <alignment horizontal="center" vertical="center"/>
      <protection hidden="1"/>
    </xf>
    <xf numFmtId="174" fontId="14" fillId="12" borderId="11" xfId="0" applyNumberFormat="1" applyFont="1" applyFill="1" applyBorder="1" applyAlignment="1" applyProtection="1">
      <alignment horizontal="center" vertical="center"/>
      <protection hidden="1"/>
    </xf>
    <xf numFmtId="174" fontId="14" fillId="12" borderId="12" xfId="0" applyNumberFormat="1" applyFont="1" applyFill="1" applyBorder="1" applyAlignment="1" applyProtection="1">
      <alignment horizontal="center" vertical="center"/>
      <protection hidden="1"/>
    </xf>
    <xf numFmtId="4" fontId="18" fillId="12" borderId="0" xfId="0" applyNumberFormat="1" applyFont="1" applyFill="1" applyBorder="1" applyAlignment="1" applyProtection="1">
      <alignment horizontal="center" vertical="center"/>
      <protection hidden="1"/>
    </xf>
    <xf numFmtId="174" fontId="18" fillId="12" borderId="5" xfId="0" applyNumberFormat="1" applyFont="1" applyFill="1" applyBorder="1" applyAlignment="1" applyProtection="1">
      <alignment horizontal="right" vertical="center"/>
      <protection hidden="1"/>
    </xf>
    <xf numFmtId="0" fontId="14" fillId="12" borderId="0" xfId="0" applyNumberFormat="1" applyFont="1" applyFill="1" applyBorder="1" applyAlignment="1" applyProtection="1">
      <alignment horizontal="left" vertical="center"/>
      <protection hidden="1"/>
    </xf>
    <xf numFmtId="0" fontId="13" fillId="12" borderId="13" xfId="0" applyFont="1" applyFill="1" applyBorder="1" applyAlignment="1" applyProtection="1">
      <alignment horizontal="center" vertical="center" wrapText="1"/>
      <protection hidden="1"/>
    </xf>
    <xf numFmtId="0" fontId="13" fillId="12" borderId="14" xfId="0" applyFont="1" applyFill="1" applyBorder="1" applyAlignment="1" applyProtection="1">
      <alignment horizontal="center" vertical="center"/>
      <protection hidden="1"/>
    </xf>
    <xf numFmtId="0" fontId="6" fillId="12" borderId="7" xfId="0" applyFont="1" applyFill="1" applyBorder="1" applyAlignment="1" applyProtection="1">
      <alignment horizontal="center" vertical="center" wrapText="1"/>
      <protection hidden="1"/>
    </xf>
    <xf numFmtId="0" fontId="6" fillId="12" borderId="0" xfId="0" applyFont="1" applyFill="1" applyBorder="1" applyAlignment="1" applyProtection="1">
      <alignment horizontal="center" vertical="center" wrapText="1"/>
      <protection hidden="1"/>
    </xf>
    <xf numFmtId="0" fontId="13" fillId="12" borderId="0" xfId="0" applyFont="1" applyFill="1" applyAlignment="1" applyProtection="1">
      <alignment horizontal="left" vertical="top" wrapText="1"/>
      <protection hidden="1"/>
    </xf>
    <xf numFmtId="17" fontId="33" fillId="12" borderId="0" xfId="0" applyNumberFormat="1" applyFont="1" applyFill="1" applyBorder="1" applyAlignment="1" applyProtection="1">
      <alignment horizontal="right" vertical="center"/>
      <protection hidden="1"/>
    </xf>
    <xf numFmtId="17" fontId="38" fillId="12" borderId="0" xfId="0" applyNumberFormat="1" applyFont="1" applyFill="1" applyBorder="1" applyAlignment="1" applyProtection="1">
      <alignment horizontal="right" vertical="center"/>
      <protection hidden="1"/>
    </xf>
    <xf numFmtId="185" fontId="33" fillId="12" borderId="0" xfId="0" applyNumberFormat="1" applyFont="1" applyFill="1" applyBorder="1" applyAlignment="1" applyProtection="1">
      <alignment horizontal="right" vertical="center"/>
      <protection hidden="1"/>
    </xf>
    <xf numFmtId="0" fontId="36" fillId="12" borderId="13" xfId="0" applyFont="1" applyFill="1" applyBorder="1" applyAlignment="1" applyProtection="1">
      <alignment horizontal="center" vertical="center" wrapText="1"/>
      <protection hidden="1"/>
    </xf>
    <xf numFmtId="0" fontId="36" fillId="12" borderId="14" xfId="0" applyFont="1" applyFill="1" applyBorder="1" applyAlignment="1" applyProtection="1">
      <alignment horizontal="center" vertical="center"/>
      <protection hidden="1"/>
    </xf>
    <xf numFmtId="176" fontId="24" fillId="12" borderId="11" xfId="0" applyNumberFormat="1" applyFont="1" applyFill="1" applyBorder="1" applyAlignment="1" applyProtection="1">
      <alignment horizontal="center" vertical="center"/>
      <protection hidden="1"/>
    </xf>
    <xf numFmtId="176" fontId="24" fillId="12" borderId="12" xfId="0" applyNumberFormat="1" applyFont="1" applyFill="1" applyBorder="1" applyAlignment="1" applyProtection="1">
      <alignment horizontal="center" vertical="center"/>
      <protection hidden="1"/>
    </xf>
    <xf numFmtId="4" fontId="13" fillId="12" borderId="7" xfId="0" applyNumberFormat="1" applyFont="1" applyFill="1" applyBorder="1" applyAlignment="1" applyProtection="1">
      <alignment horizontal="center"/>
      <protection hidden="1"/>
    </xf>
    <xf numFmtId="1" fontId="11" fillId="12" borderId="0" xfId="0" applyNumberFormat="1" applyFont="1" applyFill="1" applyBorder="1" applyAlignment="1" applyProtection="1">
      <alignment horizontal="right"/>
      <protection hidden="1"/>
    </xf>
    <xf numFmtId="1" fontId="13" fillId="12" borderId="0" xfId="0" applyNumberFormat="1" applyFont="1" applyFill="1" applyBorder="1" applyAlignment="1" applyProtection="1">
      <alignment horizontal="right"/>
      <protection hidden="1"/>
    </xf>
    <xf numFmtId="4" fontId="13" fillId="12" borderId="5" xfId="0" applyNumberFormat="1" applyFont="1" applyFill="1" applyBorder="1" applyAlignment="1" applyProtection="1">
      <alignment horizontal="center"/>
      <protection hidden="1"/>
    </xf>
    <xf numFmtId="4" fontId="13" fillId="12" borderId="0" xfId="0" applyNumberFormat="1" applyFont="1" applyFill="1" applyBorder="1" applyAlignment="1" applyProtection="1">
      <alignment horizontal="center"/>
      <protection hidden="1"/>
    </xf>
    <xf numFmtId="4" fontId="11" fillId="12" borderId="5" xfId="0" applyNumberFormat="1" applyFont="1" applyFill="1" applyBorder="1" applyAlignment="1" applyProtection="1">
      <alignment horizontal="center"/>
      <protection hidden="1"/>
    </xf>
    <xf numFmtId="1" fontId="13" fillId="12" borderId="0" xfId="0" applyNumberFormat="1" applyFont="1" applyFill="1" applyBorder="1" applyAlignment="1" applyProtection="1">
      <alignment horizontal="left" vertical="top" wrapText="1"/>
      <protection hidden="1"/>
    </xf>
    <xf numFmtId="4" fontId="11" fillId="12" borderId="0" xfId="0" applyNumberFormat="1" applyFont="1" applyFill="1" applyBorder="1" applyAlignment="1" applyProtection="1">
      <alignment horizontal="center"/>
      <protection hidden="1"/>
    </xf>
    <xf numFmtId="0" fontId="13" fillId="12" borderId="1" xfId="0" applyFont="1" applyFill="1" applyBorder="1" applyAlignment="1" applyProtection="1">
      <alignment horizontal="center" vertical="center" wrapText="1"/>
      <protection hidden="1"/>
    </xf>
    <xf numFmtId="0" fontId="13" fillId="12" borderId="1" xfId="0" applyFont="1" applyFill="1" applyBorder="1" applyAlignment="1" applyProtection="1">
      <alignment horizontal="center" vertical="center"/>
      <protection hidden="1"/>
    </xf>
    <xf numFmtId="39" fontId="13" fillId="12" borderId="0" xfId="0" applyNumberFormat="1" applyFont="1" applyFill="1" applyAlignment="1" applyProtection="1">
      <alignment horizontal="left" vertical="center" wrapText="1"/>
      <protection hidden="1"/>
    </xf>
    <xf numFmtId="185" fontId="33" fillId="12" borderId="5" xfId="0" applyNumberFormat="1" applyFont="1" applyFill="1" applyBorder="1" applyAlignment="1" applyProtection="1">
      <alignment horizontal="right" vertical="center"/>
      <protection hidden="1"/>
    </xf>
    <xf numFmtId="185" fontId="38" fillId="12" borderId="0" xfId="0" applyNumberFormat="1" applyFont="1" applyFill="1" applyBorder="1" applyAlignment="1" applyProtection="1">
      <alignment horizontal="right" vertical="center"/>
      <protection hidden="1"/>
    </xf>
    <xf numFmtId="4" fontId="10" fillId="12" borderId="0" xfId="0" applyNumberFormat="1" applyFont="1" applyFill="1" applyBorder="1" applyAlignment="1" applyProtection="1">
      <alignment horizontal="right"/>
      <protection hidden="1"/>
    </xf>
    <xf numFmtId="0" fontId="36" fillId="12" borderId="8" xfId="0" applyFont="1" applyFill="1" applyBorder="1" applyAlignment="1" applyProtection="1">
      <alignment horizontal="center" vertical="center" wrapText="1"/>
      <protection hidden="1"/>
    </xf>
    <xf numFmtId="0" fontId="36" fillId="12" borderId="12" xfId="0" applyFont="1" applyFill="1" applyBorder="1" applyAlignment="1" applyProtection="1">
      <alignment horizontal="center" vertical="center"/>
      <protection hidden="1"/>
    </xf>
    <xf numFmtId="0" fontId="36" fillId="12" borderId="1" xfId="0" applyFont="1" applyFill="1" applyBorder="1" applyAlignment="1" applyProtection="1">
      <alignment horizontal="center" vertical="center" wrapText="1"/>
      <protection hidden="1"/>
    </xf>
    <xf numFmtId="0" fontId="36" fillId="12" borderId="1" xfId="0" applyFont="1" applyFill="1" applyBorder="1" applyAlignment="1" applyProtection="1">
      <alignment horizontal="center" vertical="center"/>
      <protection hidden="1"/>
    </xf>
    <xf numFmtId="0" fontId="13" fillId="12" borderId="3" xfId="0" applyFont="1" applyFill="1" applyBorder="1" applyAlignment="1" applyProtection="1">
      <alignment horizontal="center" vertical="center" wrapText="1"/>
      <protection hidden="1"/>
    </xf>
    <xf numFmtId="0" fontId="13" fillId="12" borderId="18" xfId="0" applyFont="1" applyFill="1" applyBorder="1" applyAlignment="1" applyProtection="1">
      <alignment horizontal="center" vertical="center" wrapText="1"/>
      <protection hidden="1"/>
    </xf>
    <xf numFmtId="0" fontId="13" fillId="11" borderId="1" xfId="0" applyFont="1" applyFill="1" applyBorder="1" applyAlignment="1" applyProtection="1">
      <alignment horizontal="left" vertical="top" wrapText="1"/>
      <protection hidden="1"/>
    </xf>
    <xf numFmtId="0" fontId="13" fillId="13" borderId="13" xfId="0" applyFont="1" applyFill="1" applyBorder="1" applyAlignment="1" applyProtection="1">
      <alignment horizontal="center" vertical="center"/>
      <protection hidden="1"/>
    </xf>
    <xf numFmtId="0" fontId="13" fillId="13" borderId="14" xfId="0" applyFont="1" applyFill="1" applyBorder="1" applyAlignment="1" applyProtection="1">
      <alignment horizontal="center" vertical="center"/>
      <protection hidden="1"/>
    </xf>
    <xf numFmtId="0" fontId="58" fillId="17" borderId="1" xfId="0" applyFont="1" applyFill="1" applyBorder="1" applyAlignment="1" applyProtection="1">
      <alignment horizontal="center" vertical="center"/>
      <protection hidden="1"/>
    </xf>
    <xf numFmtId="0" fontId="58" fillId="17" borderId="3" xfId="0" applyFont="1" applyFill="1" applyBorder="1" applyAlignment="1" applyProtection="1">
      <alignment horizontal="center" vertical="center"/>
      <protection hidden="1"/>
    </xf>
    <xf numFmtId="0" fontId="58" fillId="17" borderId="18" xfId="0" applyFont="1" applyFill="1" applyBorder="1" applyAlignment="1" applyProtection="1">
      <alignment horizontal="center" vertical="center"/>
      <protection hidden="1"/>
    </xf>
    <xf numFmtId="0" fontId="13" fillId="3" borderId="13" xfId="0" applyFont="1" applyFill="1" applyBorder="1" applyAlignment="1" applyProtection="1">
      <alignment horizontal="center" vertical="center"/>
      <protection hidden="1"/>
    </xf>
    <xf numFmtId="0" fontId="13" fillId="3" borderId="4" xfId="0" applyFont="1" applyFill="1" applyBorder="1" applyAlignment="1" applyProtection="1">
      <alignment horizontal="center" vertical="center"/>
      <protection hidden="1"/>
    </xf>
    <xf numFmtId="0" fontId="13" fillId="3" borderId="14" xfId="0" applyFont="1" applyFill="1" applyBorder="1" applyAlignment="1" applyProtection="1">
      <alignment horizontal="center" vertical="center"/>
      <protection hidden="1"/>
    </xf>
    <xf numFmtId="0" fontId="13" fillId="11" borderId="6" xfId="0" applyFont="1" applyFill="1" applyBorder="1" applyAlignment="1" applyProtection="1">
      <alignment horizontal="left" vertical="top" wrapText="1"/>
      <protection hidden="1"/>
    </xf>
    <xf numFmtId="0" fontId="13" fillId="11" borderId="7" xfId="0" applyFont="1" applyFill="1" applyBorder="1" applyAlignment="1" applyProtection="1">
      <alignment horizontal="left" vertical="top" wrapText="1"/>
      <protection hidden="1"/>
    </xf>
    <xf numFmtId="0" fontId="13" fillId="11" borderId="8" xfId="0" applyFont="1" applyFill="1" applyBorder="1" applyAlignment="1" applyProtection="1">
      <alignment horizontal="left" vertical="top" wrapText="1"/>
      <protection hidden="1"/>
    </xf>
    <xf numFmtId="0" fontId="13" fillId="11" borderId="11" xfId="0" applyFont="1" applyFill="1" applyBorder="1" applyAlignment="1" applyProtection="1">
      <alignment horizontal="left" vertical="top" wrapText="1"/>
      <protection hidden="1"/>
    </xf>
    <xf numFmtId="0" fontId="13" fillId="11" borderId="5" xfId="0" applyFont="1" applyFill="1" applyBorder="1" applyAlignment="1" applyProtection="1">
      <alignment horizontal="left" vertical="top" wrapText="1"/>
      <protection hidden="1"/>
    </xf>
    <xf numFmtId="0" fontId="13" fillId="11" borderId="12" xfId="0" applyFont="1" applyFill="1" applyBorder="1" applyAlignment="1" applyProtection="1">
      <alignment horizontal="left" vertical="top" wrapText="1"/>
      <protection hidden="1"/>
    </xf>
    <xf numFmtId="0" fontId="11" fillId="17" borderId="1" xfId="0" applyFont="1" applyFill="1" applyBorder="1" applyAlignment="1" applyProtection="1">
      <alignment horizontal="center" vertical="center" wrapText="1"/>
    </xf>
    <xf numFmtId="0" fontId="46" fillId="17" borderId="13" xfId="0" applyFont="1" applyFill="1" applyBorder="1" applyAlignment="1" applyProtection="1">
      <alignment horizontal="center" vertical="center" wrapText="1"/>
    </xf>
    <xf numFmtId="0" fontId="46" fillId="17" borderId="14" xfId="0" applyFont="1" applyFill="1" applyBorder="1" applyAlignment="1" applyProtection="1">
      <alignment horizontal="center" vertical="center" wrapText="1"/>
    </xf>
    <xf numFmtId="0" fontId="46" fillId="17" borderId="6" xfId="0" applyFont="1" applyFill="1" applyBorder="1" applyAlignment="1" applyProtection="1">
      <alignment horizontal="center" vertical="center" wrapText="1"/>
    </xf>
    <xf numFmtId="0" fontId="46" fillId="17" borderId="8" xfId="0" applyFont="1" applyFill="1" applyBorder="1" applyAlignment="1" applyProtection="1">
      <alignment horizontal="center" vertical="center" wrapText="1"/>
    </xf>
    <xf numFmtId="0" fontId="46" fillId="17" borderId="11" xfId="0" applyFont="1" applyFill="1" applyBorder="1" applyAlignment="1" applyProtection="1">
      <alignment horizontal="center" vertical="center" wrapText="1"/>
    </xf>
    <xf numFmtId="0" fontId="46" fillId="17" borderId="12" xfId="0" applyFont="1" applyFill="1" applyBorder="1" applyAlignment="1" applyProtection="1">
      <alignment horizontal="center" vertical="center" wrapText="1"/>
    </xf>
    <xf numFmtId="0" fontId="46" fillId="17" borderId="3" xfId="0" applyFont="1" applyFill="1" applyBorder="1" applyAlignment="1" applyProtection="1">
      <alignment horizontal="center" vertical="center" wrapText="1"/>
    </xf>
    <xf numFmtId="0" fontId="46" fillId="17" borderId="18" xfId="0" applyFont="1" applyFill="1" applyBorder="1" applyAlignment="1" applyProtection="1">
      <alignment horizontal="center" vertical="center" wrapText="1"/>
    </xf>
    <xf numFmtId="0" fontId="46" fillId="17" borderId="1" xfId="0" applyFont="1" applyFill="1" applyBorder="1" applyAlignment="1" applyProtection="1">
      <alignment horizontal="center" vertical="center" wrapText="1"/>
    </xf>
    <xf numFmtId="175" fontId="31" fillId="17" borderId="11" xfId="3" applyNumberFormat="1" applyFont="1" applyFill="1" applyBorder="1" applyAlignment="1" applyProtection="1">
      <alignment horizontal="center"/>
    </xf>
    <xf numFmtId="175" fontId="31" fillId="17" borderId="5" xfId="3" applyNumberFormat="1" applyFont="1" applyFill="1" applyBorder="1" applyAlignment="1" applyProtection="1">
      <alignment horizontal="center"/>
    </xf>
    <xf numFmtId="175" fontId="31" fillId="17" borderId="12" xfId="3" applyNumberFormat="1" applyFont="1" applyFill="1" applyBorder="1" applyAlignment="1" applyProtection="1">
      <alignment horizontal="center"/>
    </xf>
    <xf numFmtId="0" fontId="46" fillId="17" borderId="13" xfId="0" applyFont="1" applyFill="1" applyBorder="1" applyAlignment="1" applyProtection="1">
      <alignment horizontal="center" vertical="center" textRotation="90"/>
    </xf>
    <xf numFmtId="0" fontId="46" fillId="17" borderId="4" xfId="0" applyFont="1" applyFill="1" applyBorder="1" applyAlignment="1" applyProtection="1">
      <alignment horizontal="center" vertical="center" textRotation="90"/>
    </xf>
    <xf numFmtId="0" fontId="46" fillId="17" borderId="14" xfId="0" applyFont="1" applyFill="1" applyBorder="1" applyAlignment="1" applyProtection="1">
      <alignment horizontal="center" vertical="center" textRotation="90"/>
    </xf>
    <xf numFmtId="0" fontId="11" fillId="17" borderId="3" xfId="0" applyFont="1" applyFill="1" applyBorder="1" applyAlignment="1" applyProtection="1">
      <alignment horizontal="left" vertical="center" wrapText="1"/>
    </xf>
    <xf numFmtId="0" fontId="11" fillId="17" borderId="2" xfId="0" applyFont="1" applyFill="1" applyBorder="1" applyAlignment="1" applyProtection="1">
      <alignment horizontal="left" vertical="center" wrapText="1"/>
    </xf>
    <xf numFmtId="0" fontId="11" fillId="17" borderId="18" xfId="0" applyFont="1" applyFill="1" applyBorder="1" applyAlignment="1" applyProtection="1">
      <alignment horizontal="left" vertical="center" wrapText="1"/>
    </xf>
    <xf numFmtId="0" fontId="46" fillId="17" borderId="4" xfId="0" applyFont="1" applyFill="1" applyBorder="1" applyAlignment="1" applyProtection="1">
      <alignment horizontal="center" vertical="center" wrapText="1"/>
    </xf>
    <xf numFmtId="0" fontId="11" fillId="17" borderId="3" xfId="0" applyFont="1" applyFill="1" applyBorder="1" applyAlignment="1" applyProtection="1">
      <alignment horizontal="center" vertical="center" wrapText="1"/>
    </xf>
    <xf numFmtId="0" fontId="11" fillId="17" borderId="18" xfId="0" applyFont="1" applyFill="1" applyBorder="1" applyAlignment="1" applyProtection="1">
      <alignment horizontal="center" vertical="center" wrapText="1"/>
    </xf>
    <xf numFmtId="0" fontId="11" fillId="17" borderId="13" xfId="0" applyFont="1" applyFill="1" applyBorder="1" applyAlignment="1" applyProtection="1">
      <alignment horizontal="center" vertical="center" wrapText="1"/>
    </xf>
    <xf numFmtId="0" fontId="11" fillId="17" borderId="14" xfId="0" applyFont="1" applyFill="1" applyBorder="1" applyAlignment="1" applyProtection="1">
      <alignment horizontal="center" vertical="center" wrapText="1"/>
    </xf>
    <xf numFmtId="0" fontId="46" fillId="17" borderId="2" xfId="0" applyFont="1" applyFill="1" applyBorder="1" applyAlignment="1" applyProtection="1">
      <alignment horizontal="center" vertical="center" wrapText="1"/>
    </xf>
    <xf numFmtId="0" fontId="11" fillId="17" borderId="4" xfId="0" applyFont="1" applyFill="1" applyBorder="1" applyAlignment="1" applyProtection="1">
      <alignment horizontal="center" vertical="center" wrapText="1"/>
    </xf>
    <xf numFmtId="0" fontId="46" fillId="17" borderId="5" xfId="0" applyFont="1" applyFill="1" applyBorder="1" applyAlignment="1" applyProtection="1">
      <alignment horizontal="center" vertical="center" wrapText="1"/>
    </xf>
    <xf numFmtId="0" fontId="46" fillId="17" borderId="1" xfId="0" applyFont="1" applyFill="1" applyBorder="1" applyAlignment="1" applyProtection="1">
      <alignment horizontal="left" vertical="center" wrapText="1"/>
    </xf>
    <xf numFmtId="3" fontId="13" fillId="11" borderId="1" xfId="0" applyNumberFormat="1" applyFont="1" applyFill="1" applyBorder="1" applyAlignment="1" applyProtection="1">
      <alignment horizontal="left" vertical="top" wrapText="1"/>
    </xf>
    <xf numFmtId="3" fontId="13" fillId="11" borderId="1" xfId="0" applyNumberFormat="1" applyFont="1" applyFill="1" applyBorder="1" applyAlignment="1" applyProtection="1">
      <alignment horizontal="left" vertical="center"/>
    </xf>
    <xf numFmtId="0" fontId="13" fillId="11" borderId="1" xfId="0" applyFont="1" applyFill="1" applyBorder="1" applyAlignment="1" applyProtection="1">
      <alignment horizontal="left" vertical="top" wrapText="1"/>
    </xf>
    <xf numFmtId="0" fontId="13" fillId="2" borderId="1" xfId="0" applyFont="1" applyFill="1" applyBorder="1" applyAlignment="1" applyProtection="1">
      <alignment horizontal="center" vertical="center" wrapText="1"/>
    </xf>
    <xf numFmtId="0" fontId="46" fillId="17" borderId="7" xfId="0" applyFont="1" applyFill="1" applyBorder="1" applyAlignment="1" applyProtection="1">
      <alignment horizontal="center" vertical="center" wrapText="1"/>
    </xf>
    <xf numFmtId="0" fontId="11" fillId="17" borderId="6" xfId="0" applyFont="1" applyFill="1" applyBorder="1" applyAlignment="1" applyProtection="1">
      <alignment horizontal="center" vertical="center" wrapText="1"/>
    </xf>
    <xf numFmtId="0" fontId="11" fillId="17" borderId="11" xfId="0" applyFont="1" applyFill="1" applyBorder="1" applyAlignment="1" applyProtection="1">
      <alignment horizontal="center" vertical="center" wrapText="1"/>
    </xf>
    <xf numFmtId="0" fontId="11" fillId="17" borderId="8" xfId="0" applyFont="1" applyFill="1" applyBorder="1" applyAlignment="1" applyProtection="1">
      <alignment horizontal="center" vertical="center" wrapText="1"/>
    </xf>
    <xf numFmtId="0" fontId="11" fillId="17" borderId="12" xfId="0" applyFont="1" applyFill="1" applyBorder="1" applyAlignment="1" applyProtection="1">
      <alignment horizontal="center" vertical="center" wrapText="1"/>
    </xf>
    <xf numFmtId="0" fontId="11" fillId="17" borderId="2" xfId="0" applyFont="1" applyFill="1" applyBorder="1" applyAlignment="1" applyProtection="1">
      <alignment horizontal="center" vertical="center" wrapText="1"/>
    </xf>
    <xf numFmtId="0" fontId="48" fillId="9" borderId="6" xfId="0" applyFont="1" applyFill="1" applyBorder="1" applyAlignment="1" applyProtection="1">
      <alignment horizontal="left" vertical="center" wrapText="1"/>
      <protection hidden="1"/>
    </xf>
    <xf numFmtId="0" fontId="48" fillId="9" borderId="7" xfId="0" applyFont="1" applyFill="1" applyBorder="1" applyAlignment="1" applyProtection="1">
      <alignment horizontal="left" vertical="center" wrapText="1"/>
      <protection hidden="1"/>
    </xf>
    <xf numFmtId="0" fontId="48" fillId="9" borderId="8" xfId="0" applyFont="1" applyFill="1" applyBorder="1" applyAlignment="1" applyProtection="1">
      <alignment horizontal="left" vertical="center" wrapText="1"/>
      <protection hidden="1"/>
    </xf>
    <xf numFmtId="0" fontId="48" fillId="9" borderId="9" xfId="0" applyFont="1" applyFill="1" applyBorder="1" applyAlignment="1" applyProtection="1">
      <alignment horizontal="left" vertical="center" wrapText="1"/>
      <protection hidden="1"/>
    </xf>
    <xf numFmtId="0" fontId="48" fillId="9" borderId="0" xfId="0" applyFont="1" applyFill="1" applyBorder="1" applyAlignment="1" applyProtection="1">
      <alignment horizontal="left" vertical="center" wrapText="1"/>
      <protection hidden="1"/>
    </xf>
    <xf numFmtId="0" fontId="48" fillId="9" borderId="10" xfId="0" applyFont="1" applyFill="1" applyBorder="1" applyAlignment="1" applyProtection="1">
      <alignment horizontal="left" vertical="center" wrapText="1"/>
      <protection hidden="1"/>
    </xf>
    <xf numFmtId="0" fontId="48" fillId="9" borderId="11" xfId="0" applyFont="1" applyFill="1" applyBorder="1" applyAlignment="1" applyProtection="1">
      <alignment horizontal="left" vertical="center" wrapText="1"/>
      <protection hidden="1"/>
    </xf>
    <xf numFmtId="0" fontId="48" fillId="9" borderId="5" xfId="0" applyFont="1" applyFill="1" applyBorder="1" applyAlignment="1" applyProtection="1">
      <alignment horizontal="left" vertical="center" wrapText="1"/>
      <protection hidden="1"/>
    </xf>
    <xf numFmtId="0" fontId="48" fillId="9" borderId="12" xfId="0" applyFont="1" applyFill="1" applyBorder="1" applyAlignment="1" applyProtection="1">
      <alignment horizontal="left" vertical="center" wrapText="1"/>
      <protection hidden="1"/>
    </xf>
    <xf numFmtId="174" fontId="13" fillId="15" borderId="0" xfId="0" applyNumberFormat="1" applyFont="1" applyFill="1" applyBorder="1" applyAlignment="1" applyProtection="1">
      <alignment horizontal="right" vertical="center"/>
      <protection hidden="1"/>
    </xf>
    <xf numFmtId="4" fontId="5" fillId="15" borderId="5" xfId="0" applyNumberFormat="1" applyFont="1" applyFill="1" applyBorder="1" applyAlignment="1" applyProtection="1">
      <alignment horizontal="right" vertical="center"/>
      <protection hidden="1"/>
    </xf>
    <xf numFmtId="4" fontId="5" fillId="15" borderId="12" xfId="0" applyNumberFormat="1" applyFont="1" applyFill="1" applyBorder="1" applyAlignment="1" applyProtection="1">
      <alignment horizontal="right" vertical="center"/>
      <protection hidden="1"/>
    </xf>
    <xf numFmtId="4" fontId="5" fillId="15" borderId="7" xfId="0" applyNumberFormat="1" applyFont="1" applyFill="1" applyBorder="1" applyAlignment="1" applyProtection="1">
      <alignment horizontal="right" vertical="center"/>
      <protection hidden="1"/>
    </xf>
    <xf numFmtId="4" fontId="5" fillId="15" borderId="8" xfId="0" applyNumberFormat="1" applyFont="1" applyFill="1" applyBorder="1" applyAlignment="1" applyProtection="1">
      <alignment horizontal="right" vertical="center"/>
      <protection hidden="1"/>
    </xf>
    <xf numFmtId="174" fontId="6" fillId="15" borderId="0" xfId="0" applyNumberFormat="1" applyFont="1" applyFill="1" applyBorder="1" applyAlignment="1" applyProtection="1">
      <alignment horizontal="left"/>
      <protection hidden="1"/>
    </xf>
    <xf numFmtId="174" fontId="6" fillId="15" borderId="5" xfId="0" applyNumberFormat="1" applyFont="1" applyFill="1" applyBorder="1" applyAlignment="1" applyProtection="1">
      <alignment horizontal="left"/>
      <protection hidden="1"/>
    </xf>
    <xf numFmtId="4" fontId="5" fillId="15" borderId="0" xfId="0" applyNumberFormat="1" applyFont="1" applyFill="1" applyBorder="1" applyAlignment="1" applyProtection="1">
      <alignment horizontal="right" vertical="center"/>
      <protection hidden="1"/>
    </xf>
    <xf numFmtId="4" fontId="5" fillId="15" borderId="10" xfId="0" applyNumberFormat="1" applyFont="1" applyFill="1" applyBorder="1" applyAlignment="1" applyProtection="1">
      <alignment horizontal="right" vertical="center"/>
      <protection hidden="1"/>
    </xf>
    <xf numFmtId="10" fontId="5" fillId="15" borderId="0" xfId="3" applyNumberFormat="1" applyFont="1" applyFill="1" applyBorder="1" applyAlignment="1" applyProtection="1">
      <alignment horizontal="right" vertical="center"/>
      <protection hidden="1"/>
    </xf>
    <xf numFmtId="10" fontId="5" fillId="15" borderId="10" xfId="3" applyNumberFormat="1" applyFont="1" applyFill="1" applyBorder="1" applyAlignment="1" applyProtection="1">
      <alignment horizontal="right" vertical="center"/>
      <protection hidden="1"/>
    </xf>
    <xf numFmtId="174" fontId="45" fillId="15" borderId="7" xfId="0" applyNumberFormat="1" applyFont="1" applyFill="1" applyBorder="1" applyAlignment="1" applyProtection="1">
      <alignment horizontal="center" vertical="center"/>
      <protection hidden="1"/>
    </xf>
    <xf numFmtId="174" fontId="45" fillId="15" borderId="0" xfId="0" applyNumberFormat="1" applyFont="1" applyFill="1" applyBorder="1" applyAlignment="1" applyProtection="1">
      <alignment horizontal="center" vertical="center"/>
      <protection hidden="1"/>
    </xf>
    <xf numFmtId="174" fontId="37" fillId="3" borderId="6" xfId="0" applyNumberFormat="1" applyFont="1" applyFill="1" applyBorder="1" applyAlignment="1" applyProtection="1">
      <alignment horizontal="right" vertical="center"/>
      <protection hidden="1"/>
    </xf>
    <xf numFmtId="174" fontId="37" fillId="3" borderId="7" xfId="0" applyNumberFormat="1" applyFont="1" applyFill="1" applyBorder="1" applyAlignment="1" applyProtection="1">
      <alignment horizontal="right" vertical="center"/>
      <protection hidden="1"/>
    </xf>
    <xf numFmtId="174" fontId="37" fillId="3" borderId="8" xfId="0" applyNumberFormat="1" applyFont="1" applyFill="1" applyBorder="1" applyAlignment="1" applyProtection="1">
      <alignment horizontal="right" vertical="center"/>
      <protection hidden="1"/>
    </xf>
    <xf numFmtId="174" fontId="37" fillId="3" borderId="9" xfId="0" applyNumberFormat="1" applyFont="1" applyFill="1" applyBorder="1" applyAlignment="1" applyProtection="1">
      <alignment horizontal="right" vertical="center"/>
      <protection hidden="1"/>
    </xf>
    <xf numFmtId="174" fontId="37" fillId="3" borderId="0" xfId="0" applyNumberFormat="1" applyFont="1" applyFill="1" applyBorder="1" applyAlignment="1" applyProtection="1">
      <alignment horizontal="right" vertical="center"/>
      <protection hidden="1"/>
    </xf>
    <xf numFmtId="174" fontId="37" fillId="3" borderId="10" xfId="0" applyNumberFormat="1" applyFont="1" applyFill="1" applyBorder="1" applyAlignment="1" applyProtection="1">
      <alignment horizontal="right" vertical="center"/>
      <protection hidden="1"/>
    </xf>
    <xf numFmtId="0" fontId="33" fillId="5" borderId="6" xfId="0" applyNumberFormat="1" applyFont="1" applyFill="1" applyBorder="1" applyAlignment="1" applyProtection="1">
      <alignment horizontal="center" vertical="center"/>
      <protection locked="0" hidden="1"/>
    </xf>
    <xf numFmtId="0" fontId="33" fillId="5" borderId="8" xfId="0" applyNumberFormat="1" applyFont="1" applyFill="1" applyBorder="1" applyAlignment="1" applyProtection="1">
      <alignment horizontal="center" vertical="center"/>
      <protection locked="0" hidden="1"/>
    </xf>
    <xf numFmtId="0" fontId="33" fillId="5" borderId="9" xfId="0" applyNumberFormat="1" applyFont="1" applyFill="1" applyBorder="1" applyAlignment="1" applyProtection="1">
      <alignment horizontal="center" vertical="center"/>
      <protection locked="0" hidden="1"/>
    </xf>
    <xf numFmtId="0" fontId="33" fillId="5" borderId="10" xfId="0" applyNumberFormat="1" applyFont="1" applyFill="1" applyBorder="1" applyAlignment="1" applyProtection="1">
      <alignment horizontal="center" vertical="center"/>
      <protection locked="0" hidden="1"/>
    </xf>
    <xf numFmtId="0" fontId="11" fillId="19" borderId="9" xfId="0" applyFont="1" applyFill="1" applyBorder="1" applyAlignment="1" applyProtection="1">
      <alignment horizontal="center" vertical="center"/>
      <protection hidden="1"/>
    </xf>
    <xf numFmtId="0" fontId="11" fillId="19" borderId="0" xfId="0" applyFont="1" applyFill="1" applyBorder="1" applyAlignment="1" applyProtection="1">
      <alignment horizontal="center" vertical="center"/>
      <protection hidden="1"/>
    </xf>
    <xf numFmtId="0" fontId="11" fillId="19" borderId="10" xfId="0" applyFont="1" applyFill="1" applyBorder="1" applyAlignment="1" applyProtection="1">
      <alignment horizontal="center" vertical="center"/>
      <protection hidden="1"/>
    </xf>
    <xf numFmtId="0" fontId="6" fillId="19" borderId="9" xfId="0" applyFont="1" applyFill="1" applyBorder="1" applyAlignment="1" applyProtection="1">
      <alignment horizontal="center" vertical="center"/>
      <protection hidden="1"/>
    </xf>
    <xf numFmtId="0" fontId="6" fillId="19" borderId="0" xfId="0" applyFont="1" applyFill="1" applyBorder="1" applyAlignment="1" applyProtection="1">
      <alignment horizontal="center" vertical="center"/>
      <protection hidden="1"/>
    </xf>
    <xf numFmtId="0" fontId="6" fillId="19" borderId="10" xfId="0" applyFont="1" applyFill="1" applyBorder="1" applyAlignment="1" applyProtection="1">
      <alignment horizontal="center" vertical="center"/>
      <protection hidden="1"/>
    </xf>
    <xf numFmtId="0" fontId="50" fillId="19" borderId="9" xfId="0" applyFont="1" applyFill="1" applyBorder="1" applyAlignment="1" applyProtection="1">
      <alignment horizontal="center" vertical="center"/>
      <protection hidden="1"/>
    </xf>
    <xf numFmtId="0" fontId="50" fillId="19" borderId="0" xfId="0" applyFont="1" applyFill="1" applyBorder="1" applyAlignment="1" applyProtection="1">
      <alignment horizontal="center" vertical="center"/>
      <protection hidden="1"/>
    </xf>
    <xf numFmtId="0" fontId="50" fillId="19" borderId="10" xfId="0" applyFont="1" applyFill="1" applyBorder="1" applyAlignment="1" applyProtection="1">
      <alignment horizontal="center" vertical="center"/>
      <protection hidden="1"/>
    </xf>
    <xf numFmtId="14" fontId="6" fillId="19" borderId="9" xfId="0" quotePrefix="1" applyNumberFormat="1" applyFont="1" applyFill="1" applyBorder="1" applyAlignment="1" applyProtection="1">
      <alignment horizontal="left"/>
      <protection hidden="1"/>
    </xf>
    <xf numFmtId="14" fontId="6" fillId="19" borderId="0" xfId="0" quotePrefix="1" applyNumberFormat="1" applyFont="1" applyFill="1" applyBorder="1" applyAlignment="1" applyProtection="1">
      <alignment horizontal="left"/>
      <protection hidden="1"/>
    </xf>
    <xf numFmtId="14" fontId="6" fillId="19" borderId="10" xfId="0" quotePrefix="1" applyNumberFormat="1" applyFont="1" applyFill="1" applyBorder="1" applyAlignment="1" applyProtection="1">
      <alignment horizontal="left"/>
      <protection hidden="1"/>
    </xf>
    <xf numFmtId="0" fontId="19" fillId="19" borderId="9" xfId="0" applyFont="1" applyFill="1" applyBorder="1" applyAlignment="1" applyProtection="1">
      <alignment horizontal="left"/>
      <protection hidden="1"/>
    </xf>
    <xf numFmtId="0" fontId="19" fillId="19" borderId="0" xfId="0" applyFont="1" applyFill="1" applyBorder="1" applyAlignment="1" applyProtection="1">
      <alignment horizontal="left"/>
      <protection hidden="1"/>
    </xf>
    <xf numFmtId="0" fontId="40" fillId="19" borderId="0" xfId="0" applyFont="1" applyFill="1" applyBorder="1" applyAlignment="1" applyProtection="1">
      <alignment horizontal="left"/>
      <protection hidden="1"/>
    </xf>
    <xf numFmtId="0" fontId="40" fillId="19" borderId="10" xfId="0" applyFont="1" applyFill="1" applyBorder="1" applyAlignment="1" applyProtection="1">
      <alignment horizontal="left"/>
      <protection hidden="1"/>
    </xf>
    <xf numFmtId="14" fontId="6" fillId="19" borderId="11" xfId="0" quotePrefix="1" applyNumberFormat="1" applyFont="1" applyFill="1" applyBorder="1" applyAlignment="1" applyProtection="1">
      <alignment horizontal="left"/>
      <protection hidden="1"/>
    </xf>
    <xf numFmtId="14" fontId="6" fillId="19" borderId="5" xfId="0" quotePrefix="1" applyNumberFormat="1" applyFont="1" applyFill="1" applyBorder="1" applyAlignment="1" applyProtection="1">
      <alignment horizontal="left"/>
      <protection hidden="1"/>
    </xf>
    <xf numFmtId="14" fontId="6" fillId="19" borderId="12" xfId="0" quotePrefix="1" applyNumberFormat="1" applyFont="1" applyFill="1" applyBorder="1" applyAlignment="1" applyProtection="1">
      <alignment horizontal="left"/>
      <protection hidden="1"/>
    </xf>
    <xf numFmtId="0" fontId="40" fillId="19" borderId="0" xfId="0" applyFont="1" applyFill="1" applyBorder="1" applyAlignment="1" applyProtection="1">
      <alignment horizontal="left" vertical="top"/>
      <protection hidden="1"/>
    </xf>
    <xf numFmtId="0" fontId="40" fillId="19" borderId="10" xfId="0" applyFont="1" applyFill="1" applyBorder="1" applyAlignment="1" applyProtection="1">
      <alignment horizontal="left" vertical="top"/>
      <protection hidden="1"/>
    </xf>
    <xf numFmtId="0" fontId="40" fillId="19" borderId="0" xfId="0" applyFont="1" applyFill="1" applyBorder="1" applyAlignment="1" applyProtection="1">
      <alignment horizontal="left" vertical="top" wrapText="1"/>
      <protection hidden="1"/>
    </xf>
    <xf numFmtId="0" fontId="40" fillId="19" borderId="10" xfId="0" applyFont="1" applyFill="1" applyBorder="1" applyAlignment="1" applyProtection="1">
      <alignment horizontal="left" vertical="top" wrapText="1"/>
      <protection hidden="1"/>
    </xf>
    <xf numFmtId="14" fontId="60" fillId="19" borderId="9" xfId="0" applyNumberFormat="1" applyFont="1" applyFill="1" applyBorder="1" applyAlignment="1" applyProtection="1">
      <alignment horizontal="left"/>
      <protection hidden="1"/>
    </xf>
    <xf numFmtId="14" fontId="60" fillId="19" borderId="0" xfId="0" applyNumberFormat="1" applyFont="1" applyFill="1" applyBorder="1" applyAlignment="1" applyProtection="1">
      <alignment horizontal="left"/>
      <protection hidden="1"/>
    </xf>
    <xf numFmtId="14" fontId="60" fillId="19" borderId="10" xfId="0" applyNumberFormat="1" applyFont="1" applyFill="1" applyBorder="1" applyAlignment="1" applyProtection="1">
      <alignment horizontal="left"/>
      <protection hidden="1"/>
    </xf>
    <xf numFmtId="179" fontId="4" fillId="3" borderId="1" xfId="0" applyNumberFormat="1" applyFont="1" applyFill="1" applyBorder="1" applyAlignment="1" applyProtection="1">
      <alignment horizontal="center" wrapText="1"/>
      <protection hidden="1"/>
    </xf>
    <xf numFmtId="17" fontId="42" fillId="17" borderId="1" xfId="0" applyNumberFormat="1" applyFont="1" applyFill="1" applyBorder="1" applyAlignment="1" applyProtection="1">
      <alignment horizontal="center" vertical="center"/>
      <protection hidden="1"/>
    </xf>
    <xf numFmtId="17" fontId="6" fillId="17" borderId="13" xfId="0" applyNumberFormat="1" applyFont="1" applyFill="1" applyBorder="1" applyAlignment="1" applyProtection="1">
      <alignment horizontal="center" vertical="center"/>
      <protection hidden="1"/>
    </xf>
    <xf numFmtId="17" fontId="6" fillId="17" borderId="14" xfId="0" applyNumberFormat="1" applyFont="1" applyFill="1" applyBorder="1" applyAlignment="1" applyProtection="1">
      <alignment horizontal="center" vertical="center"/>
      <protection hidden="1"/>
    </xf>
    <xf numFmtId="10" fontId="22" fillId="3" borderId="1" xfId="3" applyNumberFormat="1" applyFont="1" applyFill="1" applyBorder="1" applyAlignment="1" applyProtection="1">
      <alignment horizontal="center" wrapText="1"/>
      <protection hidden="1"/>
    </xf>
    <xf numFmtId="17" fontId="11" fillId="17" borderId="13" xfId="0" applyNumberFormat="1" applyFont="1" applyFill="1" applyBorder="1" applyAlignment="1" applyProtection="1">
      <alignment horizontal="center" vertical="center"/>
      <protection hidden="1"/>
    </xf>
    <xf numFmtId="17" fontId="11" fillId="17" borderId="14" xfId="0" applyNumberFormat="1" applyFont="1" applyFill="1" applyBorder="1" applyAlignment="1" applyProtection="1">
      <alignment horizontal="center" vertical="center"/>
      <protection hidden="1"/>
    </xf>
    <xf numFmtId="189" fontId="42" fillId="17" borderId="1" xfId="0" applyNumberFormat="1" applyFont="1" applyFill="1" applyBorder="1" applyAlignment="1" applyProtection="1">
      <alignment horizontal="center" vertical="center"/>
      <protection hidden="1"/>
    </xf>
    <xf numFmtId="17" fontId="42" fillId="17" borderId="3" xfId="0" applyNumberFormat="1" applyFont="1" applyFill="1" applyBorder="1" applyAlignment="1" applyProtection="1">
      <alignment horizontal="center" vertical="center"/>
      <protection hidden="1"/>
    </xf>
    <xf numFmtId="17" fontId="42" fillId="17" borderId="2" xfId="0" applyNumberFormat="1" applyFont="1" applyFill="1" applyBorder="1" applyAlignment="1" applyProtection="1">
      <alignment horizontal="center" vertical="center"/>
      <protection hidden="1"/>
    </xf>
    <xf numFmtId="17" fontId="42" fillId="17" borderId="18" xfId="0" applyNumberFormat="1" applyFont="1" applyFill="1" applyBorder="1" applyAlignment="1" applyProtection="1">
      <alignment horizontal="center" vertical="center"/>
      <protection hidden="1"/>
    </xf>
    <xf numFmtId="175" fontId="31" fillId="17" borderId="3" xfId="3" applyNumberFormat="1" applyFont="1" applyFill="1" applyBorder="1" applyAlignment="1" applyProtection="1">
      <alignment horizontal="center" vertical="center"/>
      <protection hidden="1"/>
    </xf>
    <xf numFmtId="175" fontId="31" fillId="17" borderId="2" xfId="3" applyNumberFormat="1" applyFont="1" applyFill="1" applyBorder="1" applyAlignment="1" applyProtection="1">
      <alignment horizontal="center" vertical="center"/>
      <protection hidden="1"/>
    </xf>
    <xf numFmtId="175" fontId="31" fillId="17" borderId="18" xfId="3" applyNumberFormat="1" applyFont="1" applyFill="1" applyBorder="1" applyAlignment="1" applyProtection="1">
      <alignment horizontal="center" vertical="center"/>
      <protection hidden="1"/>
    </xf>
    <xf numFmtId="17" fontId="6" fillId="17" borderId="1" xfId="0" applyNumberFormat="1" applyFont="1" applyFill="1" applyBorder="1" applyAlignment="1" applyProtection="1">
      <alignment horizontal="center" vertical="center"/>
      <protection hidden="1"/>
    </xf>
    <xf numFmtId="17" fontId="44" fillId="9" borderId="1" xfId="0" applyNumberFormat="1" applyFont="1" applyFill="1" applyBorder="1" applyAlignment="1" applyProtection="1">
      <alignment horizontal="center" vertical="center"/>
      <protection hidden="1"/>
    </xf>
    <xf numFmtId="0" fontId="46" fillId="17" borderId="13" xfId="0" applyFont="1" applyFill="1" applyBorder="1" applyAlignment="1" applyProtection="1">
      <alignment horizontal="center" vertical="center" wrapText="1"/>
      <protection hidden="1"/>
    </xf>
    <xf numFmtId="0" fontId="46" fillId="17" borderId="14" xfId="0" applyFont="1" applyFill="1" applyBorder="1" applyAlignment="1" applyProtection="1">
      <alignment horizontal="center" vertical="center" wrapText="1"/>
      <protection hidden="1"/>
    </xf>
    <xf numFmtId="1" fontId="13" fillId="3" borderId="1" xfId="0" applyNumberFormat="1" applyFont="1" applyFill="1" applyBorder="1" applyAlignment="1" applyProtection="1">
      <alignment horizontal="center"/>
      <protection hidden="1"/>
    </xf>
    <xf numFmtId="17" fontId="42" fillId="17" borderId="6" xfId="0" applyNumberFormat="1" applyFont="1" applyFill="1" applyBorder="1" applyAlignment="1" applyProtection="1">
      <alignment horizontal="center" vertical="center"/>
      <protection hidden="1"/>
    </xf>
    <xf numFmtId="17" fontId="42" fillId="17" borderId="8" xfId="0" applyNumberFormat="1" applyFont="1" applyFill="1" applyBorder="1" applyAlignment="1" applyProtection="1">
      <alignment horizontal="center" vertical="center"/>
      <protection hidden="1"/>
    </xf>
    <xf numFmtId="17" fontId="42" fillId="17" borderId="11" xfId="0" applyNumberFormat="1" applyFont="1" applyFill="1" applyBorder="1" applyAlignment="1" applyProtection="1">
      <alignment horizontal="center" vertical="center"/>
      <protection hidden="1"/>
    </xf>
    <xf numFmtId="17" fontId="42" fillId="17" borderId="12" xfId="0" applyNumberFormat="1" applyFont="1" applyFill="1" applyBorder="1" applyAlignment="1" applyProtection="1">
      <alignment horizontal="center" vertical="center"/>
      <protection hidden="1"/>
    </xf>
    <xf numFmtId="179" fontId="4" fillId="3" borderId="11" xfId="0" applyNumberFormat="1" applyFont="1" applyFill="1" applyBorder="1" applyAlignment="1" applyProtection="1">
      <alignment horizontal="center" wrapText="1"/>
      <protection hidden="1"/>
    </xf>
    <xf numFmtId="179" fontId="4" fillId="3" borderId="12" xfId="0" applyNumberFormat="1" applyFont="1" applyFill="1" applyBorder="1" applyAlignment="1" applyProtection="1">
      <alignment horizontal="center" wrapText="1"/>
      <protection hidden="1"/>
    </xf>
    <xf numFmtId="175" fontId="31" fillId="17" borderId="3" xfId="3" applyNumberFormat="1" applyFont="1" applyFill="1" applyBorder="1" applyAlignment="1" applyProtection="1">
      <alignment horizontal="left" vertical="center"/>
      <protection hidden="1"/>
    </xf>
    <xf numFmtId="175" fontId="31" fillId="17" borderId="2" xfId="3" applyNumberFormat="1" applyFont="1" applyFill="1" applyBorder="1" applyAlignment="1" applyProtection="1">
      <alignment horizontal="left" vertical="center"/>
      <protection hidden="1"/>
    </xf>
    <xf numFmtId="175" fontId="31" fillId="17" borderId="18" xfId="3" applyNumberFormat="1" applyFont="1" applyFill="1" applyBorder="1" applyAlignment="1" applyProtection="1">
      <alignment horizontal="left" vertical="center"/>
      <protection hidden="1"/>
    </xf>
    <xf numFmtId="179" fontId="4" fillId="3" borderId="3" xfId="0" applyNumberFormat="1" applyFont="1" applyFill="1" applyBorder="1" applyAlignment="1" applyProtection="1">
      <alignment horizontal="center" wrapText="1"/>
      <protection hidden="1"/>
    </xf>
    <xf numFmtId="179" fontId="4" fillId="3" borderId="2" xfId="0" applyNumberFormat="1" applyFont="1" applyFill="1" applyBorder="1" applyAlignment="1" applyProtection="1">
      <alignment horizontal="center" wrapText="1"/>
      <protection hidden="1"/>
    </xf>
    <xf numFmtId="179" fontId="4" fillId="3" borderId="18" xfId="0" applyNumberFormat="1" applyFont="1" applyFill="1" applyBorder="1" applyAlignment="1" applyProtection="1">
      <alignment horizontal="center" wrapText="1"/>
      <protection hidden="1"/>
    </xf>
    <xf numFmtId="17" fontId="11" fillId="17" borderId="3" xfId="0" applyNumberFormat="1" applyFont="1" applyFill="1" applyBorder="1" applyAlignment="1" applyProtection="1">
      <alignment horizontal="center" vertical="center"/>
      <protection hidden="1"/>
    </xf>
    <xf numFmtId="17" fontId="11" fillId="17" borderId="2" xfId="0" applyNumberFormat="1" applyFont="1" applyFill="1" applyBorder="1" applyAlignment="1" applyProtection="1">
      <alignment horizontal="center" vertical="center"/>
      <protection hidden="1"/>
    </xf>
    <xf numFmtId="17" fontId="11" fillId="17" borderId="18" xfId="0" applyNumberFormat="1" applyFont="1" applyFill="1" applyBorder="1" applyAlignment="1" applyProtection="1">
      <alignment horizontal="center" vertical="center"/>
      <protection hidden="1"/>
    </xf>
    <xf numFmtId="175" fontId="31" fillId="17" borderId="1" xfId="3" applyNumberFormat="1" applyFont="1" applyFill="1" applyBorder="1" applyAlignment="1" applyProtection="1">
      <alignment horizontal="left" vertical="center"/>
      <protection hidden="1"/>
    </xf>
    <xf numFmtId="176" fontId="0" fillId="3" borderId="1" xfId="0" applyNumberFormat="1" applyFill="1" applyBorder="1" applyAlignment="1" applyProtection="1">
      <alignment horizontal="center" vertical="top" wrapText="1"/>
      <protection hidden="1"/>
    </xf>
    <xf numFmtId="176" fontId="0" fillId="9" borderId="3" xfId="0" applyNumberFormat="1" applyFill="1" applyBorder="1" applyAlignment="1" applyProtection="1">
      <alignment horizontal="center"/>
      <protection locked="0"/>
    </xf>
    <xf numFmtId="176" fontId="0" fillId="9" borderId="2" xfId="0" applyNumberFormat="1" applyFill="1" applyBorder="1" applyAlignment="1" applyProtection="1">
      <alignment horizontal="center"/>
      <protection locked="0"/>
    </xf>
    <xf numFmtId="176" fontId="0" fillId="9" borderId="18" xfId="0" applyNumberFormat="1" applyFill="1" applyBorder="1" applyAlignment="1" applyProtection="1">
      <alignment horizontal="center"/>
      <protection locked="0"/>
    </xf>
    <xf numFmtId="176" fontId="0" fillId="3" borderId="3" xfId="0" applyNumberFormat="1" applyFill="1" applyBorder="1" applyAlignment="1" applyProtection="1">
      <alignment horizontal="center" vertical="top" wrapText="1"/>
      <protection hidden="1"/>
    </xf>
    <xf numFmtId="176" fontId="0" fillId="3" borderId="2" xfId="0" applyNumberFormat="1" applyFill="1" applyBorder="1" applyAlignment="1" applyProtection="1">
      <alignment horizontal="center" vertical="top" wrapText="1"/>
      <protection hidden="1"/>
    </xf>
    <xf numFmtId="17" fontId="6" fillId="17" borderId="3" xfId="0" applyNumberFormat="1" applyFont="1" applyFill="1" applyBorder="1" applyAlignment="1" applyProtection="1">
      <alignment horizontal="center" vertical="center"/>
      <protection hidden="1"/>
    </xf>
    <xf numFmtId="17" fontId="6" fillId="17" borderId="18" xfId="0" applyNumberFormat="1" applyFont="1" applyFill="1" applyBorder="1" applyAlignment="1" applyProtection="1">
      <alignment horizontal="center" vertical="center"/>
      <protection hidden="1"/>
    </xf>
    <xf numFmtId="10" fontId="28" fillId="3" borderId="11" xfId="3" applyNumberFormat="1" applyFont="1" applyFill="1" applyBorder="1" applyAlignment="1" applyProtection="1">
      <alignment horizontal="center" wrapText="1"/>
      <protection hidden="1"/>
    </xf>
    <xf numFmtId="10" fontId="28" fillId="3" borderId="5" xfId="3" applyNumberFormat="1" applyFont="1" applyFill="1" applyBorder="1" applyAlignment="1" applyProtection="1">
      <alignment horizontal="center" wrapText="1"/>
      <protection hidden="1"/>
    </xf>
    <xf numFmtId="10" fontId="28" fillId="3" borderId="12" xfId="3" applyNumberFormat="1" applyFont="1" applyFill="1" applyBorder="1" applyAlignment="1" applyProtection="1">
      <alignment horizontal="center" wrapText="1"/>
      <protection hidden="1"/>
    </xf>
    <xf numFmtId="10" fontId="28" fillId="3" borderId="3" xfId="3" applyNumberFormat="1" applyFont="1" applyFill="1" applyBorder="1" applyAlignment="1" applyProtection="1">
      <alignment horizontal="center" wrapText="1"/>
      <protection hidden="1"/>
    </xf>
    <xf numFmtId="10" fontId="28" fillId="3" borderId="2" xfId="3" applyNumberFormat="1" applyFont="1" applyFill="1" applyBorder="1" applyAlignment="1" applyProtection="1">
      <alignment horizontal="center" wrapText="1"/>
      <protection hidden="1"/>
    </xf>
    <xf numFmtId="10" fontId="28" fillId="3" borderId="18" xfId="3" applyNumberFormat="1" applyFont="1" applyFill="1" applyBorder="1" applyAlignment="1" applyProtection="1">
      <alignment horizontal="center" wrapText="1"/>
      <protection hidden="1"/>
    </xf>
    <xf numFmtId="17" fontId="6" fillId="17" borderId="2" xfId="0" applyNumberFormat="1" applyFont="1" applyFill="1" applyBorder="1" applyAlignment="1" applyProtection="1">
      <alignment horizontal="center" vertical="center"/>
      <protection hidden="1"/>
    </xf>
    <xf numFmtId="0" fontId="62" fillId="0" borderId="0" xfId="0" applyFont="1"/>
    <xf numFmtId="0" fontId="63" fillId="0" borderId="0" xfId="0" applyFont="1"/>
    <xf numFmtId="0" fontId="61" fillId="0" borderId="0" xfId="0" applyFont="1"/>
    <xf numFmtId="0" fontId="0" fillId="23" borderId="0" xfId="0" applyFill="1"/>
    <xf numFmtId="0" fontId="65" fillId="0" borderId="0" xfId="0" applyFont="1"/>
    <xf numFmtId="0" fontId="67" fillId="0" borderId="0" xfId="0" applyFont="1"/>
    <xf numFmtId="0" fontId="68" fillId="0" borderId="0" xfId="0" applyFont="1"/>
    <xf numFmtId="0" fontId="69" fillId="0" borderId="0" xfId="0" applyFont="1"/>
    <xf numFmtId="0" fontId="70" fillId="0" borderId="0" xfId="0" applyFont="1"/>
    <xf numFmtId="0" fontId="0" fillId="24" borderId="0" xfId="0" applyFill="1"/>
    <xf numFmtId="0" fontId="68" fillId="24" borderId="0" xfId="0" applyFont="1" applyFill="1"/>
    <xf numFmtId="0" fontId="71" fillId="0" borderId="0" xfId="0" applyFont="1"/>
    <xf numFmtId="0" fontId="66" fillId="0" borderId="0" xfId="0" applyFont="1"/>
    <xf numFmtId="0" fontId="72" fillId="0" borderId="0" xfId="0" applyFont="1"/>
    <xf numFmtId="0" fontId="73" fillId="0" borderId="0" xfId="0" applyFont="1"/>
    <xf numFmtId="0" fontId="74" fillId="0" borderId="0" xfId="0" applyFont="1"/>
  </cellXfs>
  <cellStyles count="6">
    <cellStyle name="Normal" xfId="0" builtinId="0"/>
    <cellStyle name="Normal 2" xfId="1"/>
    <cellStyle name="Normal 3" xfId="2"/>
    <cellStyle name="Porcentagem" xfId="3" builtinId="5"/>
    <cellStyle name="Porcentagem 2" xfId="4"/>
    <cellStyle name="Separador de milhares 2" xfId="5"/>
  </cellStyles>
  <dxfs count="23"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font>
        <b/>
        <i val="0"/>
        <condense val="0"/>
        <extend val="0"/>
      </font>
      <border>
        <bottom style="thin">
          <color indexed="64"/>
        </bottom>
      </border>
    </dxf>
    <dxf>
      <fill>
        <patternFill patternType="lightGrid"/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lightGrid"/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lightGrid"/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lightGrid"/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lightGrid"/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lightGrid"/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lightGrid"/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lightGrid"/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lightGrid"/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lightGrid"/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lightGrid"/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lightGrid"/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lightGrid"/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lightGrid"/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lightGrid"/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lightGrid"/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lightGrid"/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lightGrid"/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4.png"/><Relationship Id="rId7" Type="http://schemas.openxmlformats.org/officeDocument/2006/relationships/image" Target="../media/image10.png"/><Relationship Id="rId2" Type="http://schemas.openxmlformats.org/officeDocument/2006/relationships/image" Target="../media/image3.emf"/><Relationship Id="rId1" Type="http://schemas.openxmlformats.org/officeDocument/2006/relationships/image" Target="../media/image9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4.png"/><Relationship Id="rId7" Type="http://schemas.openxmlformats.org/officeDocument/2006/relationships/image" Target="../media/image10.png"/><Relationship Id="rId2" Type="http://schemas.openxmlformats.org/officeDocument/2006/relationships/image" Target="../media/image3.emf"/><Relationship Id="rId1" Type="http://schemas.openxmlformats.org/officeDocument/2006/relationships/image" Target="../media/image13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18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323850</xdr:colOff>
      <xdr:row>0</xdr:row>
      <xdr:rowOff>438150</xdr:rowOff>
    </xdr:to>
    <xdr:sp macro="" textlink="">
      <xdr:nvSpPr>
        <xdr:cNvPr id="536318" name="Image1" hidden="1"/>
        <xdr:cNvSpPr>
          <a:spLocks noChangeArrowheads="1"/>
        </xdr:cNvSpPr>
      </xdr:nvSpPr>
      <xdr:spPr bwMode="auto">
        <a:xfrm>
          <a:off x="0" y="0"/>
          <a:ext cx="438150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0</xdr:colOff>
      <xdr:row>3</xdr:row>
      <xdr:rowOff>19050</xdr:rowOff>
    </xdr:from>
    <xdr:to>
      <xdr:col>6</xdr:col>
      <xdr:colOff>400050</xdr:colOff>
      <xdr:row>23</xdr:row>
      <xdr:rowOff>19050</xdr:rowOff>
    </xdr:to>
    <xdr:pic>
      <xdr:nvPicPr>
        <xdr:cNvPr id="536319" name="Imagem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809625"/>
          <a:ext cx="3629025" cy="3743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19050</xdr:colOff>
      <xdr:row>0</xdr:row>
      <xdr:rowOff>19050</xdr:rowOff>
    </xdr:from>
    <xdr:to>
      <xdr:col>10</xdr:col>
      <xdr:colOff>76200</xdr:colOff>
      <xdr:row>0</xdr:row>
      <xdr:rowOff>457200</xdr:rowOff>
    </xdr:to>
    <xdr:grpSp>
      <xdr:nvGrpSpPr>
        <xdr:cNvPr id="536320" name="Agrupar 69"/>
        <xdr:cNvGrpSpPr>
          <a:grpSpLocks/>
        </xdr:cNvGrpSpPr>
      </xdr:nvGrpSpPr>
      <xdr:grpSpPr bwMode="auto">
        <a:xfrm>
          <a:off x="19050" y="19050"/>
          <a:ext cx="7210425" cy="438150"/>
          <a:chOff x="0" y="0"/>
          <a:chExt cx="7381945" cy="438150"/>
        </a:xfrm>
      </xdr:grpSpPr>
      <xdr:pic>
        <xdr:nvPicPr>
          <xdr:cNvPr id="536321" name="Image1"/>
          <xdr:cNvPicPr preferRelativeResize="0">
            <a:picLocks noChangeAspect="1" noChangeArrowheads="1" noChangeShapeType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438150" cy="438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grpSp>
        <xdr:nvGrpSpPr>
          <xdr:cNvPr id="536322" name="Agrupar 71"/>
          <xdr:cNvGrpSpPr>
            <a:grpSpLocks/>
          </xdr:cNvGrpSpPr>
        </xdr:nvGrpSpPr>
        <xdr:grpSpPr bwMode="auto">
          <a:xfrm>
            <a:off x="429217" y="0"/>
            <a:ext cx="6952728" cy="428625"/>
            <a:chOff x="429217" y="0"/>
            <a:chExt cx="6952728" cy="428625"/>
          </a:xfrm>
        </xdr:grpSpPr>
        <xdr:sp macro="[0]!b_calculo" textlink="">
          <xdr:nvSpPr>
            <xdr:cNvPr id="22" name="Retângulo 21" title="TTT"/>
            <xdr:cNvSpPr/>
          </xdr:nvSpPr>
          <xdr:spPr bwMode="auto">
            <a:xfrm>
              <a:off x="1862552" y="0"/>
              <a:ext cx="1443234" cy="428625"/>
            </a:xfrm>
            <a:prstGeom prst="rect">
              <a:avLst/>
            </a:prstGeom>
            <a:solidFill>
              <a:schemeClr val="accent6">
                <a:lumMod val="60000"/>
                <a:lumOff val="40000"/>
              </a:schemeClr>
            </a:solidFill>
            <a:ln w="12700" cap="flat" cmpd="sng" algn="ctr">
              <a:solidFill>
                <a:schemeClr val="tx1"/>
              </a:solidFill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marL="0" indent="0" algn="ctr"/>
              <a:r>
                <a:rPr lang="pt-BR" sz="1200" b="1">
                  <a:solidFill>
                    <a:srgbClr val="2D2D2D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VISUALIZA</a:t>
              </a:r>
            </a:p>
            <a:p>
              <a:pPr marL="0" indent="0" algn="ctr"/>
              <a:r>
                <a:rPr lang="pt-BR" sz="1200" b="1">
                  <a:solidFill>
                    <a:srgbClr val="2D2D2D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CÁLCULO</a:t>
              </a:r>
            </a:p>
          </xdr:txBody>
        </xdr:sp>
        <xdr:sp macro="[0]!b_cadastro" textlink="">
          <xdr:nvSpPr>
            <xdr:cNvPr id="23" name="Retângulo 22" title="TTT"/>
            <xdr:cNvSpPr/>
          </xdr:nvSpPr>
          <xdr:spPr bwMode="auto">
            <a:xfrm>
              <a:off x="429070" y="0"/>
              <a:ext cx="1433482" cy="428625"/>
            </a:xfrm>
            <a:prstGeom prst="rect">
              <a:avLst/>
            </a:prstGeom>
            <a:solidFill>
              <a:schemeClr val="accent6">
                <a:lumMod val="60000"/>
                <a:lumOff val="40000"/>
              </a:schemeClr>
            </a:solidFill>
            <a:ln w="12700" cap="flat" cmpd="sng" algn="ctr">
              <a:solidFill>
                <a:schemeClr val="tx1"/>
              </a:solidFill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marL="0" indent="0" algn="ctr"/>
              <a:r>
                <a:rPr lang="pt-BR" sz="1200" b="1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CADASTRO</a:t>
              </a:r>
            </a:p>
            <a:p>
              <a:pPr marL="0" indent="0" algn="ctr"/>
              <a:r>
                <a:rPr lang="pt-BR" sz="1200" b="1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DO CÁLCULO</a:t>
              </a:r>
            </a:p>
          </xdr:txBody>
        </xdr:sp>
        <xdr:sp macro="" textlink="">
          <xdr:nvSpPr>
            <xdr:cNvPr id="24" name="Retângulo 23" title="TTT"/>
            <xdr:cNvSpPr/>
          </xdr:nvSpPr>
          <xdr:spPr bwMode="auto">
            <a:xfrm>
              <a:off x="3305785" y="0"/>
              <a:ext cx="2515907" cy="428625"/>
            </a:xfrm>
            <a:prstGeom prst="rect">
              <a:avLst/>
            </a:prstGeom>
            <a:solidFill>
              <a:schemeClr val="accent5">
                <a:lumMod val="40000"/>
                <a:lumOff val="60000"/>
              </a:schemeClr>
            </a:solidFill>
            <a:ln w="12700" cap="flat" cmpd="sng" algn="ctr">
              <a:solidFill>
                <a:schemeClr val="tx1"/>
              </a:solidFill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marL="0" indent="0" algn="ctr"/>
              <a:r>
                <a:rPr lang="pt-BR" sz="1050" b="1" i="1">
                  <a:solidFill>
                    <a:srgbClr val="2D2D2D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CÁLCULO DE AJUSTE</a:t>
              </a:r>
              <a:r>
                <a:rPr lang="pt-BR" sz="1050" b="1" i="1" baseline="0">
                  <a:solidFill>
                    <a:srgbClr val="2D2D2D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ANUAL DO IR</a:t>
              </a:r>
              <a:endParaRPr lang="pt-BR" sz="1050" b="1" i="1">
                <a:solidFill>
                  <a:srgbClr val="2D2D2D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endParaRPr>
            </a:p>
            <a:p>
              <a:pPr marL="0" indent="0" algn="ctr"/>
              <a:endParaRPr lang="pt-BR" sz="800" b="1" i="1" baseline="0">
                <a:solidFill>
                  <a:srgbClr val="2D2D2D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endParaRPr>
            </a:p>
            <a:p>
              <a:pPr marL="0" indent="0" algn="r"/>
              <a:r>
                <a:rPr lang="pt-BR" sz="700" b="1" i="1" baseline="0">
                  <a:solidFill>
                    <a:srgbClr val="2D2D2D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SJRJ-DCAL</a:t>
              </a:r>
              <a:endParaRPr lang="pt-BR" sz="800" b="1" i="1">
                <a:solidFill>
                  <a:srgbClr val="2D2D2D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25" name="Retângulo 24" title="TTT"/>
            <xdr:cNvSpPr/>
          </xdr:nvSpPr>
          <xdr:spPr bwMode="auto">
            <a:xfrm>
              <a:off x="5831444" y="0"/>
              <a:ext cx="1550501" cy="428625"/>
            </a:xfrm>
            <a:prstGeom prst="rect">
              <a:avLst/>
            </a:prstGeom>
            <a:solidFill>
              <a:schemeClr val="accent5">
                <a:lumMod val="40000"/>
                <a:lumOff val="60000"/>
              </a:schemeClr>
            </a:solidFill>
            <a:ln w="12700" cap="flat" cmpd="sng" algn="ctr">
              <a:solidFill>
                <a:schemeClr val="tx1"/>
              </a:solidFill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marL="0" indent="0" algn="ctr"/>
              <a:endParaRPr lang="pt-BR" sz="1050" b="1">
                <a:solidFill>
                  <a:srgbClr val="2D2D2D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endParaRPr>
            </a:p>
          </xdr:txBody>
        </xdr:sp>
        <xdr:grpSp>
          <xdr:nvGrpSpPr>
            <xdr:cNvPr id="536327" name="Agrupar 76"/>
            <xdr:cNvGrpSpPr>
              <a:grpSpLocks/>
            </xdr:cNvGrpSpPr>
          </xdr:nvGrpSpPr>
          <xdr:grpSpPr bwMode="auto">
            <a:xfrm>
              <a:off x="5848350" y="28575"/>
              <a:ext cx="1525409" cy="381356"/>
              <a:chOff x="5876925" y="47625"/>
              <a:chExt cx="1525409" cy="381356"/>
            </a:xfrm>
          </xdr:grpSpPr>
          <xdr:pic macro="[0]!tela_rest">
            <xdr:nvPicPr>
              <xdr:cNvPr id="536328" name="Imagem 77"/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6640175" y="47625"/>
                <a:ext cx="381154" cy="381154"/>
              </a:xfrm>
              <a:prstGeom prst="rect">
                <a:avLst/>
              </a:prstGeom>
              <a:solidFill>
                <a:srgbClr val="B7DEE8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pic>
          <xdr:pic macro="[0]!tela_max">
            <xdr:nvPicPr>
              <xdr:cNvPr id="536329" name="Imagem 78"/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7021180" y="47625"/>
                <a:ext cx="381154" cy="381154"/>
              </a:xfrm>
              <a:prstGeom prst="rect">
                <a:avLst/>
              </a:prstGeom>
              <a:solidFill>
                <a:srgbClr val="B7DEE8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pic>
          <xdr:pic macro="[0]!b_capa">
            <xdr:nvPicPr>
              <xdr:cNvPr id="536330" name="Imagem 79"/>
              <xdr:cNvPicPr>
                <a:picLocks noChangeAspect="1"/>
              </xdr:cNvPicPr>
            </xdr:nvPicPr>
            <xdr:blipFill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5876925" y="47625"/>
                <a:ext cx="381255" cy="38125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pic>
          <xdr:pic macro="[0]!b_sobre">
            <xdr:nvPicPr>
              <xdr:cNvPr id="536331" name="Imagem 80"/>
              <xdr:cNvPicPr>
                <a:picLocks noChangeAspect="1"/>
              </xdr:cNvPicPr>
            </xdr:nvPicPr>
            <xdr:blipFill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6257925" y="47625"/>
                <a:ext cx="381356" cy="38135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pic>
        </xdr:grp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695325</xdr:colOff>
      <xdr:row>7</xdr:row>
      <xdr:rowOff>0</xdr:rowOff>
    </xdr:from>
    <xdr:to>
      <xdr:col>7</xdr:col>
      <xdr:colOff>0</xdr:colOff>
      <xdr:row>8</xdr:row>
      <xdr:rowOff>9525</xdr:rowOff>
    </xdr:to>
    <xdr:pic macro="[0]!Plan2.bot_op2">
      <xdr:nvPicPr>
        <xdr:cNvPr id="537500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10125" y="1647825"/>
          <a:ext cx="2190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695325</xdr:colOff>
      <xdr:row>6</xdr:row>
      <xdr:rowOff>0</xdr:rowOff>
    </xdr:from>
    <xdr:to>
      <xdr:col>7</xdr:col>
      <xdr:colOff>0</xdr:colOff>
      <xdr:row>7</xdr:row>
      <xdr:rowOff>9525</xdr:rowOff>
    </xdr:to>
    <xdr:pic macro="[0]!Plan2.bot_op1">
      <xdr:nvPicPr>
        <xdr:cNvPr id="537501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10125" y="1438275"/>
          <a:ext cx="2190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19050</xdr:colOff>
      <xdr:row>0</xdr:row>
      <xdr:rowOff>19050</xdr:rowOff>
    </xdr:from>
    <xdr:to>
      <xdr:col>12</xdr:col>
      <xdr:colOff>152400</xdr:colOff>
      <xdr:row>0</xdr:row>
      <xdr:rowOff>457200</xdr:rowOff>
    </xdr:to>
    <xdr:grpSp>
      <xdr:nvGrpSpPr>
        <xdr:cNvPr id="537502" name="Agrupar 1"/>
        <xdr:cNvGrpSpPr>
          <a:grpSpLocks/>
        </xdr:cNvGrpSpPr>
      </xdr:nvGrpSpPr>
      <xdr:grpSpPr bwMode="auto">
        <a:xfrm>
          <a:off x="19050" y="19050"/>
          <a:ext cx="7953375" cy="438150"/>
          <a:chOff x="19050" y="19050"/>
          <a:chExt cx="8143877" cy="438150"/>
        </a:xfrm>
      </xdr:grpSpPr>
      <xdr:grpSp>
        <xdr:nvGrpSpPr>
          <xdr:cNvPr id="537506" name="Agrupar 69"/>
          <xdr:cNvGrpSpPr>
            <a:grpSpLocks/>
          </xdr:cNvGrpSpPr>
        </xdr:nvGrpSpPr>
        <xdr:grpSpPr bwMode="auto">
          <a:xfrm>
            <a:off x="19050" y="19050"/>
            <a:ext cx="8143877" cy="438150"/>
            <a:chOff x="0" y="0"/>
            <a:chExt cx="8145364" cy="438150"/>
          </a:xfrm>
        </xdr:grpSpPr>
        <xdr:pic>
          <xdr:nvPicPr>
            <xdr:cNvPr id="537509" name="Image1"/>
            <xdr:cNvPicPr preferRelativeResize="0">
              <a:picLocks noChangeAspect="1" noChangeArrowheads="1" noChangeShapeType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0" y="0"/>
              <a:ext cx="438150" cy="4381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grpSp>
          <xdr:nvGrpSpPr>
            <xdr:cNvPr id="537510" name="Agrupar 71"/>
            <xdr:cNvGrpSpPr>
              <a:grpSpLocks/>
            </xdr:cNvGrpSpPr>
          </xdr:nvGrpSpPr>
          <xdr:grpSpPr bwMode="auto">
            <a:xfrm>
              <a:off x="428703" y="0"/>
              <a:ext cx="7716661" cy="428625"/>
              <a:chOff x="428703" y="0"/>
              <a:chExt cx="7716661" cy="428625"/>
            </a:xfrm>
          </xdr:grpSpPr>
          <xdr:sp macro="[0]!b_calculo" textlink="">
            <xdr:nvSpPr>
              <xdr:cNvPr id="36" name="Retângulo 35" title="TTT"/>
              <xdr:cNvSpPr/>
            </xdr:nvSpPr>
            <xdr:spPr bwMode="auto">
              <a:xfrm>
                <a:off x="1863191" y="0"/>
                <a:ext cx="1443729" cy="428625"/>
              </a:xfrm>
              <a:prstGeom prst="rect">
                <a:avLst/>
              </a:prstGeom>
              <a:solidFill>
                <a:schemeClr val="accent6">
                  <a:lumMod val="60000"/>
                  <a:lumOff val="40000"/>
                </a:schemeClr>
              </a:solidFill>
              <a:ln w="12700" cap="flat" cmpd="sng" algn="ctr">
                <a:solidFill>
                  <a:schemeClr val="tx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marL="0" indent="0" algn="ctr"/>
                <a:r>
                  <a:rPr lang="pt-BR" sz="1200" b="1">
                    <a:solidFill>
                      <a:srgbClr val="2D2D2D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VISUALIZA</a:t>
                </a:r>
              </a:p>
              <a:p>
                <a:pPr marL="0" indent="0" algn="ctr"/>
                <a:r>
                  <a:rPr lang="pt-BR" sz="1200" b="1">
                    <a:solidFill>
                      <a:srgbClr val="2D2D2D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CÁLCULO</a:t>
                </a:r>
              </a:p>
            </xdr:txBody>
          </xdr:sp>
          <xdr:sp macro="[0]!b_cadastro" textlink="">
            <xdr:nvSpPr>
              <xdr:cNvPr id="37" name="Retângulo 36" title="TTT"/>
              <xdr:cNvSpPr/>
            </xdr:nvSpPr>
            <xdr:spPr bwMode="auto">
              <a:xfrm>
                <a:off x="429217" y="0"/>
                <a:ext cx="1433974" cy="428625"/>
              </a:xfrm>
              <a:prstGeom prst="rect">
                <a:avLst/>
              </a:prstGeom>
              <a:solidFill>
                <a:schemeClr val="accent6">
                  <a:lumMod val="20000"/>
                  <a:lumOff val="80000"/>
                </a:schemeClr>
              </a:solidFill>
              <a:ln w="12700" cap="flat" cmpd="sng" algn="ctr">
                <a:solidFill>
                  <a:schemeClr val="tx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marL="0" indent="0" algn="ctr"/>
                <a:r>
                  <a:rPr lang="pt-BR" sz="1200" b="1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CADASTRO</a:t>
                </a:r>
              </a:p>
              <a:p>
                <a:pPr marL="0" indent="0" algn="ctr"/>
                <a:r>
                  <a:rPr lang="pt-BR" sz="1200" b="1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DO CÁLCULO</a:t>
                </a:r>
              </a:p>
            </xdr:txBody>
          </xdr:sp>
          <xdr:sp macro="" textlink="">
            <xdr:nvSpPr>
              <xdr:cNvPr id="38" name="Retângulo 37" title="TTT"/>
              <xdr:cNvSpPr/>
            </xdr:nvSpPr>
            <xdr:spPr bwMode="auto">
              <a:xfrm>
                <a:off x="3306920" y="0"/>
                <a:ext cx="2516771" cy="428625"/>
              </a:xfrm>
              <a:prstGeom prst="rect">
                <a:avLst/>
              </a:prstGeom>
              <a:solidFill>
                <a:schemeClr val="accent5">
                  <a:lumMod val="40000"/>
                  <a:lumOff val="60000"/>
                </a:schemeClr>
              </a:solidFill>
              <a:ln w="12700" cap="flat" cmpd="sng" algn="ctr">
                <a:solidFill>
                  <a:schemeClr val="tx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marL="0" indent="0" algn="ctr"/>
                <a:r>
                  <a:rPr lang="pt-BR" sz="1050" b="1" i="1">
                    <a:solidFill>
                      <a:srgbClr val="2D2D2D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CÁLCULO DE AJUSTE</a:t>
                </a:r>
                <a:r>
                  <a:rPr lang="pt-BR" sz="1050" b="1" i="1" baseline="0">
                    <a:solidFill>
                      <a:srgbClr val="2D2D2D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 ANUAL DO IR</a:t>
                </a:r>
                <a:endParaRPr lang="pt-BR" sz="1050" b="1" i="1">
                  <a:solidFill>
                    <a:srgbClr val="2D2D2D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endParaRPr>
              </a:p>
              <a:p>
                <a:pPr marL="0" indent="0" algn="ctr"/>
                <a:endParaRPr lang="pt-BR" sz="800" b="1" i="1" baseline="0">
                  <a:solidFill>
                    <a:srgbClr val="2D2D2D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endParaRPr>
              </a:p>
              <a:p>
                <a:pPr marL="0" indent="0" algn="r"/>
                <a:r>
                  <a:rPr lang="pt-BR" sz="700" b="1" i="1" baseline="0">
                    <a:solidFill>
                      <a:srgbClr val="2D2D2D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SJRJ-DCAL</a:t>
                </a:r>
                <a:endParaRPr lang="pt-BR" sz="800" b="1" i="1">
                  <a:solidFill>
                    <a:srgbClr val="2D2D2D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endParaRPr>
              </a:p>
            </xdr:txBody>
          </xdr:sp>
          <xdr:sp macro="" textlink="">
            <xdr:nvSpPr>
              <xdr:cNvPr id="39" name="Retângulo 38" title="TTT"/>
              <xdr:cNvSpPr/>
            </xdr:nvSpPr>
            <xdr:spPr bwMode="auto">
              <a:xfrm>
                <a:off x="5833446" y="0"/>
                <a:ext cx="2311918" cy="428625"/>
              </a:xfrm>
              <a:prstGeom prst="rect">
                <a:avLst/>
              </a:prstGeom>
              <a:solidFill>
                <a:schemeClr val="accent5">
                  <a:lumMod val="40000"/>
                  <a:lumOff val="60000"/>
                </a:schemeClr>
              </a:solidFill>
              <a:ln w="12700" cap="flat" cmpd="sng" algn="ctr">
                <a:solidFill>
                  <a:schemeClr val="tx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marL="0" indent="0" algn="ctr"/>
                <a:endParaRPr lang="pt-BR" sz="1050" b="1">
                  <a:solidFill>
                    <a:srgbClr val="2D2D2D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537515" name="Agrupar 76"/>
              <xdr:cNvGrpSpPr>
                <a:grpSpLocks/>
              </xdr:cNvGrpSpPr>
            </xdr:nvGrpSpPr>
            <xdr:grpSpPr bwMode="auto">
              <a:xfrm>
                <a:off x="5848350" y="28575"/>
                <a:ext cx="2286297" cy="381356"/>
                <a:chOff x="5876925" y="47625"/>
                <a:chExt cx="2286297" cy="381356"/>
              </a:xfrm>
            </xdr:grpSpPr>
            <xdr:pic macro="[0]!tela_rest">
              <xdr:nvPicPr>
                <xdr:cNvPr id="537516" name="Imagem 77"/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7401064" y="47625"/>
                  <a:ext cx="381154" cy="381154"/>
                </a:xfrm>
                <a:prstGeom prst="rect">
                  <a:avLst/>
                </a:prstGeom>
                <a:solidFill>
                  <a:srgbClr val="B7DEE8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pic>
            <xdr:pic macro="[0]!tela_max">
              <xdr:nvPicPr>
                <xdr:cNvPr id="537517" name="Imagem 78"/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4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7782068" y="47625"/>
                  <a:ext cx="381154" cy="381154"/>
                </a:xfrm>
                <a:prstGeom prst="rect">
                  <a:avLst/>
                </a:prstGeom>
                <a:solidFill>
                  <a:srgbClr val="B7DEE8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pic>
            <xdr:pic macro="[0]!b_capa">
              <xdr:nvPicPr>
                <xdr:cNvPr id="537518" name="Imagem 79"/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5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5876925" y="47625"/>
                  <a:ext cx="381255" cy="38125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pic>
            <xdr:pic macro="[0]!b_sobre">
              <xdr:nvPicPr>
                <xdr:cNvPr id="537519" name="Imagem 80"/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6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6257925" y="47625"/>
                  <a:ext cx="381356" cy="381356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pic>
          </xdr:grpSp>
        </xdr:grpSp>
      </xdr:grpSp>
      <xdr:pic macro="[0]!B_IMPRIME">
        <xdr:nvPicPr>
          <xdr:cNvPr id="537507" name="Imagem 21"/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29400" y="47625"/>
            <a:ext cx="381053" cy="381053"/>
          </a:xfrm>
          <a:prstGeom prst="rect">
            <a:avLst/>
          </a:prstGeom>
          <a:solidFill>
            <a:srgbClr val="B7DEE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 macro="[0]!B_PDF">
        <xdr:nvPicPr>
          <xdr:cNvPr id="537508" name="Imagem 22"/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010400" y="47625"/>
            <a:ext cx="381255" cy="381255"/>
          </a:xfrm>
          <a:prstGeom prst="rect">
            <a:avLst/>
          </a:prstGeom>
          <a:solidFill>
            <a:srgbClr val="B7DEE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 fPrintsWithSheet="0"/>
  </xdr:twoCellAnchor>
  <xdr:twoCellAnchor editAs="oneCell">
    <xdr:from>
      <xdr:col>12</xdr:col>
      <xdr:colOff>238125</xdr:colOff>
      <xdr:row>0</xdr:row>
      <xdr:rowOff>371485</xdr:rowOff>
    </xdr:from>
    <xdr:to>
      <xdr:col>12</xdr:col>
      <xdr:colOff>328125</xdr:colOff>
      <xdr:row>2</xdr:row>
      <xdr:rowOff>36160</xdr:rowOff>
    </xdr:to>
    <xdr:grpSp>
      <xdr:nvGrpSpPr>
        <xdr:cNvPr id="32" name="Grupo 11"/>
        <xdr:cNvGrpSpPr>
          <a:grpSpLocks/>
        </xdr:cNvGrpSpPr>
      </xdr:nvGrpSpPr>
      <xdr:grpSpPr bwMode="auto">
        <a:xfrm>
          <a:off x="8058150" y="371485"/>
          <a:ext cx="90000" cy="264750"/>
          <a:chOff x="10258425" y="1058905"/>
          <a:chExt cx="247650" cy="322220"/>
        </a:xfrm>
        <a:solidFill>
          <a:srgbClr val="FF0000"/>
        </a:solidFill>
      </xdr:grpSpPr>
      <xdr:sp macro="" textlink="">
        <xdr:nvSpPr>
          <xdr:cNvPr id="25" name="Seta para baixo 8"/>
          <xdr:cNvSpPr>
            <a:spLocks noChangeArrowheads="1"/>
          </xdr:cNvSpPr>
        </xdr:nvSpPr>
        <xdr:spPr bwMode="auto">
          <a:xfrm>
            <a:off x="10258425" y="1163226"/>
            <a:ext cx="235887" cy="220260"/>
          </a:xfrm>
          <a:prstGeom prst="downArrow">
            <a:avLst>
              <a:gd name="adj1" fmla="val 50000"/>
              <a:gd name="adj2" fmla="val 50000"/>
            </a:avLst>
          </a:prstGeom>
          <a:grpFill/>
          <a:ln w="9525" algn="ctr">
            <a:solidFill>
              <a:srgbClr val="000000"/>
            </a:solidFill>
            <a:round/>
            <a:headEnd/>
            <a:tailEnd/>
          </a:ln>
        </xdr:spPr>
        <xdr:txBody>
          <a:bodyPr/>
          <a:lstStyle/>
          <a:p>
            <a:endParaRPr lang="pt-BR"/>
          </a:p>
        </xdr:txBody>
      </xdr:sp>
      <xdr:sp macro="" textlink="">
        <xdr:nvSpPr>
          <xdr:cNvPr id="26" name="Seta para baixo 9"/>
          <xdr:cNvSpPr>
            <a:spLocks noChangeArrowheads="1"/>
          </xdr:cNvSpPr>
        </xdr:nvSpPr>
        <xdr:spPr bwMode="auto">
          <a:xfrm flipV="1">
            <a:off x="10258425" y="1058893"/>
            <a:ext cx="235887" cy="127519"/>
          </a:xfrm>
          <a:prstGeom prst="downArrow">
            <a:avLst>
              <a:gd name="adj1" fmla="val 50000"/>
              <a:gd name="adj2" fmla="val 50000"/>
            </a:avLst>
          </a:prstGeom>
          <a:grpFill/>
          <a:ln w="9525" algn="ctr">
            <a:solidFill>
              <a:srgbClr val="000000"/>
            </a:solidFill>
            <a:round/>
            <a:headEnd/>
            <a:tailEnd/>
          </a:ln>
        </xdr:spPr>
        <xdr:txBody>
          <a:bodyPr/>
          <a:lstStyle/>
          <a:p>
            <a:endParaRPr lang="pt-BR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61</xdr:row>
      <xdr:rowOff>28575</xdr:rowOff>
    </xdr:from>
    <xdr:to>
      <xdr:col>2</xdr:col>
      <xdr:colOff>9525</xdr:colOff>
      <xdr:row>64</xdr:row>
      <xdr:rowOff>209550</xdr:rowOff>
    </xdr:to>
    <xdr:pic>
      <xdr:nvPicPr>
        <xdr:cNvPr id="539850" name="Imagem 14" descr="SIMBOLA-JF-COR-br-gif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0706100"/>
          <a:ext cx="790575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120</xdr:row>
      <xdr:rowOff>38100</xdr:rowOff>
    </xdr:from>
    <xdr:to>
      <xdr:col>2</xdr:col>
      <xdr:colOff>9525</xdr:colOff>
      <xdr:row>123</xdr:row>
      <xdr:rowOff>219075</xdr:rowOff>
    </xdr:to>
    <xdr:pic>
      <xdr:nvPicPr>
        <xdr:cNvPr id="539851" name="Imagem 14" descr="SIMBOLA-JF-COR-br-gif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20793075"/>
          <a:ext cx="790575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28575</xdr:colOff>
      <xdr:row>179</xdr:row>
      <xdr:rowOff>38100</xdr:rowOff>
    </xdr:from>
    <xdr:to>
      <xdr:col>2</xdr:col>
      <xdr:colOff>0</xdr:colOff>
      <xdr:row>182</xdr:row>
      <xdr:rowOff>219075</xdr:rowOff>
    </xdr:to>
    <xdr:pic>
      <xdr:nvPicPr>
        <xdr:cNvPr id="539852" name="Imagem 14" descr="SIMBOLA-JF-COR-br-gif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870525"/>
          <a:ext cx="790575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28575</xdr:colOff>
      <xdr:row>238</xdr:row>
      <xdr:rowOff>38100</xdr:rowOff>
    </xdr:from>
    <xdr:to>
      <xdr:col>2</xdr:col>
      <xdr:colOff>0</xdr:colOff>
      <xdr:row>241</xdr:row>
      <xdr:rowOff>219075</xdr:rowOff>
    </xdr:to>
    <xdr:pic>
      <xdr:nvPicPr>
        <xdr:cNvPr id="539853" name="Imagem 14" descr="SIMBOLA-JF-COR-br-gif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0947975"/>
          <a:ext cx="790575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28575</xdr:colOff>
      <xdr:row>297</xdr:row>
      <xdr:rowOff>38100</xdr:rowOff>
    </xdr:from>
    <xdr:to>
      <xdr:col>2</xdr:col>
      <xdr:colOff>0</xdr:colOff>
      <xdr:row>300</xdr:row>
      <xdr:rowOff>219075</xdr:rowOff>
    </xdr:to>
    <xdr:pic>
      <xdr:nvPicPr>
        <xdr:cNvPr id="539854" name="Imagem 14" descr="SIMBOLA-JF-COR-br-gif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51025425"/>
          <a:ext cx="790575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0</xdr:colOff>
      <xdr:row>2</xdr:row>
      <xdr:rowOff>28575</xdr:rowOff>
    </xdr:from>
    <xdr:to>
      <xdr:col>12</xdr:col>
      <xdr:colOff>76200</xdr:colOff>
      <xdr:row>5</xdr:row>
      <xdr:rowOff>209550</xdr:rowOff>
    </xdr:to>
    <xdr:pic>
      <xdr:nvPicPr>
        <xdr:cNvPr id="539855" name="Imagem 14" descr="SIMBOLA-JF-COR-br-gif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29325" y="628650"/>
          <a:ext cx="790575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0</xdr:colOff>
      <xdr:row>61</xdr:row>
      <xdr:rowOff>9525</xdr:rowOff>
    </xdr:from>
    <xdr:to>
      <xdr:col>12</xdr:col>
      <xdr:colOff>76200</xdr:colOff>
      <xdr:row>64</xdr:row>
      <xdr:rowOff>190500</xdr:rowOff>
    </xdr:to>
    <xdr:pic>
      <xdr:nvPicPr>
        <xdr:cNvPr id="539856" name="Imagem 14" descr="SIMBOLA-JF-COR-br-gif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29325" y="10687050"/>
          <a:ext cx="790575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9525</xdr:colOff>
      <xdr:row>2</xdr:row>
      <xdr:rowOff>9525</xdr:rowOff>
    </xdr:from>
    <xdr:to>
      <xdr:col>20</xdr:col>
      <xdr:colOff>800100</xdr:colOff>
      <xdr:row>5</xdr:row>
      <xdr:rowOff>190500</xdr:rowOff>
    </xdr:to>
    <xdr:pic>
      <xdr:nvPicPr>
        <xdr:cNvPr id="539857" name="Imagem 14" descr="SIMBOLA-JF-COR-br-gif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20525" y="609600"/>
          <a:ext cx="790575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9525</xdr:colOff>
      <xdr:row>61</xdr:row>
      <xdr:rowOff>0</xdr:rowOff>
    </xdr:from>
    <xdr:to>
      <xdr:col>20</xdr:col>
      <xdr:colOff>800100</xdr:colOff>
      <xdr:row>64</xdr:row>
      <xdr:rowOff>180975</xdr:rowOff>
    </xdr:to>
    <xdr:pic>
      <xdr:nvPicPr>
        <xdr:cNvPr id="539858" name="Imagem 14" descr="SIMBOLA-JF-COR-br-gif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20525" y="10677525"/>
          <a:ext cx="790575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9525</xdr:colOff>
      <xdr:row>120</xdr:row>
      <xdr:rowOff>0</xdr:rowOff>
    </xdr:from>
    <xdr:to>
      <xdr:col>20</xdr:col>
      <xdr:colOff>800100</xdr:colOff>
      <xdr:row>123</xdr:row>
      <xdr:rowOff>180975</xdr:rowOff>
    </xdr:to>
    <xdr:pic>
      <xdr:nvPicPr>
        <xdr:cNvPr id="539859" name="Imagem 14" descr="SIMBOLA-JF-COR-br-gif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20525" y="20754975"/>
          <a:ext cx="790575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790575</xdr:colOff>
      <xdr:row>5</xdr:row>
      <xdr:rowOff>180975</xdr:rowOff>
    </xdr:to>
    <xdr:pic>
      <xdr:nvPicPr>
        <xdr:cNvPr id="539860" name="Imagem 14" descr="SIMBOLA-JF-COR-br-gif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600075"/>
          <a:ext cx="790575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120</xdr:row>
      <xdr:rowOff>28575</xdr:rowOff>
    </xdr:from>
    <xdr:to>
      <xdr:col>2</xdr:col>
      <xdr:colOff>9525</xdr:colOff>
      <xdr:row>123</xdr:row>
      <xdr:rowOff>209550</xdr:rowOff>
    </xdr:to>
    <xdr:pic>
      <xdr:nvPicPr>
        <xdr:cNvPr id="539861" name="Imagem 14" descr="SIMBOLA-JF-COR-br-gif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20783550"/>
          <a:ext cx="790575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179</xdr:row>
      <xdr:rowOff>38100</xdr:rowOff>
    </xdr:from>
    <xdr:to>
      <xdr:col>2</xdr:col>
      <xdr:colOff>9525</xdr:colOff>
      <xdr:row>182</xdr:row>
      <xdr:rowOff>219075</xdr:rowOff>
    </xdr:to>
    <xdr:pic>
      <xdr:nvPicPr>
        <xdr:cNvPr id="539862" name="Imagem 14" descr="SIMBOLA-JF-COR-br-gif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30870525"/>
          <a:ext cx="790575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179</xdr:row>
      <xdr:rowOff>28575</xdr:rowOff>
    </xdr:from>
    <xdr:to>
      <xdr:col>2</xdr:col>
      <xdr:colOff>9525</xdr:colOff>
      <xdr:row>182</xdr:row>
      <xdr:rowOff>209550</xdr:rowOff>
    </xdr:to>
    <xdr:pic>
      <xdr:nvPicPr>
        <xdr:cNvPr id="539863" name="Imagem 14" descr="SIMBOLA-JF-COR-br-gif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30861000"/>
          <a:ext cx="790575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28575</xdr:colOff>
      <xdr:row>238</xdr:row>
      <xdr:rowOff>38100</xdr:rowOff>
    </xdr:from>
    <xdr:to>
      <xdr:col>2</xdr:col>
      <xdr:colOff>0</xdr:colOff>
      <xdr:row>241</xdr:row>
      <xdr:rowOff>219075</xdr:rowOff>
    </xdr:to>
    <xdr:pic>
      <xdr:nvPicPr>
        <xdr:cNvPr id="539864" name="Imagem 14" descr="SIMBOLA-JF-COR-br-gif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0947975"/>
          <a:ext cx="790575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238</xdr:row>
      <xdr:rowOff>38100</xdr:rowOff>
    </xdr:from>
    <xdr:to>
      <xdr:col>2</xdr:col>
      <xdr:colOff>9525</xdr:colOff>
      <xdr:row>241</xdr:row>
      <xdr:rowOff>219075</xdr:rowOff>
    </xdr:to>
    <xdr:pic>
      <xdr:nvPicPr>
        <xdr:cNvPr id="539865" name="Imagem 14" descr="SIMBOLA-JF-COR-br-gif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40947975"/>
          <a:ext cx="790575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238</xdr:row>
      <xdr:rowOff>28575</xdr:rowOff>
    </xdr:from>
    <xdr:to>
      <xdr:col>2</xdr:col>
      <xdr:colOff>9525</xdr:colOff>
      <xdr:row>241</xdr:row>
      <xdr:rowOff>209550</xdr:rowOff>
    </xdr:to>
    <xdr:pic>
      <xdr:nvPicPr>
        <xdr:cNvPr id="539866" name="Imagem 14" descr="SIMBOLA-JF-COR-br-gif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40938450"/>
          <a:ext cx="790575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28575</xdr:colOff>
      <xdr:row>297</xdr:row>
      <xdr:rowOff>38100</xdr:rowOff>
    </xdr:from>
    <xdr:to>
      <xdr:col>2</xdr:col>
      <xdr:colOff>0</xdr:colOff>
      <xdr:row>300</xdr:row>
      <xdr:rowOff>219075</xdr:rowOff>
    </xdr:to>
    <xdr:pic>
      <xdr:nvPicPr>
        <xdr:cNvPr id="539867" name="Imagem 14" descr="SIMBOLA-JF-COR-br-gif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51025425"/>
          <a:ext cx="790575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28575</xdr:colOff>
      <xdr:row>297</xdr:row>
      <xdr:rowOff>38100</xdr:rowOff>
    </xdr:from>
    <xdr:to>
      <xdr:col>2</xdr:col>
      <xdr:colOff>0</xdr:colOff>
      <xdr:row>300</xdr:row>
      <xdr:rowOff>219075</xdr:rowOff>
    </xdr:to>
    <xdr:pic>
      <xdr:nvPicPr>
        <xdr:cNvPr id="539868" name="Imagem 14" descr="SIMBOLA-JF-COR-br-gif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51025425"/>
          <a:ext cx="790575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297</xdr:row>
      <xdr:rowOff>38100</xdr:rowOff>
    </xdr:from>
    <xdr:to>
      <xdr:col>2</xdr:col>
      <xdr:colOff>9525</xdr:colOff>
      <xdr:row>300</xdr:row>
      <xdr:rowOff>219075</xdr:rowOff>
    </xdr:to>
    <xdr:pic>
      <xdr:nvPicPr>
        <xdr:cNvPr id="539869" name="Imagem 14" descr="SIMBOLA-JF-COR-br-gif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51025425"/>
          <a:ext cx="790575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297</xdr:row>
      <xdr:rowOff>28575</xdr:rowOff>
    </xdr:from>
    <xdr:to>
      <xdr:col>2</xdr:col>
      <xdr:colOff>9525</xdr:colOff>
      <xdr:row>300</xdr:row>
      <xdr:rowOff>209550</xdr:rowOff>
    </xdr:to>
    <xdr:pic>
      <xdr:nvPicPr>
        <xdr:cNvPr id="539870" name="Imagem 14" descr="SIMBOLA-JF-COR-br-gif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51015900"/>
          <a:ext cx="790575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9525</xdr:colOff>
      <xdr:row>61</xdr:row>
      <xdr:rowOff>9525</xdr:rowOff>
    </xdr:from>
    <xdr:to>
      <xdr:col>20</xdr:col>
      <xdr:colOff>800100</xdr:colOff>
      <xdr:row>64</xdr:row>
      <xdr:rowOff>190500</xdr:rowOff>
    </xdr:to>
    <xdr:pic>
      <xdr:nvPicPr>
        <xdr:cNvPr id="539871" name="Imagem 14" descr="SIMBOLA-JF-COR-br-gif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20525" y="10687050"/>
          <a:ext cx="790575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9525</xdr:colOff>
      <xdr:row>120</xdr:row>
      <xdr:rowOff>0</xdr:rowOff>
    </xdr:from>
    <xdr:to>
      <xdr:col>20</xdr:col>
      <xdr:colOff>800100</xdr:colOff>
      <xdr:row>123</xdr:row>
      <xdr:rowOff>180975</xdr:rowOff>
    </xdr:to>
    <xdr:pic>
      <xdr:nvPicPr>
        <xdr:cNvPr id="539872" name="Imagem 14" descr="SIMBOLA-JF-COR-br-gif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20525" y="20754975"/>
          <a:ext cx="790575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9525</xdr:colOff>
      <xdr:row>120</xdr:row>
      <xdr:rowOff>9525</xdr:rowOff>
    </xdr:from>
    <xdr:to>
      <xdr:col>20</xdr:col>
      <xdr:colOff>800100</xdr:colOff>
      <xdr:row>123</xdr:row>
      <xdr:rowOff>190500</xdr:rowOff>
    </xdr:to>
    <xdr:pic>
      <xdr:nvPicPr>
        <xdr:cNvPr id="539873" name="Imagem 14" descr="SIMBOLA-JF-COR-br-gif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20525" y="20764500"/>
          <a:ext cx="790575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0</xdr:colOff>
      <xdr:row>61</xdr:row>
      <xdr:rowOff>28575</xdr:rowOff>
    </xdr:from>
    <xdr:to>
      <xdr:col>12</xdr:col>
      <xdr:colOff>76200</xdr:colOff>
      <xdr:row>64</xdr:row>
      <xdr:rowOff>209550</xdr:rowOff>
    </xdr:to>
    <xdr:pic>
      <xdr:nvPicPr>
        <xdr:cNvPr id="539874" name="Imagem 14" descr="SIMBOLA-JF-COR-br-gif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29325" y="10706100"/>
          <a:ext cx="790575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19050</xdr:colOff>
      <xdr:row>0</xdr:row>
      <xdr:rowOff>19050</xdr:rowOff>
    </xdr:from>
    <xdr:to>
      <xdr:col>13</xdr:col>
      <xdr:colOff>514350</xdr:colOff>
      <xdr:row>0</xdr:row>
      <xdr:rowOff>457200</xdr:rowOff>
    </xdr:to>
    <xdr:grpSp>
      <xdr:nvGrpSpPr>
        <xdr:cNvPr id="539875" name="Agrupar 1"/>
        <xdr:cNvGrpSpPr>
          <a:grpSpLocks/>
        </xdr:cNvGrpSpPr>
      </xdr:nvGrpSpPr>
      <xdr:grpSpPr bwMode="auto">
        <a:xfrm>
          <a:off x="19050" y="19050"/>
          <a:ext cx="7953375" cy="438150"/>
          <a:chOff x="19050" y="19050"/>
          <a:chExt cx="8143877" cy="438150"/>
        </a:xfrm>
      </xdr:grpSpPr>
      <xdr:grpSp>
        <xdr:nvGrpSpPr>
          <xdr:cNvPr id="539876" name="Agrupar 69"/>
          <xdr:cNvGrpSpPr>
            <a:grpSpLocks/>
          </xdr:cNvGrpSpPr>
        </xdr:nvGrpSpPr>
        <xdr:grpSpPr bwMode="auto">
          <a:xfrm>
            <a:off x="19050" y="19050"/>
            <a:ext cx="8143877" cy="438150"/>
            <a:chOff x="0" y="0"/>
            <a:chExt cx="8145364" cy="438150"/>
          </a:xfrm>
        </xdr:grpSpPr>
        <xdr:pic>
          <xdr:nvPicPr>
            <xdr:cNvPr id="539879" name="Image1"/>
            <xdr:cNvPicPr preferRelativeResize="0">
              <a:picLocks noChangeAspect="1" noChangeArrowheads="1" noChangeShapeType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0" y="0"/>
              <a:ext cx="438150" cy="4381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grpSp>
          <xdr:nvGrpSpPr>
            <xdr:cNvPr id="539880" name="Agrupar 71"/>
            <xdr:cNvGrpSpPr>
              <a:grpSpLocks/>
            </xdr:cNvGrpSpPr>
          </xdr:nvGrpSpPr>
          <xdr:grpSpPr bwMode="auto">
            <a:xfrm>
              <a:off x="428703" y="0"/>
              <a:ext cx="7716661" cy="428625"/>
              <a:chOff x="428703" y="0"/>
              <a:chExt cx="7716661" cy="428625"/>
            </a:xfrm>
          </xdr:grpSpPr>
          <xdr:sp macro="[0]!b_calculo" textlink="">
            <xdr:nvSpPr>
              <xdr:cNvPr id="48" name="Retângulo 47" title="TTT"/>
              <xdr:cNvSpPr/>
            </xdr:nvSpPr>
            <xdr:spPr bwMode="auto">
              <a:xfrm>
                <a:off x="1863191" y="0"/>
                <a:ext cx="1443729" cy="428625"/>
              </a:xfrm>
              <a:prstGeom prst="rect">
                <a:avLst/>
              </a:prstGeom>
              <a:solidFill>
                <a:schemeClr val="accent6">
                  <a:lumMod val="20000"/>
                  <a:lumOff val="80000"/>
                </a:schemeClr>
              </a:solidFill>
              <a:ln w="12700" cap="flat" cmpd="sng" algn="ctr">
                <a:solidFill>
                  <a:schemeClr val="tx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marL="0" indent="0" algn="ctr"/>
                <a:r>
                  <a:rPr lang="pt-BR" sz="1200" b="1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VISUALIZA</a:t>
                </a:r>
              </a:p>
              <a:p>
                <a:pPr marL="0" indent="0" algn="ctr"/>
                <a:r>
                  <a:rPr lang="pt-BR" sz="1200" b="1">
                    <a:solidFill>
                      <a:schemeClr val="bg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CÁLCULO</a:t>
                </a:r>
              </a:p>
            </xdr:txBody>
          </xdr:sp>
          <xdr:sp macro="[0]!b_cadastro" textlink="">
            <xdr:nvSpPr>
              <xdr:cNvPr id="49" name="Retângulo 48" title="TTT"/>
              <xdr:cNvSpPr/>
            </xdr:nvSpPr>
            <xdr:spPr bwMode="auto">
              <a:xfrm>
                <a:off x="429217" y="0"/>
                <a:ext cx="1433974" cy="428625"/>
              </a:xfrm>
              <a:prstGeom prst="rect">
                <a:avLst/>
              </a:prstGeom>
              <a:solidFill>
                <a:schemeClr val="accent6">
                  <a:lumMod val="60000"/>
                  <a:lumOff val="40000"/>
                </a:schemeClr>
              </a:solidFill>
              <a:ln w="12700" cap="flat" cmpd="sng" algn="ctr">
                <a:solidFill>
                  <a:schemeClr val="tx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marL="0" indent="0" algn="ctr"/>
                <a:r>
                  <a:rPr lang="pt-BR" sz="1200" b="1">
                    <a:solidFill>
                      <a:srgbClr val="2D2D2D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CADASTRO</a:t>
                </a:r>
              </a:p>
              <a:p>
                <a:pPr marL="0" indent="0" algn="ctr"/>
                <a:r>
                  <a:rPr lang="pt-BR" sz="1200" b="1">
                    <a:solidFill>
                      <a:srgbClr val="2D2D2D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DO CÁLCULO</a:t>
                </a:r>
              </a:p>
            </xdr:txBody>
          </xdr:sp>
          <xdr:sp macro="" textlink="">
            <xdr:nvSpPr>
              <xdr:cNvPr id="50" name="Retângulo 49" title="TTT"/>
              <xdr:cNvSpPr/>
            </xdr:nvSpPr>
            <xdr:spPr bwMode="auto">
              <a:xfrm>
                <a:off x="3306920" y="0"/>
                <a:ext cx="2516771" cy="428625"/>
              </a:xfrm>
              <a:prstGeom prst="rect">
                <a:avLst/>
              </a:prstGeom>
              <a:solidFill>
                <a:schemeClr val="accent5">
                  <a:lumMod val="40000"/>
                  <a:lumOff val="60000"/>
                </a:schemeClr>
              </a:solidFill>
              <a:ln w="12700" cap="flat" cmpd="sng" algn="ctr">
                <a:solidFill>
                  <a:schemeClr val="tx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marL="0" indent="0" algn="ctr"/>
                <a:r>
                  <a:rPr lang="pt-BR" sz="1050" b="1" i="1">
                    <a:solidFill>
                      <a:srgbClr val="2D2D2D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CÁLCULO DE AJUSTE</a:t>
                </a:r>
                <a:r>
                  <a:rPr lang="pt-BR" sz="1050" b="1" i="1" baseline="0">
                    <a:solidFill>
                      <a:srgbClr val="2D2D2D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 ANUAL DO IR</a:t>
                </a:r>
                <a:endParaRPr lang="pt-BR" sz="1050" b="1" i="1">
                  <a:solidFill>
                    <a:srgbClr val="2D2D2D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endParaRPr>
              </a:p>
              <a:p>
                <a:pPr marL="0" indent="0" algn="ctr"/>
                <a:endParaRPr lang="pt-BR" sz="800" b="1" i="1" baseline="0">
                  <a:solidFill>
                    <a:srgbClr val="2D2D2D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endParaRPr>
              </a:p>
              <a:p>
                <a:pPr marL="0" indent="0" algn="r"/>
                <a:r>
                  <a:rPr lang="pt-BR" sz="700" b="1" i="1" baseline="0">
                    <a:solidFill>
                      <a:srgbClr val="2D2D2D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SJRJ-DCAL</a:t>
                </a:r>
                <a:endParaRPr lang="pt-BR" sz="800" b="1" i="1">
                  <a:solidFill>
                    <a:srgbClr val="2D2D2D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endParaRPr>
              </a:p>
            </xdr:txBody>
          </xdr:sp>
          <xdr:sp macro="" textlink="">
            <xdr:nvSpPr>
              <xdr:cNvPr id="51" name="Retângulo 50" title="TTT"/>
              <xdr:cNvSpPr/>
            </xdr:nvSpPr>
            <xdr:spPr bwMode="auto">
              <a:xfrm>
                <a:off x="5833446" y="0"/>
                <a:ext cx="2311918" cy="428625"/>
              </a:xfrm>
              <a:prstGeom prst="rect">
                <a:avLst/>
              </a:prstGeom>
              <a:solidFill>
                <a:schemeClr val="accent5">
                  <a:lumMod val="40000"/>
                  <a:lumOff val="60000"/>
                </a:schemeClr>
              </a:solidFill>
              <a:ln w="12700" cap="flat" cmpd="sng" algn="ctr">
                <a:solidFill>
                  <a:schemeClr val="tx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marL="0" indent="0" algn="ctr"/>
                <a:endParaRPr lang="pt-BR" sz="1050" b="1">
                  <a:solidFill>
                    <a:srgbClr val="2D2D2D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539885" name="Agrupar 76"/>
              <xdr:cNvGrpSpPr>
                <a:grpSpLocks/>
              </xdr:cNvGrpSpPr>
            </xdr:nvGrpSpPr>
            <xdr:grpSpPr bwMode="auto">
              <a:xfrm>
                <a:off x="5848350" y="28575"/>
                <a:ext cx="2286297" cy="381356"/>
                <a:chOff x="5876925" y="47625"/>
                <a:chExt cx="2286297" cy="381356"/>
              </a:xfrm>
            </xdr:grpSpPr>
            <xdr:pic macro="[0]!tela_rest">
              <xdr:nvPicPr>
                <xdr:cNvPr id="539886" name="Imagem 77"/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7401064" y="47625"/>
                  <a:ext cx="381154" cy="381154"/>
                </a:xfrm>
                <a:prstGeom prst="rect">
                  <a:avLst/>
                </a:prstGeom>
                <a:solidFill>
                  <a:srgbClr val="B7DEE8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pic>
            <xdr:pic macro="[0]!tela_max">
              <xdr:nvPicPr>
                <xdr:cNvPr id="539887" name="Imagem 78"/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4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7782068" y="47625"/>
                  <a:ext cx="381154" cy="381154"/>
                </a:xfrm>
                <a:prstGeom prst="rect">
                  <a:avLst/>
                </a:prstGeom>
                <a:solidFill>
                  <a:srgbClr val="B7DEE8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pic>
            <xdr:pic macro="[0]!b_capa">
              <xdr:nvPicPr>
                <xdr:cNvPr id="539888" name="Imagem 79"/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5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5876925" y="47625"/>
                  <a:ext cx="381255" cy="38125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pic>
            <xdr:pic macro="[0]!b_sobre">
              <xdr:nvPicPr>
                <xdr:cNvPr id="539889" name="Imagem 80"/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6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6257925" y="47625"/>
                  <a:ext cx="381356" cy="381356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pic>
          </xdr:grpSp>
        </xdr:grpSp>
      </xdr:grpSp>
      <xdr:pic macro="[0]!B_IMPRIME">
        <xdr:nvPicPr>
          <xdr:cNvPr id="539877" name="Imagem 21"/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29400" y="47625"/>
            <a:ext cx="381053" cy="381053"/>
          </a:xfrm>
          <a:prstGeom prst="rect">
            <a:avLst/>
          </a:prstGeom>
          <a:solidFill>
            <a:srgbClr val="B7DEE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 macro="[0]!B_PDF">
        <xdr:nvPicPr>
          <xdr:cNvPr id="539878" name="Imagem 22"/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010400" y="47625"/>
            <a:ext cx="381255" cy="381255"/>
          </a:xfrm>
          <a:prstGeom prst="rect">
            <a:avLst/>
          </a:prstGeom>
          <a:solidFill>
            <a:srgbClr val="B7DEE8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2</xdr:row>
          <xdr:rowOff>47625</xdr:rowOff>
        </xdr:from>
        <xdr:to>
          <xdr:col>3</xdr:col>
          <xdr:colOff>1171575</xdr:colOff>
          <xdr:row>7</xdr:row>
          <xdr:rowOff>47625</xdr:rowOff>
        </xdr:to>
        <xdr:grpSp>
          <xdr:nvGrpSpPr>
            <xdr:cNvPr id="538718" name="Group 5661"/>
            <xdr:cNvGrpSpPr>
              <a:grpSpLocks/>
            </xdr:cNvGrpSpPr>
          </xdr:nvGrpSpPr>
          <xdr:grpSpPr bwMode="auto">
            <a:xfrm>
              <a:off x="6191250" y="647700"/>
              <a:ext cx="723900" cy="952500"/>
              <a:chOff x="787" y="163"/>
              <a:chExt cx="76" cy="100"/>
            </a:xfrm>
          </xdr:grpSpPr>
          <xdr:sp macro="" textlink="">
            <xdr:nvSpPr>
              <xdr:cNvPr id="229032" name="Button 3752" hidden="1">
                <a:extLst>
                  <a:ext uri="{63B3BB69-23CF-44E3-9099-C40C66FF867C}">
                    <a14:compatExt spid="_x0000_s229032"/>
                  </a:ext>
                </a:extLst>
              </xdr:cNvPr>
              <xdr:cNvSpPr/>
            </xdr:nvSpPr>
            <xdr:spPr bwMode="auto">
              <a:xfrm>
                <a:off x="787" y="163"/>
                <a:ext cx="76" cy="1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ffectLst/>
              <a:extLst>
                <a:ext uri="{53640926-AAD7-44D8-BBD7-CCE9431645EC}">
                  <a14:shadowObscured val="1"/>
                </a:ext>
              </a:extLst>
            </xdr:spPr>
            <xdr:txBody>
              <a:bodyPr vertOverflow="clip" wrap="square" lIns="18288" tIns="0" rIns="0" bIns="0" anchor="b" upright="1"/>
              <a:lstStyle/>
              <a:p>
                <a:pPr algn="ctr" rtl="0">
                  <a:defRPr sz="1000"/>
                </a:pPr>
                <a:endParaRPr lang="pt-BR"/>
              </a:p>
            </xdr:txBody>
          </xdr:sp>
          <xdr:sp macro="" textlink="">
            <xdr:nvSpPr>
              <xdr:cNvPr id="229027" name="Button 3747" hidden="1">
                <a:extLst>
                  <a:ext uri="{63B3BB69-23CF-44E3-9099-C40C66FF867C}">
                    <a14:compatExt spid="_x0000_s229027"/>
                  </a:ext>
                </a:extLst>
              </xdr:cNvPr>
              <xdr:cNvSpPr/>
            </xdr:nvSpPr>
            <xdr:spPr bwMode="auto">
              <a:xfrm>
                <a:off x="815" y="167"/>
                <a:ext cx="19" cy="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ffectLst/>
              <a:extLst>
                <a:ext uri="{53640926-AAD7-44D8-BBD7-CCE9431645EC}">
                  <a14:shadowObscured val="1"/>
                </a:ext>
              </a:extLst>
            </xdr:spPr>
            <xdr:txBody>
              <a:bodyPr vertOverflow="clip" wrap="square" lIns="18288" tIns="0" rIns="0" bIns="0" anchor="ctr" upright="1"/>
              <a:lstStyle/>
              <a:p>
                <a:pPr algn="ctr" rtl="0">
                  <a:defRPr sz="1000"/>
                </a:pPr>
                <a:endParaRPr lang="pt-BR"/>
              </a:p>
            </xdr:txBody>
          </xdr:sp>
          <xdr:sp macro="" textlink="">
            <xdr:nvSpPr>
              <xdr:cNvPr id="229033" name="Button 3753" hidden="1">
                <a:extLst>
                  <a:ext uri="{63B3BB69-23CF-44E3-9099-C40C66FF867C}">
                    <a14:compatExt spid="_x0000_s229033"/>
                  </a:ext>
                </a:extLst>
              </xdr:cNvPr>
              <xdr:cNvSpPr/>
            </xdr:nvSpPr>
            <xdr:spPr bwMode="auto">
              <a:xfrm>
                <a:off x="840" y="167"/>
                <a:ext cx="19" cy="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ffectLst/>
              <a:extLst>
                <a:ext uri="{53640926-AAD7-44D8-BBD7-CCE9431645EC}">
                  <a14:shadowObscured val="1"/>
                </a:ext>
              </a:extLst>
            </xdr:spPr>
            <xdr:txBody>
              <a:bodyPr vertOverflow="clip" wrap="square" lIns="18288" tIns="0" rIns="0" bIns="0" anchor="ctr" upright="1"/>
              <a:lstStyle/>
              <a:p>
                <a:pPr algn="ctr" rtl="0">
                  <a:defRPr sz="1000"/>
                </a:pPr>
                <a:endParaRPr lang="pt-BR"/>
              </a:p>
            </xdr:txBody>
          </xdr:sp>
          <xdr:sp macro="" textlink="">
            <xdr:nvSpPr>
              <xdr:cNvPr id="229034" name="Button 3754" hidden="1">
                <a:extLst>
                  <a:ext uri="{63B3BB69-23CF-44E3-9099-C40C66FF867C}">
                    <a14:compatExt spid="_x0000_s229034"/>
                  </a:ext>
                </a:extLst>
              </xdr:cNvPr>
              <xdr:cNvSpPr/>
            </xdr:nvSpPr>
            <xdr:spPr bwMode="auto">
              <a:xfrm>
                <a:off x="790" y="167"/>
                <a:ext cx="19" cy="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ffectLst/>
              <a:extLst>
                <a:ext uri="{53640926-AAD7-44D8-BBD7-CCE9431645EC}">
                  <a14:shadowObscured val="1"/>
                </a:ext>
              </a:extLst>
            </xdr:spPr>
            <xdr:txBody>
              <a:bodyPr vertOverflow="clip" wrap="square" lIns="18288" tIns="0" rIns="0" bIns="0" anchor="ctr" upright="1"/>
              <a:lstStyle/>
              <a:p>
                <a:pPr algn="ctr" rtl="0">
                  <a:defRPr sz="1000"/>
                </a:pPr>
                <a:endParaRPr lang="pt-BR"/>
              </a:p>
            </xdr:txBody>
          </xdr:sp>
          <xdr:sp macro="" textlink="">
            <xdr:nvSpPr>
              <xdr:cNvPr id="229037" name="Button 3757" hidden="1">
                <a:extLst>
                  <a:ext uri="{63B3BB69-23CF-44E3-9099-C40C66FF867C}">
                    <a14:compatExt spid="_x0000_s229037"/>
                  </a:ext>
                </a:extLst>
              </xdr:cNvPr>
              <xdr:cNvSpPr/>
            </xdr:nvSpPr>
            <xdr:spPr bwMode="auto">
              <a:xfrm>
                <a:off x="815" y="190"/>
                <a:ext cx="19" cy="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ffectLst/>
              <a:extLst>
                <a:ext uri="{53640926-AAD7-44D8-BBD7-CCE9431645EC}">
                  <a14:shadowObscured val="1"/>
                </a:ext>
              </a:extLst>
            </xdr:spPr>
            <xdr:txBody>
              <a:bodyPr vertOverflow="clip" wrap="square" lIns="18288" tIns="0" rIns="0" bIns="0" anchor="ctr" upright="1"/>
              <a:lstStyle/>
              <a:p>
                <a:pPr algn="ctr" rtl="0">
                  <a:defRPr sz="1000"/>
                </a:pPr>
                <a:endParaRPr lang="pt-BR"/>
              </a:p>
            </xdr:txBody>
          </xdr:sp>
          <xdr:sp macro="" textlink="">
            <xdr:nvSpPr>
              <xdr:cNvPr id="229038" name="Button 3758" hidden="1">
                <a:extLst>
                  <a:ext uri="{63B3BB69-23CF-44E3-9099-C40C66FF867C}">
                    <a14:compatExt spid="_x0000_s229038"/>
                  </a:ext>
                </a:extLst>
              </xdr:cNvPr>
              <xdr:cNvSpPr/>
            </xdr:nvSpPr>
            <xdr:spPr bwMode="auto">
              <a:xfrm>
                <a:off x="840" y="190"/>
                <a:ext cx="19" cy="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ffectLst/>
              <a:extLst>
                <a:ext uri="{53640926-AAD7-44D8-BBD7-CCE9431645EC}">
                  <a14:shadowObscured val="1"/>
                </a:ext>
              </a:extLst>
            </xdr:spPr>
            <xdr:txBody>
              <a:bodyPr vertOverflow="clip" wrap="square" lIns="18288" tIns="0" rIns="0" bIns="0" anchor="ctr" upright="1"/>
              <a:lstStyle/>
              <a:p>
                <a:pPr algn="ctr" rtl="0">
                  <a:defRPr sz="1000"/>
                </a:pPr>
                <a:endParaRPr lang="pt-BR"/>
              </a:p>
            </xdr:txBody>
          </xdr:sp>
          <xdr:sp macro="" textlink="">
            <xdr:nvSpPr>
              <xdr:cNvPr id="229039" name="Button 3759" hidden="1">
                <a:extLst>
                  <a:ext uri="{63B3BB69-23CF-44E3-9099-C40C66FF867C}">
                    <a14:compatExt spid="_x0000_s229039"/>
                  </a:ext>
                </a:extLst>
              </xdr:cNvPr>
              <xdr:cNvSpPr/>
            </xdr:nvSpPr>
            <xdr:spPr bwMode="auto">
              <a:xfrm>
                <a:off x="790" y="190"/>
                <a:ext cx="19" cy="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ffectLst/>
              <a:extLst>
                <a:ext uri="{53640926-AAD7-44D8-BBD7-CCE9431645EC}">
                  <a14:shadowObscured val="1"/>
                </a:ext>
              </a:extLst>
            </xdr:spPr>
            <xdr:txBody>
              <a:bodyPr vertOverflow="clip" wrap="square" lIns="18288" tIns="0" rIns="0" bIns="0" anchor="ctr" upright="1"/>
              <a:lstStyle/>
              <a:p>
                <a:pPr algn="ctr" rtl="0">
                  <a:defRPr sz="1000"/>
                </a:pPr>
                <a:endParaRPr lang="pt-BR"/>
              </a:p>
            </xdr:txBody>
          </xdr:sp>
          <xdr:sp macro="" textlink="">
            <xdr:nvSpPr>
              <xdr:cNvPr id="229041" name="Button 3761" hidden="1">
                <a:extLst>
                  <a:ext uri="{63B3BB69-23CF-44E3-9099-C40C66FF867C}">
                    <a14:compatExt spid="_x0000_s229041"/>
                  </a:ext>
                </a:extLst>
              </xdr:cNvPr>
              <xdr:cNvSpPr/>
            </xdr:nvSpPr>
            <xdr:spPr bwMode="auto">
              <a:xfrm>
                <a:off x="815" y="214"/>
                <a:ext cx="19" cy="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ffectLst/>
              <a:extLst>
                <a:ext uri="{53640926-AAD7-44D8-BBD7-CCE9431645EC}">
                  <a14:shadowObscured val="1"/>
                </a:ext>
              </a:extLst>
            </xdr:spPr>
            <xdr:txBody>
              <a:bodyPr vertOverflow="clip" wrap="square" lIns="18288" tIns="0" rIns="0" bIns="0" anchor="ctr" upright="1"/>
              <a:lstStyle/>
              <a:p>
                <a:pPr algn="ctr" rtl="0">
                  <a:defRPr sz="1000"/>
                </a:pPr>
                <a:endParaRPr lang="pt-BR"/>
              </a:p>
            </xdr:txBody>
          </xdr:sp>
          <xdr:sp macro="" textlink="">
            <xdr:nvSpPr>
              <xdr:cNvPr id="229042" name="Button 3762" hidden="1">
                <a:extLst>
                  <a:ext uri="{63B3BB69-23CF-44E3-9099-C40C66FF867C}">
                    <a14:compatExt spid="_x0000_s229042"/>
                  </a:ext>
                </a:extLst>
              </xdr:cNvPr>
              <xdr:cNvSpPr/>
            </xdr:nvSpPr>
            <xdr:spPr bwMode="auto">
              <a:xfrm>
                <a:off x="840" y="214"/>
                <a:ext cx="19" cy="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ffectLst/>
              <a:extLst>
                <a:ext uri="{53640926-AAD7-44D8-BBD7-CCE9431645EC}">
                  <a14:shadowObscured val="1"/>
                </a:ext>
              </a:extLst>
            </xdr:spPr>
            <xdr:txBody>
              <a:bodyPr vertOverflow="clip" wrap="square" lIns="18288" tIns="0" rIns="0" bIns="0" anchor="ctr" upright="1"/>
              <a:lstStyle/>
              <a:p>
                <a:pPr algn="ctr" rtl="0">
                  <a:defRPr sz="1000"/>
                </a:pPr>
                <a:endParaRPr lang="pt-BR"/>
              </a:p>
            </xdr:txBody>
          </xdr:sp>
          <xdr:sp macro="" textlink="">
            <xdr:nvSpPr>
              <xdr:cNvPr id="229043" name="Button 3763" hidden="1">
                <a:extLst>
                  <a:ext uri="{63B3BB69-23CF-44E3-9099-C40C66FF867C}">
                    <a14:compatExt spid="_x0000_s229043"/>
                  </a:ext>
                </a:extLst>
              </xdr:cNvPr>
              <xdr:cNvSpPr/>
            </xdr:nvSpPr>
            <xdr:spPr bwMode="auto">
              <a:xfrm>
                <a:off x="790" y="214"/>
                <a:ext cx="19" cy="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ffectLst/>
              <a:extLst>
                <a:ext uri="{53640926-AAD7-44D8-BBD7-CCE9431645EC}">
                  <a14:shadowObscured val="1"/>
                </a:ext>
              </a:extLst>
            </xdr:spPr>
            <xdr:txBody>
              <a:bodyPr vertOverflow="clip" wrap="square" lIns="18288" tIns="0" rIns="0" bIns="0" anchor="ctr" upright="1"/>
              <a:lstStyle/>
              <a:p>
                <a:pPr algn="ctr" rtl="0">
                  <a:defRPr sz="1000"/>
                </a:pPr>
                <a:endParaRPr lang="pt-BR"/>
              </a:p>
            </xdr:txBody>
          </xdr:sp>
          <xdr:sp macro="" textlink="">
            <xdr:nvSpPr>
              <xdr:cNvPr id="328823" name="Label1" hidden="1">
                <a:extLst>
                  <a:ext uri="{63B3BB69-23CF-44E3-9099-C40C66FF867C}">
                    <a14:compatExt spid="_x0000_s328823"/>
                  </a:ext>
                </a:extLst>
              </xdr:cNvPr>
              <xdr:cNvSpPr/>
            </xdr:nvSpPr>
            <xdr:spPr bwMode="auto">
              <a:xfrm>
                <a:off x="792" y="237"/>
                <a:ext cx="68" cy="20"/>
              </a:xfrm>
              <a:prstGeom prst="rect">
                <a:avLst/>
              </a:prstGeom>
              <a:noFill/>
              <a:ln>
                <a:noFill/>
              </a:ln>
              <a:effectLst>
                <a:outerShdw dist="35921" dir="2700000" algn="ctr" rotWithShape="0">
                  <a:srgbClr val="000000"/>
                </a:outerShdw>
              </a:effectLst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2</xdr:col>
      <xdr:colOff>3276600</xdr:colOff>
      <xdr:row>19</xdr:row>
      <xdr:rowOff>171450</xdr:rowOff>
    </xdr:from>
    <xdr:to>
      <xdr:col>2</xdr:col>
      <xdr:colOff>3543300</xdr:colOff>
      <xdr:row>21</xdr:row>
      <xdr:rowOff>47625</xdr:rowOff>
    </xdr:to>
    <xdr:pic>
      <xdr:nvPicPr>
        <xdr:cNvPr id="538719" name="Picture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38675" y="3943350"/>
          <a:ext cx="26670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3467100</xdr:colOff>
      <xdr:row>23</xdr:row>
      <xdr:rowOff>161925</xdr:rowOff>
    </xdr:from>
    <xdr:to>
      <xdr:col>2</xdr:col>
      <xdr:colOff>3733800</xdr:colOff>
      <xdr:row>25</xdr:row>
      <xdr:rowOff>38100</xdr:rowOff>
    </xdr:to>
    <xdr:pic>
      <xdr:nvPicPr>
        <xdr:cNvPr id="538720" name="Picture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29175" y="4695825"/>
          <a:ext cx="26670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19050</xdr:colOff>
      <xdr:row>0</xdr:row>
      <xdr:rowOff>19050</xdr:rowOff>
    </xdr:from>
    <xdr:to>
      <xdr:col>4</xdr:col>
      <xdr:colOff>238125</xdr:colOff>
      <xdr:row>0</xdr:row>
      <xdr:rowOff>457200</xdr:rowOff>
    </xdr:to>
    <xdr:grpSp>
      <xdr:nvGrpSpPr>
        <xdr:cNvPr id="538721" name="Agrupar 69"/>
        <xdr:cNvGrpSpPr>
          <a:grpSpLocks/>
        </xdr:cNvGrpSpPr>
      </xdr:nvGrpSpPr>
      <xdr:grpSpPr bwMode="auto">
        <a:xfrm>
          <a:off x="19050" y="19050"/>
          <a:ext cx="7210425" cy="438150"/>
          <a:chOff x="0" y="0"/>
          <a:chExt cx="7381945" cy="438150"/>
        </a:xfrm>
      </xdr:grpSpPr>
      <xdr:pic>
        <xdr:nvPicPr>
          <xdr:cNvPr id="538722" name="Image1"/>
          <xdr:cNvPicPr preferRelativeResize="0">
            <a:picLocks noChangeAspect="1" noChangeArrowheads="1" noChangeShapeType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438150" cy="438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grpSp>
        <xdr:nvGrpSpPr>
          <xdr:cNvPr id="538723" name="Agrupar 71"/>
          <xdr:cNvGrpSpPr>
            <a:grpSpLocks/>
          </xdr:cNvGrpSpPr>
        </xdr:nvGrpSpPr>
        <xdr:grpSpPr bwMode="auto">
          <a:xfrm>
            <a:off x="429217" y="0"/>
            <a:ext cx="6952728" cy="428625"/>
            <a:chOff x="429217" y="0"/>
            <a:chExt cx="6952728" cy="428625"/>
          </a:xfrm>
        </xdr:grpSpPr>
        <xdr:sp macro="[0]!b_calculo" textlink="">
          <xdr:nvSpPr>
            <xdr:cNvPr id="31" name="Retângulo 30" title="TTT"/>
            <xdr:cNvSpPr/>
          </xdr:nvSpPr>
          <xdr:spPr bwMode="auto">
            <a:xfrm>
              <a:off x="1862552" y="0"/>
              <a:ext cx="1443234" cy="428625"/>
            </a:xfrm>
            <a:prstGeom prst="rect">
              <a:avLst/>
            </a:prstGeom>
            <a:solidFill>
              <a:schemeClr val="accent6">
                <a:lumMod val="60000"/>
                <a:lumOff val="40000"/>
              </a:schemeClr>
            </a:solidFill>
            <a:ln w="12700" cap="flat" cmpd="sng" algn="ctr">
              <a:solidFill>
                <a:schemeClr val="tx1"/>
              </a:solidFill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marL="0" indent="0" algn="ctr"/>
              <a:r>
                <a:rPr lang="pt-BR" sz="1200" b="1">
                  <a:solidFill>
                    <a:srgbClr val="2D2D2D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VISUALIZA</a:t>
              </a:r>
            </a:p>
            <a:p>
              <a:pPr marL="0" indent="0" algn="ctr"/>
              <a:r>
                <a:rPr lang="pt-BR" sz="1200" b="1">
                  <a:solidFill>
                    <a:srgbClr val="2D2D2D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CÁLCULO</a:t>
              </a:r>
            </a:p>
          </xdr:txBody>
        </xdr:sp>
        <xdr:sp macro="[0]!b_cadastro" textlink="">
          <xdr:nvSpPr>
            <xdr:cNvPr id="32" name="Retângulo 31" title="TTT"/>
            <xdr:cNvSpPr/>
          </xdr:nvSpPr>
          <xdr:spPr bwMode="auto">
            <a:xfrm>
              <a:off x="429070" y="0"/>
              <a:ext cx="1433482" cy="428625"/>
            </a:xfrm>
            <a:prstGeom prst="rect">
              <a:avLst/>
            </a:prstGeom>
            <a:solidFill>
              <a:schemeClr val="accent6">
                <a:lumMod val="60000"/>
                <a:lumOff val="40000"/>
              </a:schemeClr>
            </a:solidFill>
            <a:ln w="12700" cap="flat" cmpd="sng" algn="ctr">
              <a:solidFill>
                <a:schemeClr val="tx1"/>
              </a:solidFill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marL="0" indent="0" algn="ctr"/>
              <a:r>
                <a:rPr lang="pt-BR" sz="1200" b="1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CADASTRO</a:t>
              </a:r>
            </a:p>
            <a:p>
              <a:pPr marL="0" indent="0" algn="ctr"/>
              <a:r>
                <a:rPr lang="pt-BR" sz="1200" b="1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DO CÁLCULO</a:t>
              </a:r>
            </a:p>
          </xdr:txBody>
        </xdr:sp>
        <xdr:sp macro="" textlink="">
          <xdr:nvSpPr>
            <xdr:cNvPr id="33" name="Retângulo 32" title="TTT"/>
            <xdr:cNvSpPr/>
          </xdr:nvSpPr>
          <xdr:spPr bwMode="auto">
            <a:xfrm>
              <a:off x="3305785" y="0"/>
              <a:ext cx="2515907" cy="428625"/>
            </a:xfrm>
            <a:prstGeom prst="rect">
              <a:avLst/>
            </a:prstGeom>
            <a:solidFill>
              <a:schemeClr val="accent5">
                <a:lumMod val="40000"/>
                <a:lumOff val="60000"/>
              </a:schemeClr>
            </a:solidFill>
            <a:ln w="12700" cap="flat" cmpd="sng" algn="ctr">
              <a:solidFill>
                <a:schemeClr val="tx1"/>
              </a:solidFill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marL="0" indent="0" algn="ctr"/>
              <a:r>
                <a:rPr lang="pt-BR" sz="1050" b="1" i="1">
                  <a:solidFill>
                    <a:srgbClr val="2D2D2D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CÁLCULO DE AJUSTE</a:t>
              </a:r>
              <a:r>
                <a:rPr lang="pt-BR" sz="1050" b="1" i="1" baseline="0">
                  <a:solidFill>
                    <a:srgbClr val="2D2D2D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ANUAL DO IR</a:t>
              </a:r>
              <a:endParaRPr lang="pt-BR" sz="1050" b="1" i="1">
                <a:solidFill>
                  <a:srgbClr val="2D2D2D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endParaRPr>
            </a:p>
            <a:p>
              <a:pPr marL="0" indent="0" algn="ctr"/>
              <a:endParaRPr lang="pt-BR" sz="800" b="1" i="1" baseline="0">
                <a:solidFill>
                  <a:srgbClr val="2D2D2D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endParaRPr>
            </a:p>
            <a:p>
              <a:pPr marL="0" indent="0" algn="r"/>
              <a:r>
                <a:rPr lang="pt-BR" sz="700" b="1" i="1" baseline="0">
                  <a:solidFill>
                    <a:srgbClr val="2D2D2D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SJRJ-DCAL</a:t>
              </a:r>
              <a:endParaRPr lang="pt-BR" sz="800" b="1" i="1">
                <a:solidFill>
                  <a:srgbClr val="2D2D2D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34" name="Retângulo 33" title="TTT"/>
            <xdr:cNvSpPr/>
          </xdr:nvSpPr>
          <xdr:spPr bwMode="auto">
            <a:xfrm>
              <a:off x="5831444" y="0"/>
              <a:ext cx="1550501" cy="428625"/>
            </a:xfrm>
            <a:prstGeom prst="rect">
              <a:avLst/>
            </a:prstGeom>
            <a:solidFill>
              <a:schemeClr val="accent5">
                <a:lumMod val="40000"/>
                <a:lumOff val="60000"/>
              </a:schemeClr>
            </a:solidFill>
            <a:ln w="12700" cap="flat" cmpd="sng" algn="ctr">
              <a:solidFill>
                <a:schemeClr val="tx1"/>
              </a:solidFill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marL="0" indent="0" algn="ctr"/>
              <a:endParaRPr lang="pt-BR" sz="1050" b="1">
                <a:solidFill>
                  <a:srgbClr val="2D2D2D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endParaRPr>
            </a:p>
          </xdr:txBody>
        </xdr:sp>
        <xdr:grpSp>
          <xdr:nvGrpSpPr>
            <xdr:cNvPr id="538728" name="Agrupar 76"/>
            <xdr:cNvGrpSpPr>
              <a:grpSpLocks/>
            </xdr:cNvGrpSpPr>
          </xdr:nvGrpSpPr>
          <xdr:grpSpPr bwMode="auto">
            <a:xfrm>
              <a:off x="5848350" y="28575"/>
              <a:ext cx="1525409" cy="381356"/>
              <a:chOff x="5876925" y="47625"/>
              <a:chExt cx="1525409" cy="381356"/>
            </a:xfrm>
          </xdr:grpSpPr>
          <xdr:pic macro="[0]!tela_rest">
            <xdr:nvPicPr>
              <xdr:cNvPr id="538729" name="Imagem 77"/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6640175" y="47625"/>
                <a:ext cx="381154" cy="381154"/>
              </a:xfrm>
              <a:prstGeom prst="rect">
                <a:avLst/>
              </a:prstGeom>
              <a:solidFill>
                <a:srgbClr val="B7DEE8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pic>
          <xdr:pic macro="[0]!tela_max">
            <xdr:nvPicPr>
              <xdr:cNvPr id="538730" name="Imagem 78"/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7021180" y="47625"/>
                <a:ext cx="381154" cy="381154"/>
              </a:xfrm>
              <a:prstGeom prst="rect">
                <a:avLst/>
              </a:prstGeom>
              <a:solidFill>
                <a:srgbClr val="B7DEE8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pic>
          <xdr:pic macro="[0]!b_capa">
            <xdr:nvPicPr>
              <xdr:cNvPr id="538731" name="Imagem 79"/>
              <xdr:cNvPicPr>
                <a:picLocks noChangeAspect="1"/>
              </xdr:cNvPicPr>
            </xdr:nvPicPr>
            <xdr:blipFill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5876925" y="47625"/>
                <a:ext cx="381255" cy="38125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pic>
          <xdr:pic macro="[0]!b_sobre">
            <xdr:nvPicPr>
              <xdr:cNvPr id="538732" name="Imagem 80"/>
              <xdr:cNvPicPr>
                <a:picLocks noChangeAspect="1"/>
              </xdr:cNvPicPr>
            </xdr:nvPicPr>
            <xdr:blipFill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6257925" y="47625"/>
                <a:ext cx="381356" cy="38135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pic>
        </xdr:grpSp>
      </xdr:grpSp>
    </xdr:grpSp>
    <xdr:clientData/>
  </xdr:twoCellAnchor>
</xdr:wsDr>
</file>

<file path=xl/queryTables/queryTable1.xml><?xml version="1.0" encoding="utf-8"?>
<queryTable xmlns="http://schemas.openxmlformats.org/spreadsheetml/2006/main" name="coefjfsc_84" growShrinkType="overwriteClear" preserveFormatting="0" adjustColumnWidth="0" connectionId="2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coefjfsc_83" growShrinkType="overwriteClear" preserveFormatting="0" adjustColumnWidth="0" connectionId="2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coefjfsc_82" growShrinkType="overwriteClear" preserveFormatting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coefjfsc_81" growShrinkType="overwriteClear" preserveFormatting="0" adjustColumnWidth="0" connectionId="2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coefjfsc_80" growShrinkType="overwriteClear" preserveFormatting="0" adjustColumnWidth="0" connectionId="2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coefjfsc_79" growShrinkType="overwriteClear" preserveFormatting="0" adjustColumnWidth="0" connectionId="2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coefjfsc_73" growShrinkType="overwriteClear" preserveFormatting="0" adjustColumnWidth="0" connectionId="1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coefjfsc_72" growShrinkType="overwriteClear" preserveFormatting="0" adjustColumnWidth="0" connectionId="1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coefjfsc_71" growShrinkType="overwriteClear" preserveFormatting="0" adjustColumnWidth="0" connectionId="1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coefjfsc_70" growShrinkType="overwriteClear" preserveFormatting="0" adjustColumnWidth="0" connectionId="1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coefjfsc_69" growShrinkType="overwriteClear" preserveFormatting="0" adjustColumnWidth="0" connectionId="3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coefjfsc_64" growShrinkType="overwriteClear" preserveFormatting="0" adjustColumnWidt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coefjfsc_62" growShrinkType="overwriteClear" preserveFormatting="0" adjustColumnWidth="0" connectionId="3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coefjfsc_61" growShrinkType="overwriteClear" preserveFormatting="0" adjustColumnWidth="0" connectionId="3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coefjfsc_60" growShrinkType="overwriteClear" preserveFormatting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coefjfsc_56" growShrinkType="overwriteClear" preserveFormatting="0" adjustColumnWidth="0" connectionId="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coefjfsc_46" growShrinkType="overwriteClear" preserveFormatting="0" adjustColumnWidth="0" connectionId="2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coefjfsc_34" growShrinkType="overwriteClear" preserveFormatting="0" adjustColumnWidth="0" connectionId="1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coefjfsc_22" growShrinkType="overwriteClear" preserveFormatting="0" adjustColumnWidth="0" connectionId="3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coefjfsc_28" growShrinkType="overwriteClear" preserveFormatting="0" adjustColumnWidth="0" connectionId="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coefjfsc_40" growShrinkType="overwriteClear" preserveFormatting="0" adjustColumnWidth="0" connectionId="1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coefjfsc_50" growShrinkType="overwriteClear" preserveFormatting="0" adjustColumnWidth="0" connectionId="3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coefjfsc_17" growShrinkType="overwriteClear" preserveFormatting="0" adjustColumnWidth="0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coefjfsc_57" growShrinkType="overwriteClear" preserveFormatting="0" adjustColumnWidth="0" connectionId="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coefjfsc_58" growShrinkType="overwriteClear" preserveFormatting="0" adjustColumnWidth="0" connectionId="1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coefjfsc_59" growShrinkType="overwriteClear" preserveFormatting="0" adjustColumnWidth="0" connectionId="2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coefjfsc_65" growShrinkType="overwriteClear" preserveFormatting="0" adjustColumnWidth="0" connectionId="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coefjfsc_66" growShrinkType="overwriteClear" preserveFormatting="0" adjustColumnWidth="0" connectionId="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coefjfsc_67" growShrinkType="overwriteClear" preserveFormatting="0" adjustColumnWidth="0" connectionId="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coefjfsc_68" growShrinkType="overwriteClear" preserveFormatting="0" adjustColumnWidth="0" connectionId="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coefjfsc_74" growShrinkType="overwriteClear" preserveFormatting="0" adjustColumnWidth="0" connectionId="16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coefjfsc_75" growShrinkType="overwriteClear" preserveFormatting="0" adjustColumnWidth="0" connectionId="1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coefjfsc_76" growShrinkType="overwriteClear" preserveFormatting="0" adjustColumnWidth="0" connectionId="1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coefjfsc_77" growShrinkType="overwriteClear" preserveFormatting="0" adjustColumnWidth="0" connectionId="2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coefjfsc_78" growShrinkType="overwriteClear" preserveFormatting="0" adjustColumnWidth="0" connectionId="2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8.png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0.xml"/><Relationship Id="rId1" Type="http://schemas.openxmlformats.org/officeDocument/2006/relationships/printerSettings" Target="../printerSettings/printerSettings5.bin"/><Relationship Id="rId6" Type="http://schemas.openxmlformats.org/officeDocument/2006/relationships/image" Target="../media/image17.emf"/><Relationship Id="rId11" Type="http://schemas.openxmlformats.org/officeDocument/2006/relationships/ctrlProp" Target="../ctrlProps/ctrlProp5.xml"/><Relationship Id="rId5" Type="http://schemas.openxmlformats.org/officeDocument/2006/relationships/control" Target="../activeX/activeX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4" Type="http://schemas.openxmlformats.org/officeDocument/2006/relationships/image" Target="../media/image16.png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1.xml"/><Relationship Id="rId18" Type="http://schemas.openxmlformats.org/officeDocument/2006/relationships/queryTable" Target="../queryTables/queryTable16.xml"/><Relationship Id="rId26" Type="http://schemas.openxmlformats.org/officeDocument/2006/relationships/queryTable" Target="../queryTables/queryTable24.xml"/><Relationship Id="rId21" Type="http://schemas.openxmlformats.org/officeDocument/2006/relationships/queryTable" Target="../queryTables/queryTable19.xml"/><Relationship Id="rId34" Type="http://schemas.openxmlformats.org/officeDocument/2006/relationships/queryTable" Target="../queryTables/queryTable32.xml"/><Relationship Id="rId7" Type="http://schemas.openxmlformats.org/officeDocument/2006/relationships/queryTable" Target="../queryTables/queryTable5.xml"/><Relationship Id="rId12" Type="http://schemas.openxmlformats.org/officeDocument/2006/relationships/queryTable" Target="../queryTables/queryTable10.xml"/><Relationship Id="rId17" Type="http://schemas.openxmlformats.org/officeDocument/2006/relationships/queryTable" Target="../queryTables/queryTable15.xml"/><Relationship Id="rId25" Type="http://schemas.openxmlformats.org/officeDocument/2006/relationships/queryTable" Target="../queryTables/queryTable23.xml"/><Relationship Id="rId33" Type="http://schemas.openxmlformats.org/officeDocument/2006/relationships/queryTable" Target="../queryTables/queryTable31.xml"/><Relationship Id="rId2" Type="http://schemas.openxmlformats.org/officeDocument/2006/relationships/image" Target="../media/image19.png"/><Relationship Id="rId16" Type="http://schemas.openxmlformats.org/officeDocument/2006/relationships/queryTable" Target="../queryTables/queryTable14.xml"/><Relationship Id="rId20" Type="http://schemas.openxmlformats.org/officeDocument/2006/relationships/queryTable" Target="../queryTables/queryTable18.xml"/><Relationship Id="rId29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6.bin"/><Relationship Id="rId6" Type="http://schemas.openxmlformats.org/officeDocument/2006/relationships/queryTable" Target="../queryTables/queryTable4.xml"/><Relationship Id="rId11" Type="http://schemas.openxmlformats.org/officeDocument/2006/relationships/queryTable" Target="../queryTables/queryTable9.xml"/><Relationship Id="rId24" Type="http://schemas.openxmlformats.org/officeDocument/2006/relationships/queryTable" Target="../queryTables/queryTable22.xml"/><Relationship Id="rId32" Type="http://schemas.openxmlformats.org/officeDocument/2006/relationships/queryTable" Target="../queryTables/queryTable30.xml"/><Relationship Id="rId37" Type="http://schemas.openxmlformats.org/officeDocument/2006/relationships/queryTable" Target="../queryTables/queryTable35.xml"/><Relationship Id="rId5" Type="http://schemas.openxmlformats.org/officeDocument/2006/relationships/queryTable" Target="../queryTables/queryTable3.xml"/><Relationship Id="rId15" Type="http://schemas.openxmlformats.org/officeDocument/2006/relationships/queryTable" Target="../queryTables/queryTable13.xml"/><Relationship Id="rId23" Type="http://schemas.openxmlformats.org/officeDocument/2006/relationships/queryTable" Target="../queryTables/queryTable21.xml"/><Relationship Id="rId28" Type="http://schemas.openxmlformats.org/officeDocument/2006/relationships/queryTable" Target="../queryTables/queryTable26.xml"/><Relationship Id="rId36" Type="http://schemas.openxmlformats.org/officeDocument/2006/relationships/queryTable" Target="../queryTables/queryTable34.xml"/><Relationship Id="rId10" Type="http://schemas.openxmlformats.org/officeDocument/2006/relationships/queryTable" Target="../queryTables/queryTable8.xml"/><Relationship Id="rId19" Type="http://schemas.openxmlformats.org/officeDocument/2006/relationships/queryTable" Target="../queryTables/queryTable17.xml"/><Relationship Id="rId31" Type="http://schemas.openxmlformats.org/officeDocument/2006/relationships/queryTable" Target="../queryTables/queryTable29.xml"/><Relationship Id="rId4" Type="http://schemas.openxmlformats.org/officeDocument/2006/relationships/queryTable" Target="../queryTables/queryTable2.xml"/><Relationship Id="rId9" Type="http://schemas.openxmlformats.org/officeDocument/2006/relationships/queryTable" Target="../queryTables/queryTable7.xml"/><Relationship Id="rId14" Type="http://schemas.openxmlformats.org/officeDocument/2006/relationships/queryTable" Target="../queryTables/queryTable12.xml"/><Relationship Id="rId22" Type="http://schemas.openxmlformats.org/officeDocument/2006/relationships/queryTable" Target="../queryTables/queryTable20.xml"/><Relationship Id="rId27" Type="http://schemas.openxmlformats.org/officeDocument/2006/relationships/queryTable" Target="../queryTables/queryTable25.xml"/><Relationship Id="rId30" Type="http://schemas.openxmlformats.org/officeDocument/2006/relationships/queryTable" Target="../queryTables/queryTable28.xml"/><Relationship Id="rId35" Type="http://schemas.openxmlformats.org/officeDocument/2006/relationships/queryTable" Target="../queryTables/queryTable33.xml"/><Relationship Id="rId8" Type="http://schemas.openxmlformats.org/officeDocument/2006/relationships/queryTable" Target="../queryTables/queryTable6.xml"/><Relationship Id="rId3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A172"/>
  <sheetViews>
    <sheetView showGridLines="0" showRowColHeaders="0" workbookViewId="0"/>
  </sheetViews>
  <sheetFormatPr defaultRowHeight="12.75"/>
  <cols>
    <col min="1" max="1" width="1.7109375" style="2" customWidth="1"/>
    <col min="2" max="3" width="10.28515625" style="2" customWidth="1"/>
    <col min="4" max="4" width="45.7109375" style="2" customWidth="1"/>
    <col min="5" max="5" width="0.85546875" style="2" customWidth="1"/>
    <col min="6" max="6" width="1.85546875" style="2" customWidth="1"/>
    <col min="7" max="16384" width="9.140625" style="2"/>
  </cols>
  <sheetData>
    <row r="1" ht="38.1" customHeight="1"/>
    <row r="2" ht="9.9499999999999993" customHeight="1"/>
    <row r="3" ht="15" customHeight="1"/>
    <row r="4" ht="15" customHeight="1"/>
    <row r="5" ht="9.9499999999999993" customHeight="1"/>
    <row r="6" ht="15" customHeight="1"/>
    <row r="7" ht="15" customHeight="1"/>
    <row r="8" ht="15" customHeight="1"/>
    <row r="9" ht="15" customHeight="1"/>
    <row r="10" ht="15" customHeight="1"/>
    <row r="11" ht="15" customHeight="1"/>
    <row r="12" ht="15" customHeight="1"/>
    <row r="13" ht="15" customHeight="1"/>
    <row r="14" ht="15" customHeight="1"/>
    <row r="15" ht="15" customHeight="1"/>
    <row r="16" ht="15" customHeight="1"/>
    <row r="17" ht="15" customHeight="1"/>
    <row r="18" ht="15" customHeight="1"/>
    <row r="19" ht="15" customHeight="1"/>
    <row r="20" ht="15" customHeight="1"/>
    <row r="21" ht="15" customHeight="1"/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5" customHeight="1"/>
    <row r="130" ht="15" customHeight="1"/>
    <row r="131" ht="15" customHeight="1"/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/>
    <row r="140" ht="15" customHeight="1"/>
    <row r="141" ht="15" customHeight="1"/>
    <row r="142" ht="15" customHeight="1"/>
    <row r="143" ht="15" customHeight="1"/>
    <row r="144" ht="15" customHeight="1"/>
    <row r="145" ht="15" customHeight="1"/>
    <row r="146" ht="15" customHeight="1"/>
    <row r="147" ht="15" customHeight="1"/>
    <row r="148" ht="15" customHeight="1"/>
    <row r="149" ht="15" customHeight="1"/>
    <row r="150" ht="15" customHeight="1"/>
    <row r="151" ht="15" customHeight="1"/>
    <row r="152" ht="15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</sheetData>
  <sheetProtection password="DF3F" sheet="1" objects="1" scenarios="1"/>
  <dataValidations count="2">
    <dataValidation type="list" showInputMessage="1" showErrorMessage="1" errorTitle="DATA NÃO PERMITIDA!" error="A data do cálculo não pode ser superior a data limite da planilha e não pode ser inferior a data em que o benefício foi restabelecido/implantado." sqref="D8">
      <formula1>#REF!</formula1>
    </dataValidation>
    <dataValidation type="textLength" allowBlank="1" showInputMessage="1" showErrorMessage="1" sqref="C11:D15">
      <formula1>0</formula1>
      <formula2>500</formula2>
    </dataValidation>
  </dataValidations>
  <pageMargins left="0.511811024" right="0.511811024" top="0.78740157499999996" bottom="0.78740157499999996" header="0.31496062000000002" footer="0.31496062000000002"/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AF205"/>
  <sheetViews>
    <sheetView showGridLines="0" showRowColHeaders="0" tabSelected="1" zoomScaleNormal="100" workbookViewId="0">
      <pane ySplit="1" topLeftCell="A2" activePane="bottomLeft" state="frozen"/>
      <selection pane="bottomLeft" activeCell="E5" sqref="E5:G5"/>
    </sheetView>
  </sheetViews>
  <sheetFormatPr defaultRowHeight="12.75"/>
  <cols>
    <col min="1" max="1" width="1.7109375" style="11" customWidth="1"/>
    <col min="2" max="2" width="9" style="2" customWidth="1"/>
    <col min="3" max="3" width="11.42578125" style="2" customWidth="1"/>
    <col min="4" max="4" width="12.140625" style="2" customWidth="1"/>
    <col min="5" max="7" width="13.7109375" style="2" customWidth="1"/>
    <col min="8" max="8" width="2.7109375" style="2" customWidth="1"/>
    <col min="9" max="9" width="10.7109375" style="2" customWidth="1"/>
    <col min="10" max="10" width="11.28515625" style="2" customWidth="1"/>
    <col min="11" max="11" width="9.7109375" style="2" customWidth="1"/>
    <col min="12" max="12" width="7.42578125" style="2" customWidth="1"/>
    <col min="13" max="13" width="6.5703125" style="2" customWidth="1"/>
    <col min="14" max="14" width="8.5703125" style="2" hidden="1" customWidth="1"/>
    <col min="15" max="15" width="8.42578125" style="2" hidden="1" customWidth="1"/>
    <col min="16" max="16" width="2.28515625" style="2" hidden="1" customWidth="1"/>
    <col min="17" max="17" width="14.42578125" style="2" hidden="1" customWidth="1"/>
    <col min="18" max="18" width="10.140625" style="2" hidden="1" customWidth="1"/>
    <col min="19" max="19" width="9.5703125" style="2" hidden="1" customWidth="1"/>
    <col min="20" max="20" width="19.7109375" style="2" hidden="1" customWidth="1"/>
    <col min="21" max="21" width="10.85546875" style="2" hidden="1" customWidth="1"/>
    <col min="22" max="22" width="2.28515625" style="2" hidden="1" customWidth="1"/>
    <col min="23" max="24" width="5.7109375" style="2" hidden="1" customWidth="1"/>
    <col min="25" max="26" width="4.7109375" style="2" hidden="1" customWidth="1"/>
    <col min="27" max="28" width="4.85546875" style="2" hidden="1" customWidth="1"/>
    <col min="29" max="29" width="5.7109375" style="2" hidden="1" customWidth="1"/>
    <col min="30" max="30" width="2.28515625" style="2" hidden="1" customWidth="1"/>
    <col min="31" max="31" width="33.28515625" hidden="1" customWidth="1"/>
    <col min="32" max="32" width="3.140625" hidden="1" customWidth="1"/>
    <col min="33" max="16384" width="9.140625" style="2"/>
  </cols>
  <sheetData>
    <row r="1" spans="1:32" s="11" customFormat="1" ht="38.1" customHeight="1">
      <c r="A1" s="10"/>
      <c r="B1" s="10"/>
      <c r="C1" s="10"/>
      <c r="D1" s="10"/>
      <c r="E1" s="10"/>
      <c r="F1" s="10"/>
      <c r="G1" s="10"/>
      <c r="H1" s="10"/>
      <c r="I1" s="10"/>
      <c r="J1" s="10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</row>
    <row r="2" spans="1:32" s="11" customFormat="1" ht="9.9499999999999993" customHeight="1"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</row>
    <row r="3" spans="1:32" ht="17.100000000000001" customHeight="1">
      <c r="A3" s="2"/>
      <c r="B3" s="408" t="s">
        <v>237</v>
      </c>
      <c r="C3" s="408"/>
      <c r="D3" s="408"/>
      <c r="E3" s="408"/>
      <c r="F3" s="408"/>
      <c r="G3" s="408"/>
      <c r="I3" s="380" t="s">
        <v>40</v>
      </c>
      <c r="J3" s="381"/>
      <c r="K3" s="381"/>
      <c r="L3" s="382"/>
      <c r="M3" s="11"/>
      <c r="N3" s="8"/>
      <c r="O3" s="9"/>
      <c r="P3" s="9"/>
      <c r="Q3" s="405" t="s">
        <v>80</v>
      </c>
      <c r="R3" s="405"/>
      <c r="S3" s="405"/>
      <c r="T3" s="405"/>
      <c r="U3" s="405"/>
      <c r="V3" s="9"/>
      <c r="W3" s="420" t="s">
        <v>149</v>
      </c>
      <c r="X3" s="421"/>
      <c r="Y3" s="421"/>
      <c r="Z3" s="421"/>
      <c r="AA3" s="421"/>
      <c r="AB3" s="421"/>
      <c r="AC3" s="422"/>
      <c r="AD3" s="9"/>
      <c r="AE3" s="350" t="s">
        <v>27</v>
      </c>
      <c r="AF3" s="8"/>
    </row>
    <row r="4" spans="1:32" ht="17.100000000000001" customHeight="1">
      <c r="A4" s="2"/>
      <c r="B4" s="406" t="s">
        <v>20</v>
      </c>
      <c r="C4" s="406"/>
      <c r="D4" s="406"/>
      <c r="E4" s="411"/>
      <c r="F4" s="411"/>
      <c r="G4" s="411"/>
      <c r="I4" s="423"/>
      <c r="J4" s="424"/>
      <c r="K4" s="424"/>
      <c r="L4" s="425"/>
      <c r="M4" s="11"/>
      <c r="N4" s="8"/>
      <c r="O4" s="8"/>
      <c r="P4" s="8"/>
      <c r="Q4" s="389" t="s">
        <v>0</v>
      </c>
      <c r="R4" s="389"/>
      <c r="S4" s="389"/>
      <c r="T4" s="252" t="str">
        <f>IF(E4="","",E4)</f>
        <v/>
      </c>
      <c r="U4" s="13" t="s">
        <v>278</v>
      </c>
      <c r="V4" s="8"/>
      <c r="W4" s="313" t="s">
        <v>167</v>
      </c>
      <c r="X4" s="313" t="s">
        <v>167</v>
      </c>
      <c r="Y4" s="313" t="s">
        <v>291</v>
      </c>
      <c r="Z4" s="313" t="s">
        <v>292</v>
      </c>
      <c r="AA4" s="313" t="s">
        <v>293</v>
      </c>
      <c r="AB4" s="313" t="s">
        <v>294</v>
      </c>
      <c r="AC4" s="313" t="s">
        <v>167</v>
      </c>
      <c r="AD4" s="8"/>
      <c r="AE4" s="12" t="s">
        <v>31</v>
      </c>
      <c r="AF4" s="8"/>
    </row>
    <row r="5" spans="1:32" ht="17.100000000000001" customHeight="1">
      <c r="A5" s="2"/>
      <c r="B5" s="406" t="s">
        <v>21</v>
      </c>
      <c r="C5" s="406"/>
      <c r="D5" s="406"/>
      <c r="E5" s="411"/>
      <c r="F5" s="411"/>
      <c r="G5" s="411"/>
      <c r="I5" s="426"/>
      <c r="J5" s="427"/>
      <c r="K5" s="427"/>
      <c r="L5" s="428"/>
      <c r="M5" s="11"/>
      <c r="N5" s="8"/>
      <c r="O5" s="8"/>
      <c r="P5" s="8"/>
      <c r="Q5" s="389" t="s">
        <v>277</v>
      </c>
      <c r="R5" s="389"/>
      <c r="S5" s="389"/>
      <c r="T5" s="252" t="str">
        <f>IF(E5="","",UPPER(E5))</f>
        <v/>
      </c>
      <c r="U5" s="13" t="s">
        <v>279</v>
      </c>
      <c r="V5" s="8"/>
      <c r="W5" s="241">
        <f t="shared" ref="W5:W22" si="0">IF(B14="","",B14)</f>
        <v>1996</v>
      </c>
      <c r="X5" s="14">
        <f>+IF(tabelas!AQ6="","",tabelas!AQ6)</f>
        <v>1990</v>
      </c>
      <c r="Y5" s="14" t="str">
        <f t="shared" ref="Y5:Y44" si="1">IF(X5="","",IF(ISNA(MATCH(X5,W:W,0)),"","X"))</f>
        <v/>
      </c>
      <c r="Z5" s="38">
        <v>1</v>
      </c>
      <c r="AA5" s="14">
        <f t="shared" ref="AA5:AA44" si="2">+IF(OR(Y5&lt;&gt;"",X5=""),999,Z5)</f>
        <v>1</v>
      </c>
      <c r="AB5" s="14">
        <f t="shared" ref="AB5:AB44" si="3">+SMALL(AA:AA,Z5)</f>
        <v>1</v>
      </c>
      <c r="AC5" s="14">
        <f t="shared" ref="AC5:AC44" si="4">+IF(AB5=999,"",LOOKUP(AB5,COL_REF2,COL_ANO2))</f>
        <v>1990</v>
      </c>
      <c r="AD5" s="8"/>
      <c r="AE5" s="12" t="s">
        <v>53</v>
      </c>
      <c r="AF5" s="8"/>
    </row>
    <row r="6" spans="1:32" ht="17.100000000000001" customHeight="1">
      <c r="A6" s="2"/>
      <c r="B6" s="406" t="s">
        <v>324</v>
      </c>
      <c r="C6" s="406"/>
      <c r="D6" s="406"/>
      <c r="E6" s="409">
        <v>37104</v>
      </c>
      <c r="F6" s="410"/>
      <c r="G6" s="298">
        <f>IF(E6="","",INT(E6))</f>
        <v>37104</v>
      </c>
      <c r="I6" s="426"/>
      <c r="J6" s="427"/>
      <c r="K6" s="427"/>
      <c r="L6" s="428"/>
      <c r="M6" s="11"/>
      <c r="N6" s="8"/>
      <c r="O6" s="8"/>
      <c r="P6" s="8"/>
      <c r="Q6" s="389" t="s">
        <v>47</v>
      </c>
      <c r="R6" s="389"/>
      <c r="S6" s="389"/>
      <c r="T6" s="252">
        <f>G6</f>
        <v>37104</v>
      </c>
      <c r="U6" s="13" t="s">
        <v>107</v>
      </c>
      <c r="V6" s="8"/>
      <c r="W6" s="241">
        <f t="shared" si="0"/>
        <v>2018</v>
      </c>
      <c r="X6" s="14">
        <f>+IF(tabelas!AQ7="","",tabelas!AQ7)</f>
        <v>1991</v>
      </c>
      <c r="Y6" s="14" t="str">
        <f t="shared" si="1"/>
        <v/>
      </c>
      <c r="Z6" s="38">
        <v>2</v>
      </c>
      <c r="AA6" s="14">
        <f t="shared" si="2"/>
        <v>2</v>
      </c>
      <c r="AB6" s="14">
        <f t="shared" si="3"/>
        <v>2</v>
      </c>
      <c r="AC6" s="14">
        <f t="shared" si="4"/>
        <v>1991</v>
      </c>
      <c r="AD6" s="9"/>
      <c r="AE6" s="8"/>
      <c r="AF6" s="8"/>
    </row>
    <row r="7" spans="1:32" ht="17.100000000000001" customHeight="1">
      <c r="A7" s="2"/>
      <c r="B7" s="406" t="s">
        <v>275</v>
      </c>
      <c r="C7" s="406"/>
      <c r="D7" s="406"/>
      <c r="E7" s="415" t="str">
        <f>IF(T33="","",T33)</f>
        <v>SELIC</v>
      </c>
      <c r="F7" s="416"/>
      <c r="G7" s="417"/>
      <c r="I7" s="426"/>
      <c r="J7" s="427"/>
      <c r="K7" s="427"/>
      <c r="L7" s="428"/>
      <c r="M7" s="11"/>
      <c r="N7" s="8"/>
      <c r="O7" s="8"/>
      <c r="P7" s="8"/>
      <c r="Q7" s="389" t="s">
        <v>275</v>
      </c>
      <c r="R7" s="389"/>
      <c r="S7" s="389"/>
      <c r="T7" s="306">
        <f>+IF(v_op1="",0,MATCH(v_op1,AE12:AE14,0))</f>
        <v>1</v>
      </c>
      <c r="U7" s="13" t="s">
        <v>280</v>
      </c>
      <c r="V7" s="8"/>
      <c r="W7" s="241" t="str">
        <f t="shared" si="0"/>
        <v/>
      </c>
      <c r="X7" s="14">
        <f>+IF(tabelas!AQ8="","",tabelas!AQ8)</f>
        <v>1992</v>
      </c>
      <c r="Y7" s="14" t="str">
        <f t="shared" si="1"/>
        <v/>
      </c>
      <c r="Z7" s="38">
        <v>3</v>
      </c>
      <c r="AA7" s="14">
        <f t="shared" si="2"/>
        <v>3</v>
      </c>
      <c r="AB7" s="14">
        <f t="shared" si="3"/>
        <v>3</v>
      </c>
      <c r="AC7" s="14">
        <f t="shared" si="4"/>
        <v>1992</v>
      </c>
      <c r="AD7" s="9"/>
      <c r="AE7" s="27" t="s">
        <v>79</v>
      </c>
      <c r="AF7" s="8"/>
    </row>
    <row r="8" spans="1:32" ht="17.100000000000001" customHeight="1">
      <c r="A8" s="2"/>
      <c r="B8" s="406" t="s">
        <v>276</v>
      </c>
      <c r="C8" s="406"/>
      <c r="D8" s="406"/>
      <c r="E8" s="412" t="str">
        <f>IF(T34="","",T34)</f>
        <v>NÃO</v>
      </c>
      <c r="F8" s="413"/>
      <c r="G8" s="414"/>
      <c r="I8" s="426"/>
      <c r="J8" s="427"/>
      <c r="K8" s="427"/>
      <c r="L8" s="428"/>
      <c r="M8" s="11"/>
      <c r="N8" s="8"/>
      <c r="O8" s="9"/>
      <c r="P8" s="9"/>
      <c r="Q8" s="389" t="s">
        <v>45</v>
      </c>
      <c r="R8" s="389"/>
      <c r="S8" s="389"/>
      <c r="T8" s="242" t="str">
        <f>+IF(OR(COD_JCM=3,E6=""),"NÃO",v_op2)</f>
        <v>NÃO</v>
      </c>
      <c r="U8" s="13" t="s">
        <v>117</v>
      </c>
      <c r="V8" s="9"/>
      <c r="W8" s="241" t="str">
        <f t="shared" si="0"/>
        <v/>
      </c>
      <c r="X8" s="14">
        <f>+IF(tabelas!AQ9="","",tabelas!AQ9)</f>
        <v>1993</v>
      </c>
      <c r="Y8" s="14" t="str">
        <f t="shared" si="1"/>
        <v/>
      </c>
      <c r="Z8" s="38">
        <v>4</v>
      </c>
      <c r="AA8" s="14">
        <f t="shared" si="2"/>
        <v>4</v>
      </c>
      <c r="AB8" s="14">
        <f t="shared" si="3"/>
        <v>4</v>
      </c>
      <c r="AC8" s="14">
        <f t="shared" si="4"/>
        <v>1993</v>
      </c>
      <c r="AD8" s="9"/>
      <c r="AE8" s="12" t="s">
        <v>29</v>
      </c>
      <c r="AF8" s="8"/>
    </row>
    <row r="9" spans="1:32" ht="17.100000000000001" customHeight="1">
      <c r="A9" s="2"/>
      <c r="B9" s="406" t="s">
        <v>325</v>
      </c>
      <c r="C9" s="406"/>
      <c r="D9" s="406"/>
      <c r="E9" s="409">
        <v>46264</v>
      </c>
      <c r="F9" s="410"/>
      <c r="G9" s="298">
        <f ca="1">IF(OR(E9&gt;VDT_TETO,E9=""),VDT_TETO,EOMONTH(TRUNC(E9,0),-1)+1)</f>
        <v>46235</v>
      </c>
      <c r="I9" s="429"/>
      <c r="J9" s="430"/>
      <c r="K9" s="430"/>
      <c r="L9" s="431"/>
      <c r="M9" s="11"/>
      <c r="N9" s="8"/>
      <c r="O9" s="9"/>
      <c r="P9" s="9"/>
      <c r="Q9" s="389" t="s">
        <v>57</v>
      </c>
      <c r="R9" s="389"/>
      <c r="S9" s="389"/>
      <c r="T9" s="252">
        <f ca="1">G9</f>
        <v>46235</v>
      </c>
      <c r="U9" s="13" t="s">
        <v>119</v>
      </c>
      <c r="V9" s="9"/>
      <c r="W9" s="241" t="str">
        <f t="shared" si="0"/>
        <v/>
      </c>
      <c r="X9" s="14">
        <f>+IF(tabelas!AQ10="","",tabelas!AQ10)</f>
        <v>1994</v>
      </c>
      <c r="Y9" s="14" t="str">
        <f t="shared" si="1"/>
        <v/>
      </c>
      <c r="Z9" s="38">
        <v>5</v>
      </c>
      <c r="AA9" s="14">
        <f t="shared" si="2"/>
        <v>5</v>
      </c>
      <c r="AB9" s="14">
        <f t="shared" si="3"/>
        <v>5</v>
      </c>
      <c r="AC9" s="14">
        <f t="shared" si="4"/>
        <v>1994</v>
      </c>
      <c r="AD9" s="9"/>
      <c r="AE9" s="12" t="s">
        <v>28</v>
      </c>
      <c r="AF9" s="8"/>
    </row>
    <row r="10" spans="1:32" ht="9.9499999999999993" customHeight="1"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8"/>
      <c r="O10" s="9"/>
      <c r="P10" s="9"/>
      <c r="Q10" s="8"/>
      <c r="R10" s="8"/>
      <c r="S10" s="8"/>
      <c r="T10" s="8"/>
      <c r="U10" s="8"/>
      <c r="V10" s="9"/>
      <c r="W10" s="241" t="str">
        <f t="shared" si="0"/>
        <v/>
      </c>
      <c r="X10" s="14">
        <f>+IF(tabelas!AQ11="","",tabelas!AQ11)</f>
        <v>1995</v>
      </c>
      <c r="Y10" s="14" t="str">
        <f t="shared" si="1"/>
        <v/>
      </c>
      <c r="Z10" s="38">
        <v>6</v>
      </c>
      <c r="AA10" s="14">
        <f t="shared" si="2"/>
        <v>6</v>
      </c>
      <c r="AB10" s="14">
        <f t="shared" si="3"/>
        <v>6</v>
      </c>
      <c r="AC10" s="14">
        <f t="shared" si="4"/>
        <v>1995</v>
      </c>
      <c r="AD10" s="9"/>
      <c r="AE10" s="8"/>
      <c r="AF10" s="8"/>
    </row>
    <row r="11" spans="1:32" s="11" customFormat="1" ht="15" customHeight="1">
      <c r="A11" s="2"/>
      <c r="B11" s="380" t="s">
        <v>19</v>
      </c>
      <c r="C11" s="381"/>
      <c r="D11" s="381"/>
      <c r="E11" s="381"/>
      <c r="F11" s="381"/>
      <c r="G11" s="381"/>
      <c r="H11" s="381"/>
      <c r="I11" s="381"/>
      <c r="J11" s="381"/>
      <c r="K11" s="381"/>
      <c r="L11" s="382"/>
      <c r="N11" s="8"/>
      <c r="O11" s="9"/>
      <c r="P11" s="9"/>
      <c r="Q11" s="405"/>
      <c r="R11" s="405"/>
      <c r="S11" s="405"/>
      <c r="T11" s="405"/>
      <c r="U11" s="405"/>
      <c r="V11" s="9"/>
      <c r="W11" s="241" t="str">
        <f t="shared" si="0"/>
        <v/>
      </c>
      <c r="X11" s="14">
        <f>+IF(tabelas!AQ12="","",tabelas!AQ12)</f>
        <v>1996</v>
      </c>
      <c r="Y11" s="14" t="str">
        <f t="shared" si="1"/>
        <v>X</v>
      </c>
      <c r="Z11" s="38">
        <v>7</v>
      </c>
      <c r="AA11" s="14">
        <f t="shared" si="2"/>
        <v>999</v>
      </c>
      <c r="AB11" s="14">
        <f t="shared" si="3"/>
        <v>8</v>
      </c>
      <c r="AC11" s="14">
        <f t="shared" si="4"/>
        <v>1997</v>
      </c>
      <c r="AD11" s="9"/>
      <c r="AE11" s="399" t="s">
        <v>201</v>
      </c>
      <c r="AF11" s="400"/>
    </row>
    <row r="12" spans="1:32" ht="18.95" customHeight="1">
      <c r="A12" s="2"/>
      <c r="B12" s="387" t="s">
        <v>81</v>
      </c>
      <c r="C12" s="387" t="s">
        <v>54</v>
      </c>
      <c r="D12" s="387" t="s">
        <v>17</v>
      </c>
      <c r="E12" s="387" t="s">
        <v>18</v>
      </c>
      <c r="F12" s="387" t="s">
        <v>225</v>
      </c>
      <c r="G12" s="387" t="s">
        <v>191</v>
      </c>
      <c r="H12" s="391" t="s">
        <v>52</v>
      </c>
      <c r="I12" s="392"/>
      <c r="J12" s="397" t="s">
        <v>39</v>
      </c>
      <c r="K12" s="398"/>
      <c r="L12" s="401" t="s">
        <v>38</v>
      </c>
      <c r="M12" s="11"/>
      <c r="N12" s="403" t="s">
        <v>127</v>
      </c>
      <c r="O12" s="9"/>
      <c r="P12" s="9"/>
      <c r="Q12" s="389" t="s">
        <v>47</v>
      </c>
      <c r="R12" s="389"/>
      <c r="S12" s="389"/>
      <c r="T12" s="159">
        <f>IF(DAT_DIST="","",EOMONTH(DAT_DIST,-1)+1)</f>
        <v>37104</v>
      </c>
      <c r="U12" s="13" t="s">
        <v>296</v>
      </c>
      <c r="V12" s="9"/>
      <c r="W12" s="241" t="str">
        <f t="shared" si="0"/>
        <v/>
      </c>
      <c r="X12" s="14">
        <f>+IF(tabelas!AQ13="","",tabelas!AQ13)</f>
        <v>1997</v>
      </c>
      <c r="Y12" s="14" t="str">
        <f t="shared" si="1"/>
        <v/>
      </c>
      <c r="Z12" s="38">
        <v>8</v>
      </c>
      <c r="AA12" s="14">
        <f t="shared" si="2"/>
        <v>8</v>
      </c>
      <c r="AB12" s="14">
        <f t="shared" si="3"/>
        <v>9</v>
      </c>
      <c r="AC12" s="14">
        <f t="shared" si="4"/>
        <v>1998</v>
      </c>
      <c r="AD12" s="9"/>
      <c r="AE12" s="12" t="s">
        <v>43</v>
      </c>
      <c r="AF12" s="38">
        <v>1</v>
      </c>
    </row>
    <row r="13" spans="1:32" ht="15" customHeight="1">
      <c r="A13" s="2"/>
      <c r="B13" s="407"/>
      <c r="C13" s="388"/>
      <c r="D13" s="388"/>
      <c r="E13" s="388"/>
      <c r="F13" s="388"/>
      <c r="G13" s="388"/>
      <c r="H13" s="393"/>
      <c r="I13" s="394"/>
      <c r="J13" s="193" t="s">
        <v>15</v>
      </c>
      <c r="K13" s="193" t="s">
        <v>27</v>
      </c>
      <c r="L13" s="402"/>
      <c r="M13" s="11"/>
      <c r="N13" s="404"/>
      <c r="O13" s="9"/>
      <c r="P13" s="9"/>
      <c r="Q13" s="389" t="s">
        <v>56</v>
      </c>
      <c r="R13" s="389"/>
      <c r="S13" s="389"/>
      <c r="T13" s="159">
        <f>+IF(AND(U13="SIM"),DATE(1999,12,31),DATE(1991,1,1))</f>
        <v>33239</v>
      </c>
      <c r="U13" s="13" t="s">
        <v>35</v>
      </c>
      <c r="V13" s="9"/>
      <c r="W13" s="241" t="str">
        <f t="shared" si="0"/>
        <v/>
      </c>
      <c r="X13" s="14">
        <f>+IF(tabelas!AQ14="","",tabelas!AQ14)</f>
        <v>1998</v>
      </c>
      <c r="Y13" s="14" t="str">
        <f t="shared" si="1"/>
        <v/>
      </c>
      <c r="Z13" s="38">
        <v>9</v>
      </c>
      <c r="AA13" s="14">
        <f t="shared" si="2"/>
        <v>9</v>
      </c>
      <c r="AB13" s="14">
        <f t="shared" si="3"/>
        <v>10</v>
      </c>
      <c r="AC13" s="14">
        <f t="shared" si="4"/>
        <v>1999</v>
      </c>
      <c r="AD13" s="9"/>
      <c r="AE13" s="12" t="s">
        <v>200</v>
      </c>
      <c r="AF13" s="38">
        <v>2</v>
      </c>
    </row>
    <row r="14" spans="1:32" ht="15" customHeight="1">
      <c r="A14" s="2"/>
      <c r="B14" s="24">
        <v>1996</v>
      </c>
      <c r="C14" s="17" t="s">
        <v>53</v>
      </c>
      <c r="D14" s="196">
        <v>40510.26</v>
      </c>
      <c r="E14" s="197">
        <v>13326.62</v>
      </c>
      <c r="F14" s="197"/>
      <c r="G14" s="197"/>
      <c r="H14" s="386">
        <v>2342.81</v>
      </c>
      <c r="I14" s="386"/>
      <c r="J14" s="197">
        <v>673.1</v>
      </c>
      <c r="K14" s="299" t="str">
        <f>+IF(N14="E","",rascunho!AB6)</f>
        <v>PAGAR</v>
      </c>
      <c r="L14" s="300" t="str">
        <f>+IF(N14="E","",rascunho!AE6)</f>
        <v>OK</v>
      </c>
      <c r="M14" s="11"/>
      <c r="N14" s="241" t="str">
        <f t="shared" ref="N14:N31" si="5">+IF(AND(B14&lt;&gt;"",C14&lt;&gt;"",D14&lt;&gt;"",OR(C14="SIMPLIFICADA",E14&lt;&gt;""),H14&lt;&gt;""),"X","E")</f>
        <v>X</v>
      </c>
      <c r="O14" s="9"/>
      <c r="P14" s="9"/>
      <c r="Q14" s="389" t="s">
        <v>58</v>
      </c>
      <c r="R14" s="389"/>
      <c r="S14" s="389"/>
      <c r="T14" s="241" t="str">
        <f>+IF(COD_JCM=3,"NÃO","SIM")</f>
        <v>SIM</v>
      </c>
      <c r="U14" s="13" t="s">
        <v>100</v>
      </c>
      <c r="V14" s="9"/>
      <c r="W14" s="241" t="str">
        <f t="shared" si="0"/>
        <v/>
      </c>
      <c r="X14" s="14">
        <f>+IF(tabelas!AQ15="","",tabelas!AQ15)</f>
        <v>1999</v>
      </c>
      <c r="Y14" s="14" t="str">
        <f t="shared" si="1"/>
        <v/>
      </c>
      <c r="Z14" s="38">
        <v>10</v>
      </c>
      <c r="AA14" s="14">
        <f t="shared" si="2"/>
        <v>10</v>
      </c>
      <c r="AB14" s="14">
        <f t="shared" si="3"/>
        <v>11</v>
      </c>
      <c r="AC14" s="14">
        <f t="shared" si="4"/>
        <v>2000</v>
      </c>
      <c r="AD14" s="9"/>
      <c r="AE14" s="12" t="s">
        <v>199</v>
      </c>
      <c r="AF14" s="38">
        <v>3</v>
      </c>
    </row>
    <row r="15" spans="1:32" ht="15" customHeight="1">
      <c r="A15" s="2"/>
      <c r="B15" s="24">
        <v>2018</v>
      </c>
      <c r="C15" s="17" t="s">
        <v>53</v>
      </c>
      <c r="D15" s="196">
        <v>235766.64</v>
      </c>
      <c r="E15" s="197">
        <v>31982.37</v>
      </c>
      <c r="F15" s="197"/>
      <c r="G15" s="197"/>
      <c r="H15" s="386">
        <v>48700.08</v>
      </c>
      <c r="I15" s="386"/>
      <c r="J15" s="197">
        <v>3091.73</v>
      </c>
      <c r="K15" s="299" t="str">
        <f>+IF(N15="E","",rascunho!AB7)</f>
        <v>RESTITUIR</v>
      </c>
      <c r="L15" s="300" t="str">
        <f>+IF(N15="E","",rascunho!AE7)</f>
        <v>OK</v>
      </c>
      <c r="M15" s="11"/>
      <c r="N15" s="241" t="str">
        <f t="shared" si="5"/>
        <v>X</v>
      </c>
      <c r="O15" s="9"/>
      <c r="P15" s="9"/>
      <c r="Q15" s="389" t="s">
        <v>48</v>
      </c>
      <c r="R15" s="389"/>
      <c r="S15" s="389"/>
      <c r="T15" s="301">
        <f>+IF(DAT_DIST="","",LOOKUP(DAT_DIST,tabelas!D:D,tabelas!E:E)*60)</f>
        <v>10800</v>
      </c>
      <c r="U15" s="13" t="s">
        <v>106</v>
      </c>
      <c r="V15" s="9"/>
      <c r="W15" s="241" t="str">
        <f t="shared" si="0"/>
        <v/>
      </c>
      <c r="X15" s="14">
        <f>+IF(tabelas!AQ16="","",tabelas!AQ16)</f>
        <v>2000</v>
      </c>
      <c r="Y15" s="14" t="str">
        <f t="shared" si="1"/>
        <v/>
      </c>
      <c r="Z15" s="38">
        <v>11</v>
      </c>
      <c r="AA15" s="14">
        <f t="shared" si="2"/>
        <v>11</v>
      </c>
      <c r="AB15" s="14">
        <f t="shared" si="3"/>
        <v>12</v>
      </c>
      <c r="AC15" s="14">
        <f t="shared" si="4"/>
        <v>2001</v>
      </c>
      <c r="AD15" s="9"/>
      <c r="AE15" s="12"/>
      <c r="AF15" s="38"/>
    </row>
    <row r="16" spans="1:32" ht="15" customHeight="1">
      <c r="A16" s="2"/>
      <c r="B16" s="24"/>
      <c r="C16" s="17"/>
      <c r="D16" s="196"/>
      <c r="E16" s="197"/>
      <c r="F16" s="197"/>
      <c r="G16" s="197"/>
      <c r="H16" s="386"/>
      <c r="I16" s="386"/>
      <c r="J16" s="197"/>
      <c r="K16" s="299" t="str">
        <f>+IF(N16="E","",rascunho!AB8)</f>
        <v/>
      </c>
      <c r="L16" s="300" t="str">
        <f>+IF(N16="E","",rascunho!AE8)</f>
        <v/>
      </c>
      <c r="M16" s="11"/>
      <c r="N16" s="241" t="str">
        <f t="shared" si="5"/>
        <v>E</v>
      </c>
      <c r="O16" s="9"/>
      <c r="P16" s="9"/>
      <c r="Q16" s="389" t="s">
        <v>59</v>
      </c>
      <c r="R16" s="389"/>
      <c r="S16" s="389"/>
      <c r="T16" s="159">
        <v>35064</v>
      </c>
      <c r="U16" s="13" t="s">
        <v>120</v>
      </c>
      <c r="V16" s="9"/>
      <c r="W16" s="241" t="str">
        <f t="shared" si="0"/>
        <v/>
      </c>
      <c r="X16" s="14">
        <f>+IF(tabelas!AQ17="","",tabelas!AQ17)</f>
        <v>2001</v>
      </c>
      <c r="Y16" s="14" t="str">
        <f t="shared" si="1"/>
        <v/>
      </c>
      <c r="Z16" s="38">
        <v>12</v>
      </c>
      <c r="AA16" s="14">
        <f t="shared" si="2"/>
        <v>12</v>
      </c>
      <c r="AB16" s="14">
        <f t="shared" si="3"/>
        <v>13</v>
      </c>
      <c r="AC16" s="14">
        <f t="shared" si="4"/>
        <v>2002</v>
      </c>
      <c r="AD16"/>
    </row>
    <row r="17" spans="1:31" ht="15" customHeight="1">
      <c r="A17" s="2"/>
      <c r="B17" s="24"/>
      <c r="C17" s="17"/>
      <c r="D17" s="196"/>
      <c r="E17" s="197"/>
      <c r="F17" s="197"/>
      <c r="G17" s="197"/>
      <c r="H17" s="386"/>
      <c r="I17" s="386"/>
      <c r="J17" s="197"/>
      <c r="K17" s="299" t="str">
        <f>+IF(N17="E","",rascunho!AB9)</f>
        <v/>
      </c>
      <c r="L17" s="300" t="str">
        <f>+IF(N17="E","",rascunho!AE9)</f>
        <v/>
      </c>
      <c r="M17" s="11"/>
      <c r="N17" s="241" t="str">
        <f t="shared" si="5"/>
        <v>E</v>
      </c>
      <c r="O17" s="9"/>
      <c r="P17" s="9"/>
      <c r="Q17" s="389" t="s">
        <v>129</v>
      </c>
      <c r="R17" s="389"/>
      <c r="S17" s="389"/>
      <c r="T17" s="302">
        <f>+IF(ISERR(LARGE(rascunho!EB6:EB23,1))=TRUE,"",LARGE(rascunho!EB6:EB23,1))</f>
        <v>43586</v>
      </c>
      <c r="U17" s="13"/>
      <c r="V17" s="9"/>
      <c r="W17" s="241" t="str">
        <f t="shared" si="0"/>
        <v/>
      </c>
      <c r="X17" s="14">
        <f>+IF(tabelas!AQ18="","",tabelas!AQ18)</f>
        <v>2002</v>
      </c>
      <c r="Y17" s="14" t="str">
        <f t="shared" si="1"/>
        <v/>
      </c>
      <c r="Z17" s="38">
        <v>13</v>
      </c>
      <c r="AA17" s="14">
        <f t="shared" si="2"/>
        <v>13</v>
      </c>
      <c r="AB17" s="14">
        <f t="shared" si="3"/>
        <v>14</v>
      </c>
      <c r="AC17" s="14">
        <f t="shared" si="4"/>
        <v>2003</v>
      </c>
      <c r="AD17"/>
    </row>
    <row r="18" spans="1:31" ht="15" customHeight="1">
      <c r="A18" s="2"/>
      <c r="B18" s="24"/>
      <c r="C18" s="17"/>
      <c r="D18" s="196"/>
      <c r="E18" s="197"/>
      <c r="F18" s="197"/>
      <c r="G18" s="197"/>
      <c r="H18" s="386"/>
      <c r="I18" s="386"/>
      <c r="J18" s="197"/>
      <c r="K18" s="299" t="str">
        <f>+IF(N18="E","",rascunho!AB10)</f>
        <v/>
      </c>
      <c r="L18" s="300" t="str">
        <f>+IF(N18="E","",rascunho!AE10)</f>
        <v/>
      </c>
      <c r="M18" s="11"/>
      <c r="N18" s="241" t="str">
        <f t="shared" si="5"/>
        <v>E</v>
      </c>
      <c r="O18" s="9"/>
      <c r="P18" s="9"/>
      <c r="Q18" s="389" t="s">
        <v>130</v>
      </c>
      <c r="R18" s="389"/>
      <c r="S18" s="389"/>
      <c r="T18" s="302" t="str">
        <f ca="1">+IF(T17="","",IF(T17&gt;DAT_FIM,"SIM","NÃO"))</f>
        <v>NÃO</v>
      </c>
      <c r="U18" s="13" t="s">
        <v>121</v>
      </c>
      <c r="V18" s="9"/>
      <c r="W18" s="241" t="str">
        <f t="shared" si="0"/>
        <v/>
      </c>
      <c r="X18" s="14">
        <f>+IF(tabelas!AQ19="","",tabelas!AQ19)</f>
        <v>2003</v>
      </c>
      <c r="Y18" s="14" t="str">
        <f t="shared" si="1"/>
        <v/>
      </c>
      <c r="Z18" s="38">
        <v>14</v>
      </c>
      <c r="AA18" s="14">
        <f t="shared" si="2"/>
        <v>14</v>
      </c>
      <c r="AB18" s="14">
        <f t="shared" si="3"/>
        <v>15</v>
      </c>
      <c r="AC18" s="14">
        <f t="shared" si="4"/>
        <v>2004</v>
      </c>
      <c r="AD18"/>
    </row>
    <row r="19" spans="1:31" ht="15" customHeight="1">
      <c r="A19" s="2"/>
      <c r="B19" s="24"/>
      <c r="C19" s="17"/>
      <c r="D19" s="196"/>
      <c r="E19" s="197"/>
      <c r="F19" s="197"/>
      <c r="G19" s="197"/>
      <c r="H19" s="386"/>
      <c r="I19" s="386"/>
      <c r="J19" s="197"/>
      <c r="K19" s="299" t="str">
        <f>+IF(N19="E","",rascunho!AB11)</f>
        <v/>
      </c>
      <c r="L19" s="300" t="str">
        <f>+IF(N19="E","",rascunho!AE11)</f>
        <v/>
      </c>
      <c r="M19" s="11"/>
      <c r="N19" s="241" t="str">
        <f t="shared" si="5"/>
        <v>E</v>
      </c>
      <c r="O19" s="9"/>
      <c r="P19" s="9"/>
      <c r="Q19" s="9"/>
      <c r="R19" s="9"/>
      <c r="S19" s="9"/>
      <c r="T19" s="9"/>
      <c r="U19" s="9"/>
      <c r="V19" s="9"/>
      <c r="W19" s="241" t="str">
        <f t="shared" si="0"/>
        <v/>
      </c>
      <c r="X19" s="14">
        <f>+IF(tabelas!AQ20="","",tabelas!AQ20)</f>
        <v>2004</v>
      </c>
      <c r="Y19" s="14" t="str">
        <f t="shared" si="1"/>
        <v/>
      </c>
      <c r="Z19" s="38">
        <v>15</v>
      </c>
      <c r="AA19" s="14">
        <f t="shared" si="2"/>
        <v>15</v>
      </c>
      <c r="AB19" s="14">
        <f t="shared" si="3"/>
        <v>16</v>
      </c>
      <c r="AC19" s="14">
        <f t="shared" si="4"/>
        <v>2005</v>
      </c>
      <c r="AD19"/>
    </row>
    <row r="20" spans="1:31" ht="15" customHeight="1">
      <c r="A20" s="2"/>
      <c r="B20" s="24"/>
      <c r="C20" s="17"/>
      <c r="D20" s="196"/>
      <c r="E20" s="197"/>
      <c r="F20" s="197"/>
      <c r="G20" s="197"/>
      <c r="H20" s="386"/>
      <c r="I20" s="386"/>
      <c r="J20" s="197"/>
      <c r="K20" s="299" t="str">
        <f>+IF(N20="E","",rascunho!AB12)</f>
        <v/>
      </c>
      <c r="L20" s="300" t="str">
        <f>+IF(N20="E","",rascunho!AE12)</f>
        <v/>
      </c>
      <c r="M20" s="11"/>
      <c r="N20" s="241" t="str">
        <f t="shared" si="5"/>
        <v>E</v>
      </c>
      <c r="O20" s="9"/>
      <c r="P20" s="9"/>
      <c r="Q20" s="390" t="s">
        <v>218</v>
      </c>
      <c r="R20" s="390"/>
      <c r="S20" s="390"/>
      <c r="T20" s="390"/>
      <c r="U20" s="390"/>
      <c r="V20" s="9"/>
      <c r="W20" s="241" t="str">
        <f t="shared" si="0"/>
        <v/>
      </c>
      <c r="X20" s="14">
        <f>+IF(tabelas!AQ21="","",tabelas!AQ21)</f>
        <v>2005</v>
      </c>
      <c r="Y20" s="14" t="str">
        <f t="shared" si="1"/>
        <v/>
      </c>
      <c r="Z20" s="38">
        <v>16</v>
      </c>
      <c r="AA20" s="14">
        <f t="shared" si="2"/>
        <v>16</v>
      </c>
      <c r="AB20" s="14">
        <f t="shared" si="3"/>
        <v>17</v>
      </c>
      <c r="AC20" s="14">
        <f t="shared" si="4"/>
        <v>2006</v>
      </c>
      <c r="AD20"/>
    </row>
    <row r="21" spans="1:31" ht="15" customHeight="1">
      <c r="A21" s="2"/>
      <c r="B21" s="24"/>
      <c r="C21" s="17"/>
      <c r="D21" s="196"/>
      <c r="E21" s="197"/>
      <c r="F21" s="197"/>
      <c r="G21" s="197"/>
      <c r="H21" s="386"/>
      <c r="I21" s="386"/>
      <c r="J21" s="197"/>
      <c r="K21" s="299" t="str">
        <f>+IF(N21="E","",rascunho!AB13)</f>
        <v/>
      </c>
      <c r="L21" s="300" t="str">
        <f>+IF(N21="E","",rascunho!AE13)</f>
        <v/>
      </c>
      <c r="M21" s="11"/>
      <c r="N21" s="241" t="str">
        <f t="shared" si="5"/>
        <v>E</v>
      </c>
      <c r="O21" s="9"/>
      <c r="P21" s="9"/>
      <c r="Q21" s="383" t="str">
        <f>+IF(COD_JCM=3,"- Cálculo sem aplicação de juros de mora.","")</f>
        <v/>
      </c>
      <c r="R21" s="384"/>
      <c r="S21" s="384"/>
      <c r="T21" s="384"/>
      <c r="U21" s="385"/>
      <c r="V21" s="9"/>
      <c r="W21" s="241" t="str">
        <f t="shared" si="0"/>
        <v/>
      </c>
      <c r="X21" s="14">
        <f>+IF(tabelas!AQ22="","",tabelas!AQ22)</f>
        <v>2006</v>
      </c>
      <c r="Y21" s="14" t="str">
        <f t="shared" si="1"/>
        <v/>
      </c>
      <c r="Z21" s="38">
        <v>17</v>
      </c>
      <c r="AA21" s="14">
        <f t="shared" si="2"/>
        <v>17</v>
      </c>
      <c r="AB21" s="14">
        <f t="shared" si="3"/>
        <v>18</v>
      </c>
      <c r="AC21" s="14">
        <f t="shared" si="4"/>
        <v>2007</v>
      </c>
      <c r="AD21"/>
    </row>
    <row r="22" spans="1:31" ht="15" customHeight="1">
      <c r="A22" s="2"/>
      <c r="B22" s="24"/>
      <c r="C22" s="17"/>
      <c r="D22" s="196"/>
      <c r="E22" s="197"/>
      <c r="F22" s="197"/>
      <c r="G22" s="197"/>
      <c r="H22" s="386"/>
      <c r="I22" s="386"/>
      <c r="J22" s="197"/>
      <c r="K22" s="299" t="str">
        <f>+IF(N22="E","",rascunho!AB14)</f>
        <v/>
      </c>
      <c r="L22" s="300" t="str">
        <f>+IF(N22="E","",rascunho!AE14)</f>
        <v/>
      </c>
      <c r="M22" s="11"/>
      <c r="N22" s="241" t="str">
        <f t="shared" si="5"/>
        <v>E</v>
      </c>
      <c r="O22" s="9"/>
      <c r="P22" s="9"/>
      <c r="Q22" s="383" t="str">
        <f ca="1">+IF(COD_JCM=1,CONCATENATE("- Juros de mora: 1% a.m. simples (03/1991-12/1995), SELIC(01/1996-",IF(AND(YEAR(DAT_FIM)=YEAR(VDT_TETO),MONTH(DAT_FIM)=MONTH(VDT_TETO)),CONCATENATE(TEXT(EDATE(DAT_FIM,-1),"mm/aaaa"),")","; 1% (",TEXT(DAT_FIM,"mm/aaaa"),")"),CONCATENATE(TEXT(DAT_FIM,"mm/aaaa"),")"))),"")</f>
        <v>- Juros de mora: 1% a.m. simples (03/1991-12/1995), SELIC(01/1996-08/2026)</v>
      </c>
      <c r="R22" s="384"/>
      <c r="S22" s="384"/>
      <c r="T22" s="384"/>
      <c r="U22" s="385"/>
      <c r="V22" s="9"/>
      <c r="W22" s="241" t="str">
        <f t="shared" si="0"/>
        <v/>
      </c>
      <c r="X22" s="14">
        <f>+IF(tabelas!AQ23="","",tabelas!AQ23)</f>
        <v>2007</v>
      </c>
      <c r="Y22" s="14" t="str">
        <f t="shared" si="1"/>
        <v/>
      </c>
      <c r="Z22" s="38">
        <v>18</v>
      </c>
      <c r="AA22" s="14">
        <f t="shared" si="2"/>
        <v>18</v>
      </c>
      <c r="AB22" s="14">
        <f t="shared" si="3"/>
        <v>19</v>
      </c>
      <c r="AC22" s="14">
        <f t="shared" si="4"/>
        <v>2008</v>
      </c>
      <c r="AD22"/>
    </row>
    <row r="23" spans="1:31" ht="15" customHeight="1">
      <c r="A23" s="2"/>
      <c r="B23" s="24"/>
      <c r="C23" s="17"/>
      <c r="D23" s="196"/>
      <c r="E23" s="197"/>
      <c r="F23" s="197"/>
      <c r="G23" s="197"/>
      <c r="H23" s="386"/>
      <c r="I23" s="386"/>
      <c r="J23" s="197"/>
      <c r="K23" s="299" t="str">
        <f>+IF(N23="E","",rascunho!AB15)</f>
        <v/>
      </c>
      <c r="L23" s="300" t="str">
        <f>+IF(N23="E","",rascunho!AE15)</f>
        <v/>
      </c>
      <c r="M23" s="11"/>
      <c r="N23" s="241" t="str">
        <f t="shared" si="5"/>
        <v>E</v>
      </c>
      <c r="O23" s="9"/>
      <c r="P23" s="9"/>
      <c r="Q23" s="383" t="str">
        <f>+IF(COD_JCM=2,"- Juros de mora: 1% a.m. simples (03/1991-12/1995), SELIC(01/1996-6/2009) e após juros remuneratórios da poupança","")</f>
        <v/>
      </c>
      <c r="R23" s="384"/>
      <c r="S23" s="384"/>
      <c r="T23" s="384"/>
      <c r="U23" s="385"/>
      <c r="V23" s="9"/>
      <c r="W23" s="333"/>
      <c r="X23" s="14">
        <f>+IF(tabelas!AQ24="","",tabelas!AQ24)</f>
        <v>2008</v>
      </c>
      <c r="Y23" s="14" t="str">
        <f t="shared" si="1"/>
        <v/>
      </c>
      <c r="Z23" s="38">
        <v>19</v>
      </c>
      <c r="AA23" s="14">
        <f t="shared" si="2"/>
        <v>19</v>
      </c>
      <c r="AB23" s="14">
        <f t="shared" si="3"/>
        <v>20</v>
      </c>
      <c r="AC23" s="14">
        <f t="shared" si="4"/>
        <v>2009</v>
      </c>
      <c r="AD23"/>
    </row>
    <row r="24" spans="1:31" ht="15" customHeight="1">
      <c r="A24" s="2"/>
      <c r="B24" s="24"/>
      <c r="C24" s="17"/>
      <c r="D24" s="196"/>
      <c r="E24" s="197"/>
      <c r="F24" s="197"/>
      <c r="G24" s="197"/>
      <c r="H24" s="386"/>
      <c r="I24" s="386"/>
      <c r="J24" s="197"/>
      <c r="K24" s="299" t="str">
        <f>+IF(N24="E","",rascunho!AB16)</f>
        <v/>
      </c>
      <c r="L24" s="300" t="str">
        <f>+IF(N24="E","",rascunho!AE16)</f>
        <v/>
      </c>
      <c r="M24" s="11"/>
      <c r="N24" s="241" t="str">
        <f t="shared" si="5"/>
        <v>E</v>
      </c>
      <c r="O24" s="9"/>
      <c r="P24" s="9"/>
      <c r="Q24" s="383" t="str">
        <f ca="1">+CONCATENATE(Q21,Q22,Q23)</f>
        <v>- Juros de mora: 1% a.m. simples (03/1991-12/1995), SELIC(01/1996-08/2026)</v>
      </c>
      <c r="R24" s="384"/>
      <c r="S24" s="384"/>
      <c r="T24" s="384"/>
      <c r="U24" s="385"/>
      <c r="V24" s="9"/>
      <c r="W24" s="9"/>
      <c r="X24" s="14">
        <f>+IF(tabelas!AQ25="","",tabelas!AQ25)</f>
        <v>2009</v>
      </c>
      <c r="Y24" s="14" t="str">
        <f t="shared" si="1"/>
        <v/>
      </c>
      <c r="Z24" s="38">
        <v>20</v>
      </c>
      <c r="AA24" s="14">
        <f t="shared" si="2"/>
        <v>20</v>
      </c>
      <c r="AB24" s="14">
        <f t="shared" si="3"/>
        <v>21</v>
      </c>
      <c r="AC24" s="14">
        <f t="shared" si="4"/>
        <v>2010</v>
      </c>
      <c r="AD24"/>
    </row>
    <row r="25" spans="1:31" ht="15" customHeight="1">
      <c r="A25" s="2"/>
      <c r="B25" s="24"/>
      <c r="C25" s="17"/>
      <c r="D25" s="196"/>
      <c r="E25" s="197"/>
      <c r="F25" s="197"/>
      <c r="G25" s="197"/>
      <c r="H25" s="386"/>
      <c r="I25" s="386"/>
      <c r="J25" s="197"/>
      <c r="K25" s="299" t="str">
        <f>+IF(N25="E","",rascunho!AB17)</f>
        <v/>
      </c>
      <c r="L25" s="300" t="str">
        <f>+IF(N25="E","",rascunho!AE17)</f>
        <v/>
      </c>
      <c r="M25" s="11"/>
      <c r="N25" s="241" t="str">
        <f t="shared" si="5"/>
        <v>E</v>
      </c>
      <c r="O25" s="9"/>
      <c r="P25" s="9"/>
      <c r="Q25" s="9"/>
      <c r="R25" s="9"/>
      <c r="S25" s="9"/>
      <c r="T25" s="9"/>
      <c r="U25" s="9"/>
      <c r="V25" s="9"/>
      <c r="W25" s="9"/>
      <c r="X25" s="14">
        <f>+IF(tabelas!AQ26="","",tabelas!AQ26)</f>
        <v>2010</v>
      </c>
      <c r="Y25" s="14" t="str">
        <f t="shared" si="1"/>
        <v/>
      </c>
      <c r="Z25" s="38">
        <v>21</v>
      </c>
      <c r="AA25" s="14">
        <f t="shared" si="2"/>
        <v>21</v>
      </c>
      <c r="AB25" s="14">
        <f t="shared" si="3"/>
        <v>22</v>
      </c>
      <c r="AC25" s="14">
        <f t="shared" si="4"/>
        <v>2011</v>
      </c>
      <c r="AD25"/>
    </row>
    <row r="26" spans="1:31" ht="15" customHeight="1">
      <c r="A26" s="2"/>
      <c r="B26" s="24"/>
      <c r="C26" s="17"/>
      <c r="D26" s="196"/>
      <c r="E26" s="197"/>
      <c r="F26" s="197"/>
      <c r="G26" s="197"/>
      <c r="H26" s="386"/>
      <c r="I26" s="386"/>
      <c r="J26" s="197"/>
      <c r="K26" s="299" t="str">
        <f>+IF(N26="E","",rascunho!AB18)</f>
        <v/>
      </c>
      <c r="L26" s="300" t="str">
        <f>+IF(N26="E","",rascunho!AE18)</f>
        <v/>
      </c>
      <c r="M26" s="11"/>
      <c r="N26" s="241" t="str">
        <f t="shared" si="5"/>
        <v>E</v>
      </c>
      <c r="O26" s="9"/>
      <c r="P26" s="9"/>
      <c r="Q26" s="390" t="s">
        <v>219</v>
      </c>
      <c r="R26" s="390"/>
      <c r="S26" s="390"/>
      <c r="T26" s="390"/>
      <c r="U26" s="390"/>
      <c r="V26" s="9"/>
      <c r="W26" s="9"/>
      <c r="X26" s="14">
        <f>+IF(tabelas!AQ27="","",tabelas!AQ27)</f>
        <v>2011</v>
      </c>
      <c r="Y26" s="14" t="str">
        <f t="shared" si="1"/>
        <v/>
      </c>
      <c r="Z26" s="38">
        <v>22</v>
      </c>
      <c r="AA26" s="14">
        <f t="shared" si="2"/>
        <v>22</v>
      </c>
      <c r="AB26" s="14">
        <f t="shared" si="3"/>
        <v>23</v>
      </c>
      <c r="AC26" s="14">
        <f t="shared" si="4"/>
        <v>2012</v>
      </c>
      <c r="AD26"/>
    </row>
    <row r="27" spans="1:31" ht="15" customHeight="1">
      <c r="A27" s="2"/>
      <c r="B27" s="24"/>
      <c r="C27" s="17"/>
      <c r="D27" s="196"/>
      <c r="E27" s="197"/>
      <c r="F27" s="197"/>
      <c r="G27" s="197"/>
      <c r="H27" s="386"/>
      <c r="I27" s="386"/>
      <c r="J27" s="197"/>
      <c r="K27" s="299" t="str">
        <f>+IF(N27="E","",rascunho!AB19)</f>
        <v/>
      </c>
      <c r="L27" s="300" t="str">
        <f>+IF(N27="E","",rascunho!AE19)</f>
        <v/>
      </c>
      <c r="M27" s="11"/>
      <c r="N27" s="241" t="str">
        <f t="shared" si="5"/>
        <v>E</v>
      </c>
      <c r="O27" s="9"/>
      <c r="P27" s="9"/>
      <c r="Q27" s="383" t="str">
        <f>+IF(COD_JCM=3,"- Cálculo sem aplicação de correção monetária.","")</f>
        <v/>
      </c>
      <c r="R27" s="384"/>
      <c r="S27" s="384"/>
      <c r="T27" s="384"/>
      <c r="U27" s="385"/>
      <c r="V27" s="334" t="s">
        <v>281</v>
      </c>
      <c r="W27" s="9"/>
      <c r="X27" s="14">
        <f>+IF(tabelas!AQ28="","",tabelas!AQ28)</f>
        <v>2012</v>
      </c>
      <c r="Y27" s="14" t="str">
        <f t="shared" si="1"/>
        <v/>
      </c>
      <c r="Z27" s="38">
        <v>23</v>
      </c>
      <c r="AA27" s="14">
        <f t="shared" si="2"/>
        <v>23</v>
      </c>
      <c r="AB27" s="14">
        <f t="shared" si="3"/>
        <v>24</v>
      </c>
      <c r="AC27" s="14">
        <f t="shared" si="4"/>
        <v>2013</v>
      </c>
      <c r="AD27"/>
    </row>
    <row r="28" spans="1:31" ht="15" customHeight="1">
      <c r="A28" s="2"/>
      <c r="B28" s="24"/>
      <c r="C28" s="17"/>
      <c r="D28" s="196"/>
      <c r="E28" s="197"/>
      <c r="F28" s="197"/>
      <c r="G28" s="197"/>
      <c r="H28" s="386"/>
      <c r="I28" s="386"/>
      <c r="J28" s="197"/>
      <c r="K28" s="299" t="str">
        <f>+IF(N28="E","",rascunho!AB20)</f>
        <v/>
      </c>
      <c r="L28" s="300" t="str">
        <f>+IF(N28="E","",rascunho!AE20)</f>
        <v/>
      </c>
      <c r="M28" s="11"/>
      <c r="N28" s="241" t="str">
        <f t="shared" si="5"/>
        <v>E</v>
      </c>
      <c r="O28" s="9"/>
      <c r="P28" s="9"/>
      <c r="Q28" s="383" t="str">
        <f>+IF(COD_JCM=1,"- Correção monetária pela variação mensal do: INPC(03/1991-11/1991), IPCA(12/1991), UFIR(01/1992-01/1996)","")</f>
        <v>- Correção monetária pela variação mensal do: INPC(03/1991-11/1991), IPCA(12/1991), UFIR(01/1992-01/1996)</v>
      </c>
      <c r="R28" s="384"/>
      <c r="S28" s="384"/>
      <c r="T28" s="384"/>
      <c r="U28" s="385"/>
      <c r="V28" s="9"/>
      <c r="W28" s="9"/>
      <c r="X28" s="14">
        <f>+IF(tabelas!AQ29="","",tabelas!AQ29)</f>
        <v>2013</v>
      </c>
      <c r="Y28" s="14" t="str">
        <f t="shared" si="1"/>
        <v/>
      </c>
      <c r="Z28" s="38">
        <v>24</v>
      </c>
      <c r="AA28" s="14">
        <f t="shared" si="2"/>
        <v>24</v>
      </c>
      <c r="AB28" s="14">
        <f t="shared" si="3"/>
        <v>25</v>
      </c>
      <c r="AC28" s="14">
        <f t="shared" si="4"/>
        <v>2014</v>
      </c>
      <c r="AD28" s="11"/>
    </row>
    <row r="29" spans="1:31" ht="15" customHeight="1">
      <c r="A29" s="2"/>
      <c r="B29" s="24"/>
      <c r="C29" s="17"/>
      <c r="D29" s="196"/>
      <c r="E29" s="197"/>
      <c r="F29" s="197"/>
      <c r="G29" s="197"/>
      <c r="H29" s="386"/>
      <c r="I29" s="386"/>
      <c r="J29" s="197"/>
      <c r="K29" s="299" t="str">
        <f>+IF(N29="E","",rascunho!AB21)</f>
        <v/>
      </c>
      <c r="L29" s="300" t="str">
        <f>+IF(N29="E","",rascunho!AE21)</f>
        <v/>
      </c>
      <c r="M29" s="11"/>
      <c r="N29" s="241" t="str">
        <f t="shared" si="5"/>
        <v>E</v>
      </c>
      <c r="O29" s="9"/>
      <c r="P29" s="9"/>
      <c r="Q29" s="383" t="str">
        <f>+IF(COD_JCM=2,"- TR a partir de 07/2009","")</f>
        <v/>
      </c>
      <c r="R29" s="384"/>
      <c r="S29" s="384"/>
      <c r="T29" s="384"/>
      <c r="U29" s="385"/>
      <c r="V29" s="9"/>
      <c r="W29" s="9"/>
      <c r="X29" s="14">
        <f>+IF(tabelas!AQ30="","",tabelas!AQ30)</f>
        <v>2014</v>
      </c>
      <c r="Y29" s="14" t="str">
        <f t="shared" si="1"/>
        <v/>
      </c>
      <c r="Z29" s="38">
        <v>25</v>
      </c>
      <c r="AA29" s="14">
        <f t="shared" si="2"/>
        <v>25</v>
      </c>
      <c r="AB29" s="14">
        <f t="shared" si="3"/>
        <v>26</v>
      </c>
      <c r="AC29" s="14">
        <f t="shared" si="4"/>
        <v>2015</v>
      </c>
      <c r="AD29"/>
    </row>
    <row r="30" spans="1:31" ht="15" customHeight="1">
      <c r="A30" s="2"/>
      <c r="B30" s="24"/>
      <c r="C30" s="17"/>
      <c r="D30" s="196"/>
      <c r="E30" s="197"/>
      <c r="F30" s="197"/>
      <c r="G30" s="197"/>
      <c r="H30" s="386"/>
      <c r="I30" s="386"/>
      <c r="J30" s="197"/>
      <c r="K30" s="299" t="str">
        <f>+IF(N30="E","",rascunho!AB22)</f>
        <v/>
      </c>
      <c r="L30" s="300" t="str">
        <f>+IF(N30="E","",rascunho!AE22)</f>
        <v/>
      </c>
      <c r="M30" s="11"/>
      <c r="N30" s="241" t="str">
        <f t="shared" si="5"/>
        <v>E</v>
      </c>
      <c r="O30" s="9"/>
      <c r="P30" s="9"/>
      <c r="Q30" s="383" t="str">
        <f>+CONCATENATE(Q27,Q28,Q29)</f>
        <v>- Correção monetária pela variação mensal do: INPC(03/1991-11/1991), IPCA(12/1991), UFIR(01/1992-01/1996)</v>
      </c>
      <c r="R30" s="384"/>
      <c r="S30" s="384"/>
      <c r="T30" s="384"/>
      <c r="U30" s="385"/>
      <c r="V30" s="9"/>
      <c r="W30" s="9"/>
      <c r="X30" s="14">
        <f>+IF(tabelas!AQ31="","",tabelas!AQ31)</f>
        <v>2015</v>
      </c>
      <c r="Y30" s="14" t="str">
        <f t="shared" si="1"/>
        <v/>
      </c>
      <c r="Z30" s="38">
        <v>26</v>
      </c>
      <c r="AA30" s="14">
        <f t="shared" si="2"/>
        <v>26</v>
      </c>
      <c r="AB30" s="14">
        <f t="shared" si="3"/>
        <v>27</v>
      </c>
      <c r="AC30" s="14">
        <f t="shared" si="4"/>
        <v>2016</v>
      </c>
      <c r="AD30"/>
      <c r="AE30" s="11"/>
    </row>
    <row r="31" spans="1:31" ht="15" customHeight="1">
      <c r="A31" s="2"/>
      <c r="B31" s="24"/>
      <c r="C31" s="17"/>
      <c r="D31" s="196"/>
      <c r="E31" s="197"/>
      <c r="F31" s="197"/>
      <c r="G31" s="197"/>
      <c r="H31" s="386"/>
      <c r="I31" s="386"/>
      <c r="J31" s="197"/>
      <c r="K31" s="299" t="str">
        <f>+IF(N31="E","",rascunho!AB23)</f>
        <v/>
      </c>
      <c r="L31" s="300" t="str">
        <f>+IF(N31="E","",rascunho!AE23)</f>
        <v/>
      </c>
      <c r="M31" s="11"/>
      <c r="N31" s="241" t="str">
        <f t="shared" si="5"/>
        <v>E</v>
      </c>
      <c r="O31" s="9"/>
      <c r="X31" s="14">
        <f>+IF(tabelas!AQ32="","",tabelas!AQ32)</f>
        <v>2016</v>
      </c>
      <c r="Y31" s="14" t="str">
        <f t="shared" si="1"/>
        <v/>
      </c>
      <c r="Z31" s="38">
        <v>27</v>
      </c>
      <c r="AA31" s="14">
        <f t="shared" si="2"/>
        <v>27</v>
      </c>
      <c r="AB31" s="14">
        <f t="shared" si="3"/>
        <v>28</v>
      </c>
      <c r="AC31" s="14">
        <f t="shared" si="4"/>
        <v>2017</v>
      </c>
      <c r="AD31"/>
    </row>
    <row r="32" spans="1:31" ht="9.9499999999999993" customHeight="1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9"/>
      <c r="O32" s="9"/>
      <c r="X32" s="14">
        <f>+IF(tabelas!AQ33="","",tabelas!AQ33)</f>
        <v>2017</v>
      </c>
      <c r="Y32" s="14" t="str">
        <f t="shared" si="1"/>
        <v/>
      </c>
      <c r="Z32" s="38">
        <v>28</v>
      </c>
      <c r="AA32" s="14">
        <f t="shared" si="2"/>
        <v>28</v>
      </c>
      <c r="AB32" s="14">
        <f t="shared" si="3"/>
        <v>30</v>
      </c>
      <c r="AC32" s="14">
        <f t="shared" si="4"/>
        <v>2019</v>
      </c>
      <c r="AD32"/>
    </row>
    <row r="33" spans="1:31" s="11" customFormat="1" ht="15" customHeight="1">
      <c r="A33" s="2"/>
      <c r="B33" s="380" t="s">
        <v>131</v>
      </c>
      <c r="C33" s="381"/>
      <c r="D33" s="381"/>
      <c r="E33" s="381"/>
      <c r="F33" s="381"/>
      <c r="G33" s="381"/>
      <c r="H33" s="381"/>
      <c r="I33" s="381"/>
      <c r="J33" s="381"/>
      <c r="K33" s="381"/>
      <c r="L33" s="382"/>
      <c r="N33" s="8"/>
      <c r="O33" s="8"/>
      <c r="P33" s="2"/>
      <c r="Q33" s="406" t="s">
        <v>275</v>
      </c>
      <c r="R33" s="406"/>
      <c r="S33" s="406"/>
      <c r="T33" s="373" t="s">
        <v>43</v>
      </c>
      <c r="U33" s="2"/>
      <c r="V33" s="2"/>
      <c r="W33" s="2"/>
      <c r="X33" s="14">
        <f>+IF(tabelas!AQ34="","",tabelas!AQ34)</f>
        <v>2018</v>
      </c>
      <c r="Y33" s="14" t="str">
        <f t="shared" si="1"/>
        <v>X</v>
      </c>
      <c r="Z33" s="38">
        <v>29</v>
      </c>
      <c r="AA33" s="14">
        <f t="shared" si="2"/>
        <v>999</v>
      </c>
      <c r="AB33" s="14">
        <f t="shared" si="3"/>
        <v>31</v>
      </c>
      <c r="AC33" s="14">
        <f t="shared" si="4"/>
        <v>2020</v>
      </c>
      <c r="AD33"/>
      <c r="AE33"/>
    </row>
    <row r="34" spans="1:31" ht="15" customHeight="1">
      <c r="A34" s="2"/>
      <c r="B34" s="395" t="s">
        <v>16</v>
      </c>
      <c r="C34" s="395" t="s">
        <v>41</v>
      </c>
      <c r="D34" s="397" t="s">
        <v>76</v>
      </c>
      <c r="E34" s="398"/>
      <c r="F34" s="374" t="s">
        <v>22</v>
      </c>
      <c r="G34" s="375"/>
      <c r="H34" s="375"/>
      <c r="I34" s="375"/>
      <c r="J34" s="375"/>
      <c r="K34" s="376"/>
      <c r="L34" s="390" t="s">
        <v>38</v>
      </c>
      <c r="M34" s="11"/>
      <c r="N34" s="8"/>
      <c r="O34" s="8"/>
      <c r="Q34" s="406" t="s">
        <v>276</v>
      </c>
      <c r="R34" s="406"/>
      <c r="S34" s="406"/>
      <c r="T34" s="372" t="s">
        <v>35</v>
      </c>
      <c r="X34" s="14">
        <f>+IF(tabelas!AQ35="","",tabelas!AQ35)</f>
        <v>2019</v>
      </c>
      <c r="Y34" s="14" t="str">
        <f t="shared" si="1"/>
        <v/>
      </c>
      <c r="Z34" s="38">
        <v>30</v>
      </c>
      <c r="AA34" s="14">
        <f t="shared" si="2"/>
        <v>30</v>
      </c>
      <c r="AB34" s="14">
        <f t="shared" si="3"/>
        <v>32</v>
      </c>
      <c r="AC34" s="14">
        <f t="shared" si="4"/>
        <v>2021</v>
      </c>
      <c r="AD34"/>
    </row>
    <row r="35" spans="1:31" ht="15" customHeight="1">
      <c r="A35" s="2"/>
      <c r="B35" s="396"/>
      <c r="C35" s="396"/>
      <c r="D35" s="194" t="s">
        <v>77</v>
      </c>
      <c r="E35" s="194" t="s">
        <v>78</v>
      </c>
      <c r="F35" s="377"/>
      <c r="G35" s="378"/>
      <c r="H35" s="378"/>
      <c r="I35" s="378"/>
      <c r="J35" s="378"/>
      <c r="K35" s="379"/>
      <c r="L35" s="390"/>
      <c r="M35" s="11"/>
      <c r="N35" s="8"/>
      <c r="O35" s="27" t="s">
        <v>123</v>
      </c>
      <c r="X35" s="14">
        <f>+IF(tabelas!AQ36="","",tabelas!AQ36)</f>
        <v>2020</v>
      </c>
      <c r="Y35" s="14" t="str">
        <f t="shared" si="1"/>
        <v/>
      </c>
      <c r="Z35" s="38">
        <v>31</v>
      </c>
      <c r="AA35" s="14">
        <f t="shared" si="2"/>
        <v>31</v>
      </c>
      <c r="AB35" s="14">
        <f t="shared" si="3"/>
        <v>33</v>
      </c>
      <c r="AC35" s="14">
        <f t="shared" si="4"/>
        <v>2022</v>
      </c>
      <c r="AD35"/>
    </row>
    <row r="36" spans="1:31" ht="15" customHeight="1">
      <c r="A36" s="2"/>
      <c r="B36" s="15">
        <v>35430</v>
      </c>
      <c r="C36" s="16"/>
      <c r="D36" s="25">
        <v>6309.91</v>
      </c>
      <c r="E36" s="25"/>
      <c r="F36" s="295"/>
      <c r="G36" s="296"/>
      <c r="H36" s="296"/>
      <c r="I36" s="296"/>
      <c r="J36" s="296"/>
      <c r="K36" s="297"/>
      <c r="L36" s="303" t="str">
        <f>+IF(B36="","",IF(LOOKUP(O36,rascunho!CK:CK)=O36,"","S/DECL"))</f>
        <v/>
      </c>
      <c r="M36" s="11"/>
      <c r="N36" s="8"/>
      <c r="O36" s="241">
        <f t="shared" ref="O36:O67" si="6">+IF(B36="","",YEAR(B36))</f>
        <v>1996</v>
      </c>
      <c r="X36" s="14">
        <f>+IF(tabelas!AQ37="","",tabelas!AQ37)</f>
        <v>2021</v>
      </c>
      <c r="Y36" s="14" t="str">
        <f t="shared" si="1"/>
        <v/>
      </c>
      <c r="Z36" s="38">
        <v>32</v>
      </c>
      <c r="AA36" s="14">
        <f t="shared" si="2"/>
        <v>32</v>
      </c>
      <c r="AB36" s="14">
        <f t="shared" si="3"/>
        <v>34</v>
      </c>
      <c r="AC36" s="14">
        <f t="shared" si="4"/>
        <v>2023</v>
      </c>
      <c r="AD36"/>
    </row>
    <row r="37" spans="1:31" ht="15" customHeight="1">
      <c r="A37" s="2"/>
      <c r="B37" s="15">
        <v>43830</v>
      </c>
      <c r="C37" s="16"/>
      <c r="D37" s="25">
        <v>134354.69</v>
      </c>
      <c r="E37" s="25"/>
      <c r="F37" s="295"/>
      <c r="G37" s="296"/>
      <c r="H37" s="296"/>
      <c r="I37" s="296"/>
      <c r="J37" s="296"/>
      <c r="K37" s="297"/>
      <c r="L37" s="303" t="str">
        <f>+IF(B37="","",IF(LOOKUP(O37,rascunho!CK:CK)=O37,"","S/DECL"))</f>
        <v>S/DECL</v>
      </c>
      <c r="M37" s="11"/>
      <c r="N37" s="8"/>
      <c r="O37" s="241">
        <f t="shared" si="6"/>
        <v>2019</v>
      </c>
      <c r="X37" s="14">
        <f>+IF(tabelas!AQ38="","",tabelas!AQ38)</f>
        <v>2022</v>
      </c>
      <c r="Y37" s="14" t="str">
        <f t="shared" si="1"/>
        <v/>
      </c>
      <c r="Z37" s="38">
        <v>33</v>
      </c>
      <c r="AA37" s="14">
        <f t="shared" si="2"/>
        <v>33</v>
      </c>
      <c r="AB37" s="14">
        <f t="shared" si="3"/>
        <v>35</v>
      </c>
      <c r="AC37" s="14">
        <f t="shared" si="4"/>
        <v>2024</v>
      </c>
      <c r="AD37"/>
    </row>
    <row r="38" spans="1:31" ht="15" customHeight="1">
      <c r="A38" s="2"/>
      <c r="B38" s="15"/>
      <c r="C38" s="16"/>
      <c r="D38" s="25"/>
      <c r="E38" s="25"/>
      <c r="F38" s="295"/>
      <c r="G38" s="296"/>
      <c r="H38" s="296"/>
      <c r="I38" s="296"/>
      <c r="J38" s="296"/>
      <c r="K38" s="297"/>
      <c r="L38" s="303" t="str">
        <f>+IF(B38="","",IF(LOOKUP(O38,rascunho!CK:CK)=O38,"","S/DECL"))</f>
        <v/>
      </c>
      <c r="M38" s="11"/>
      <c r="N38" s="8"/>
      <c r="O38" s="241" t="str">
        <f t="shared" si="6"/>
        <v/>
      </c>
      <c r="X38" s="14">
        <f>+IF(tabelas!AQ39="","",tabelas!AQ39)</f>
        <v>2023</v>
      </c>
      <c r="Y38" s="14" t="str">
        <f t="shared" si="1"/>
        <v/>
      </c>
      <c r="Z38" s="38">
        <v>34</v>
      </c>
      <c r="AA38" s="14">
        <f t="shared" si="2"/>
        <v>34</v>
      </c>
      <c r="AB38" s="14">
        <f t="shared" si="3"/>
        <v>36</v>
      </c>
      <c r="AC38" s="14">
        <f t="shared" si="4"/>
        <v>2025</v>
      </c>
      <c r="AD38"/>
    </row>
    <row r="39" spans="1:31" ht="15" customHeight="1">
      <c r="A39" s="2"/>
      <c r="B39" s="15"/>
      <c r="C39" s="16"/>
      <c r="D39" s="25"/>
      <c r="E39" s="25"/>
      <c r="F39" s="295"/>
      <c r="G39" s="296"/>
      <c r="H39" s="296"/>
      <c r="I39" s="296"/>
      <c r="J39" s="296"/>
      <c r="K39" s="297"/>
      <c r="L39" s="303" t="str">
        <f>+IF(B39="","",IF(LOOKUP(O39,rascunho!CK:CK)=O39,"","S/DECL"))</f>
        <v/>
      </c>
      <c r="M39" s="11"/>
      <c r="N39" s="8"/>
      <c r="O39" s="241" t="str">
        <f t="shared" si="6"/>
        <v/>
      </c>
      <c r="X39" s="14">
        <f>+IF(tabelas!AQ40="","",tabelas!AQ40)</f>
        <v>2024</v>
      </c>
      <c r="Y39" s="14" t="str">
        <f t="shared" si="1"/>
        <v/>
      </c>
      <c r="Z39" s="38">
        <v>35</v>
      </c>
      <c r="AA39" s="14">
        <f t="shared" si="2"/>
        <v>35</v>
      </c>
      <c r="AB39" s="14">
        <f t="shared" si="3"/>
        <v>37</v>
      </c>
      <c r="AC39" s="14" t="str">
        <f t="shared" si="4"/>
        <v xml:space="preserve"> </v>
      </c>
      <c r="AD39"/>
    </row>
    <row r="40" spans="1:31" ht="15" customHeight="1">
      <c r="A40" s="2"/>
      <c r="B40" s="15"/>
      <c r="C40" s="16"/>
      <c r="D40" s="25"/>
      <c r="E40" s="25"/>
      <c r="F40" s="295"/>
      <c r="G40" s="296"/>
      <c r="H40" s="296"/>
      <c r="I40" s="296"/>
      <c r="J40" s="296"/>
      <c r="K40" s="297"/>
      <c r="L40" s="303" t="str">
        <f>+IF(B40="","",IF(LOOKUP(O40,rascunho!CK:CK)=O40,"","S/DECL"))</f>
        <v/>
      </c>
      <c r="M40" s="11"/>
      <c r="N40" s="8"/>
      <c r="O40" s="241" t="str">
        <f t="shared" si="6"/>
        <v/>
      </c>
      <c r="X40" s="14">
        <f>+IF(tabelas!AQ41="","",tabelas!AQ41)</f>
        <v>2025</v>
      </c>
      <c r="Y40" s="14" t="str">
        <f t="shared" si="1"/>
        <v/>
      </c>
      <c r="Z40" s="38">
        <v>36</v>
      </c>
      <c r="AA40" s="14">
        <f t="shared" si="2"/>
        <v>36</v>
      </c>
      <c r="AB40" s="14">
        <f t="shared" si="3"/>
        <v>999</v>
      </c>
      <c r="AC40" s="14" t="str">
        <f t="shared" si="4"/>
        <v/>
      </c>
      <c r="AD40"/>
    </row>
    <row r="41" spans="1:31" ht="15" customHeight="1">
      <c r="A41" s="2"/>
      <c r="B41" s="15"/>
      <c r="C41" s="16"/>
      <c r="D41" s="25"/>
      <c r="E41" s="25"/>
      <c r="F41" s="295"/>
      <c r="G41" s="296"/>
      <c r="H41" s="296"/>
      <c r="I41" s="296"/>
      <c r="J41" s="296"/>
      <c r="K41" s="297"/>
      <c r="L41" s="303" t="str">
        <f>+IF(B41="","",IF(LOOKUP(O41,rascunho!CK:CK)=O41,"","S/DECL"))</f>
        <v/>
      </c>
      <c r="M41" s="11"/>
      <c r="N41" s="8"/>
      <c r="O41" s="241" t="str">
        <f t="shared" si="6"/>
        <v/>
      </c>
      <c r="X41" s="14" t="str">
        <f>+IF(tabelas!AQ42="","",tabelas!AQ42)</f>
        <v xml:space="preserve"> </v>
      </c>
      <c r="Y41" s="14" t="str">
        <f t="shared" si="1"/>
        <v/>
      </c>
      <c r="Z41" s="38">
        <v>37</v>
      </c>
      <c r="AA41" s="14">
        <f t="shared" si="2"/>
        <v>37</v>
      </c>
      <c r="AB41" s="14">
        <f t="shared" si="3"/>
        <v>999</v>
      </c>
      <c r="AC41" s="14" t="str">
        <f t="shared" si="4"/>
        <v/>
      </c>
    </row>
    <row r="42" spans="1:31" ht="15" customHeight="1">
      <c r="A42" s="2"/>
      <c r="B42" s="15"/>
      <c r="C42" s="16"/>
      <c r="D42" s="25"/>
      <c r="E42" s="25"/>
      <c r="F42" s="295"/>
      <c r="G42" s="296"/>
      <c r="H42" s="296"/>
      <c r="I42" s="296"/>
      <c r="J42" s="296"/>
      <c r="K42" s="297"/>
      <c r="L42" s="303" t="str">
        <f>+IF(B42="","",IF(LOOKUP(O42,rascunho!CK:CK)=O42,"","S/DECL"))</f>
        <v/>
      </c>
      <c r="M42" s="11"/>
      <c r="N42" s="8"/>
      <c r="O42" s="241" t="str">
        <f t="shared" si="6"/>
        <v/>
      </c>
      <c r="X42" s="14" t="str">
        <f>+IF(tabelas!AQ43="","",tabelas!AQ43)</f>
        <v/>
      </c>
      <c r="Y42" s="14" t="str">
        <f t="shared" si="1"/>
        <v/>
      </c>
      <c r="Z42" s="38">
        <v>38</v>
      </c>
      <c r="AA42" s="14">
        <f t="shared" si="2"/>
        <v>999</v>
      </c>
      <c r="AB42" s="14">
        <f t="shared" si="3"/>
        <v>999</v>
      </c>
      <c r="AC42" s="14" t="str">
        <f t="shared" si="4"/>
        <v/>
      </c>
    </row>
    <row r="43" spans="1:31" ht="15" customHeight="1">
      <c r="A43" s="2"/>
      <c r="B43" s="15"/>
      <c r="C43" s="16"/>
      <c r="D43" s="25"/>
      <c r="E43" s="25"/>
      <c r="F43" s="295"/>
      <c r="G43" s="296"/>
      <c r="H43" s="296"/>
      <c r="I43" s="296"/>
      <c r="J43" s="296"/>
      <c r="K43" s="297"/>
      <c r="L43" s="303" t="str">
        <f>+IF(B43="","",IF(LOOKUP(O43,rascunho!CK:CK)=O43,"","S/DECL"))</f>
        <v/>
      </c>
      <c r="M43" s="11"/>
      <c r="N43" s="8"/>
      <c r="O43" s="241" t="str">
        <f t="shared" si="6"/>
        <v/>
      </c>
      <c r="X43" s="14" t="str">
        <f>+IF(tabelas!AQ44="","",tabelas!AQ44)</f>
        <v/>
      </c>
      <c r="Y43" s="14" t="str">
        <f t="shared" si="1"/>
        <v/>
      </c>
      <c r="Z43" s="38">
        <v>39</v>
      </c>
      <c r="AA43" s="14">
        <f t="shared" si="2"/>
        <v>999</v>
      </c>
      <c r="AB43" s="14">
        <f t="shared" si="3"/>
        <v>999</v>
      </c>
      <c r="AC43" s="14" t="str">
        <f t="shared" si="4"/>
        <v/>
      </c>
    </row>
    <row r="44" spans="1:31" ht="15" customHeight="1">
      <c r="A44" s="2"/>
      <c r="B44" s="15"/>
      <c r="C44" s="16"/>
      <c r="D44" s="25"/>
      <c r="E44" s="25"/>
      <c r="F44" s="295"/>
      <c r="G44" s="296"/>
      <c r="H44" s="296"/>
      <c r="I44" s="296"/>
      <c r="J44" s="296"/>
      <c r="K44" s="297"/>
      <c r="L44" s="303" t="str">
        <f>+IF(B44="","",IF(LOOKUP(O44,rascunho!CK:CK)=O44,"","S/DECL"))</f>
        <v/>
      </c>
      <c r="M44" s="11"/>
      <c r="N44" s="8"/>
      <c r="O44" s="241" t="str">
        <f t="shared" si="6"/>
        <v/>
      </c>
      <c r="X44" s="14" t="str">
        <f>+IF(tabelas!AQ45="","",tabelas!AQ45)</f>
        <v/>
      </c>
      <c r="Y44" s="14" t="str">
        <f t="shared" si="1"/>
        <v/>
      </c>
      <c r="Z44" s="38">
        <v>40</v>
      </c>
      <c r="AA44" s="14">
        <f t="shared" si="2"/>
        <v>999</v>
      </c>
      <c r="AB44" s="14">
        <f t="shared" si="3"/>
        <v>999</v>
      </c>
      <c r="AC44" s="14" t="str">
        <f t="shared" si="4"/>
        <v/>
      </c>
    </row>
    <row r="45" spans="1:31" ht="15" customHeight="1">
      <c r="A45" s="2"/>
      <c r="B45" s="15"/>
      <c r="C45" s="16"/>
      <c r="D45" s="25"/>
      <c r="E45" s="25"/>
      <c r="F45" s="295"/>
      <c r="G45" s="296"/>
      <c r="H45" s="296"/>
      <c r="I45" s="296"/>
      <c r="J45" s="296"/>
      <c r="K45" s="297"/>
      <c r="L45" s="303" t="str">
        <f>+IF(B45="","",IF(LOOKUP(O45,rascunho!CK:CK)=O45,"","S/DECL"))</f>
        <v/>
      </c>
      <c r="M45" s="11"/>
      <c r="N45" s="8"/>
      <c r="O45" s="241" t="str">
        <f t="shared" si="6"/>
        <v/>
      </c>
      <c r="AB45" s="418" t="s">
        <v>295</v>
      </c>
      <c r="AC45" s="419"/>
    </row>
    <row r="46" spans="1:31" ht="15" customHeight="1">
      <c r="A46" s="2"/>
      <c r="B46" s="15"/>
      <c r="C46" s="16"/>
      <c r="D46" s="25"/>
      <c r="E46" s="25"/>
      <c r="F46" s="295"/>
      <c r="G46" s="296"/>
      <c r="H46" s="296"/>
      <c r="I46" s="296"/>
      <c r="J46" s="296"/>
      <c r="K46" s="297"/>
      <c r="L46" s="303" t="str">
        <f>+IF(B46="","",IF(LOOKUP(O46,rascunho!CK:CK)=O46,"","S/DECL"))</f>
        <v/>
      </c>
      <c r="M46" s="11"/>
      <c r="N46" s="8"/>
      <c r="O46" s="241" t="str">
        <f t="shared" si="6"/>
        <v/>
      </c>
    </row>
    <row r="47" spans="1:31" ht="15" customHeight="1">
      <c r="A47" s="2"/>
      <c r="B47" s="15"/>
      <c r="C47" s="16"/>
      <c r="D47" s="25"/>
      <c r="E47" s="25"/>
      <c r="F47" s="295"/>
      <c r="G47" s="296"/>
      <c r="H47" s="296"/>
      <c r="I47" s="296"/>
      <c r="J47" s="296"/>
      <c r="K47" s="297"/>
      <c r="L47" s="303" t="str">
        <f>+IF(B47="","",IF(LOOKUP(O47,rascunho!CK:CK)=O47,"","S/DECL"))</f>
        <v/>
      </c>
      <c r="M47" s="11"/>
      <c r="N47" s="8"/>
      <c r="O47" s="241" t="str">
        <f t="shared" si="6"/>
        <v/>
      </c>
    </row>
    <row r="48" spans="1:31" ht="15" customHeight="1">
      <c r="A48" s="2"/>
      <c r="B48" s="15"/>
      <c r="C48" s="16"/>
      <c r="D48" s="25"/>
      <c r="E48" s="25"/>
      <c r="F48" s="295"/>
      <c r="G48" s="296"/>
      <c r="H48" s="296"/>
      <c r="I48" s="296"/>
      <c r="J48" s="296"/>
      <c r="K48" s="297"/>
      <c r="L48" s="303" t="str">
        <f>+IF(B48="","",IF(LOOKUP(O48,rascunho!CK:CK)=O48,"","S/DECL"))</f>
        <v/>
      </c>
      <c r="M48" s="11"/>
      <c r="N48" s="8"/>
      <c r="O48" s="241" t="str">
        <f t="shared" si="6"/>
        <v/>
      </c>
    </row>
    <row r="49" spans="1:15" ht="15" customHeight="1">
      <c r="A49" s="2"/>
      <c r="B49" s="15"/>
      <c r="C49" s="16"/>
      <c r="D49" s="25"/>
      <c r="E49" s="25"/>
      <c r="F49" s="295"/>
      <c r="G49" s="296"/>
      <c r="H49" s="296"/>
      <c r="I49" s="296"/>
      <c r="J49" s="296"/>
      <c r="K49" s="297"/>
      <c r="L49" s="303" t="str">
        <f>+IF(B49="","",IF(LOOKUP(O49,rascunho!CK:CK)=O49,"","S/DECL"))</f>
        <v/>
      </c>
      <c r="M49" s="11"/>
      <c r="N49" s="8"/>
      <c r="O49" s="241" t="str">
        <f t="shared" si="6"/>
        <v/>
      </c>
    </row>
    <row r="50" spans="1:15" ht="15" customHeight="1">
      <c r="A50" s="2"/>
      <c r="B50" s="15"/>
      <c r="C50" s="16"/>
      <c r="D50" s="25"/>
      <c r="E50" s="25"/>
      <c r="F50" s="295"/>
      <c r="G50" s="296"/>
      <c r="H50" s="296"/>
      <c r="I50" s="296"/>
      <c r="J50" s="296"/>
      <c r="K50" s="297"/>
      <c r="L50" s="303" t="str">
        <f>+IF(B50="","",IF(LOOKUP(O50,rascunho!CK:CK)=O50,"","S/DECL"))</f>
        <v/>
      </c>
      <c r="M50" s="11"/>
      <c r="O50" s="241" t="str">
        <f t="shared" si="6"/>
        <v/>
      </c>
    </row>
    <row r="51" spans="1:15" ht="15" customHeight="1">
      <c r="A51" s="2"/>
      <c r="B51" s="15"/>
      <c r="C51" s="16"/>
      <c r="D51" s="25"/>
      <c r="E51" s="25"/>
      <c r="F51" s="295"/>
      <c r="G51" s="296"/>
      <c r="H51" s="296"/>
      <c r="I51" s="296"/>
      <c r="J51" s="296"/>
      <c r="K51" s="297"/>
      <c r="L51" s="303" t="str">
        <f>+IF(B51="","",IF(LOOKUP(O51,rascunho!CK:CK)=O51,"","S/DECL"))</f>
        <v/>
      </c>
      <c r="M51" s="11"/>
      <c r="O51" s="241" t="str">
        <f t="shared" si="6"/>
        <v/>
      </c>
    </row>
    <row r="52" spans="1:15" ht="15" customHeight="1">
      <c r="A52" s="2"/>
      <c r="B52" s="15"/>
      <c r="C52" s="16"/>
      <c r="D52" s="25"/>
      <c r="E52" s="25"/>
      <c r="F52" s="295"/>
      <c r="G52" s="296"/>
      <c r="H52" s="296"/>
      <c r="I52" s="296"/>
      <c r="J52" s="296"/>
      <c r="K52" s="297"/>
      <c r="L52" s="303" t="str">
        <f>+IF(B52="","",IF(LOOKUP(O52,rascunho!CK:CK)=O52,"","S/DECL"))</f>
        <v/>
      </c>
      <c r="M52" s="11"/>
      <c r="O52" s="241" t="str">
        <f t="shared" si="6"/>
        <v/>
      </c>
    </row>
    <row r="53" spans="1:15" ht="15" customHeight="1">
      <c r="A53" s="2"/>
      <c r="B53" s="15"/>
      <c r="C53" s="16"/>
      <c r="D53" s="25"/>
      <c r="E53" s="25"/>
      <c r="F53" s="295"/>
      <c r="G53" s="296"/>
      <c r="H53" s="296"/>
      <c r="I53" s="296"/>
      <c r="J53" s="296"/>
      <c r="K53" s="297"/>
      <c r="L53" s="303" t="str">
        <f>+IF(B53="","",IF(LOOKUP(O53,rascunho!CK:CK)=O53,"","S/DECL"))</f>
        <v/>
      </c>
      <c r="M53" s="11"/>
      <c r="O53" s="241" t="str">
        <f t="shared" si="6"/>
        <v/>
      </c>
    </row>
    <row r="54" spans="1:15" ht="15" customHeight="1">
      <c r="A54" s="2"/>
      <c r="B54" s="15"/>
      <c r="C54" s="16"/>
      <c r="D54" s="25"/>
      <c r="E54" s="25"/>
      <c r="F54" s="295"/>
      <c r="G54" s="296"/>
      <c r="H54" s="296"/>
      <c r="I54" s="296"/>
      <c r="J54" s="296"/>
      <c r="K54" s="297"/>
      <c r="L54" s="303" t="str">
        <f>+IF(B54="","",IF(LOOKUP(O54,rascunho!CK:CK)=O54,"","S/DECL"))</f>
        <v/>
      </c>
      <c r="M54" s="11"/>
      <c r="O54" s="241" t="str">
        <f t="shared" si="6"/>
        <v/>
      </c>
    </row>
    <row r="55" spans="1:15" ht="15" customHeight="1">
      <c r="A55" s="2"/>
      <c r="B55" s="15"/>
      <c r="C55" s="16"/>
      <c r="D55" s="25"/>
      <c r="E55" s="25"/>
      <c r="F55" s="295"/>
      <c r="G55" s="296"/>
      <c r="H55" s="296"/>
      <c r="I55" s="296"/>
      <c r="J55" s="296"/>
      <c r="K55" s="297"/>
      <c r="L55" s="303" t="str">
        <f>+IF(B55="","",IF(LOOKUP(O55,rascunho!CK:CK)=O55,"","S/DECL"))</f>
        <v/>
      </c>
      <c r="M55" s="11"/>
      <c r="O55" s="241" t="str">
        <f t="shared" si="6"/>
        <v/>
      </c>
    </row>
    <row r="56" spans="1:15" ht="15" customHeight="1">
      <c r="A56" s="2"/>
      <c r="B56" s="15"/>
      <c r="C56" s="16"/>
      <c r="D56" s="25"/>
      <c r="E56" s="25"/>
      <c r="F56" s="295"/>
      <c r="G56" s="296"/>
      <c r="H56" s="296"/>
      <c r="I56" s="296"/>
      <c r="J56" s="296"/>
      <c r="K56" s="297"/>
      <c r="L56" s="303" t="str">
        <f>+IF(B56="","",IF(LOOKUP(O56,rascunho!CK:CK)=O56,"","S/DECL"))</f>
        <v/>
      </c>
      <c r="M56" s="11"/>
      <c r="O56" s="241" t="str">
        <f t="shared" si="6"/>
        <v/>
      </c>
    </row>
    <row r="57" spans="1:15" ht="15" customHeight="1">
      <c r="A57" s="2"/>
      <c r="B57" s="15"/>
      <c r="C57" s="16"/>
      <c r="D57" s="25"/>
      <c r="E57" s="25"/>
      <c r="F57" s="295"/>
      <c r="G57" s="296"/>
      <c r="H57" s="296"/>
      <c r="I57" s="296"/>
      <c r="J57" s="296"/>
      <c r="K57" s="297"/>
      <c r="L57" s="303" t="str">
        <f>+IF(B57="","",IF(LOOKUP(O57,rascunho!CK:CK)=O57,"","S/DECL"))</f>
        <v/>
      </c>
      <c r="M57" s="11"/>
      <c r="O57" s="241" t="str">
        <f t="shared" si="6"/>
        <v/>
      </c>
    </row>
    <row r="58" spans="1:15" ht="15" customHeight="1">
      <c r="A58" s="2"/>
      <c r="B58" s="15"/>
      <c r="C58" s="16"/>
      <c r="D58" s="25"/>
      <c r="E58" s="25"/>
      <c r="F58" s="295"/>
      <c r="G58" s="296"/>
      <c r="H58" s="296"/>
      <c r="I58" s="296"/>
      <c r="J58" s="296"/>
      <c r="K58" s="297"/>
      <c r="L58" s="303" t="str">
        <f>+IF(B58="","",IF(LOOKUP(O58,rascunho!CK:CK)=O58,"","S/DECL"))</f>
        <v/>
      </c>
      <c r="M58" s="11"/>
      <c r="O58" s="241" t="str">
        <f t="shared" si="6"/>
        <v/>
      </c>
    </row>
    <row r="59" spans="1:15" ht="15" customHeight="1">
      <c r="A59" s="2"/>
      <c r="B59" s="15"/>
      <c r="C59" s="16"/>
      <c r="D59" s="25"/>
      <c r="E59" s="25"/>
      <c r="F59" s="295"/>
      <c r="G59" s="296"/>
      <c r="H59" s="296"/>
      <c r="I59" s="296"/>
      <c r="J59" s="296"/>
      <c r="K59" s="297"/>
      <c r="L59" s="303" t="str">
        <f>+IF(B59="","",IF(LOOKUP(O59,rascunho!CK:CK)=O59,"","S/DECL"))</f>
        <v/>
      </c>
      <c r="M59" s="11"/>
      <c r="O59" s="241" t="str">
        <f t="shared" si="6"/>
        <v/>
      </c>
    </row>
    <row r="60" spans="1:15" ht="15" customHeight="1">
      <c r="A60" s="2"/>
      <c r="B60" s="15"/>
      <c r="C60" s="16"/>
      <c r="D60" s="25"/>
      <c r="E60" s="25"/>
      <c r="F60" s="295"/>
      <c r="G60" s="296"/>
      <c r="H60" s="296"/>
      <c r="I60" s="296"/>
      <c r="J60" s="296"/>
      <c r="K60" s="297"/>
      <c r="L60" s="303" t="str">
        <f>+IF(B60="","",IF(LOOKUP(O60,rascunho!CK:CK)=O60,"","S/DECL"))</f>
        <v/>
      </c>
      <c r="M60" s="11"/>
      <c r="O60" s="241" t="str">
        <f t="shared" si="6"/>
        <v/>
      </c>
    </row>
    <row r="61" spans="1:15" ht="15" customHeight="1">
      <c r="A61" s="2"/>
      <c r="B61" s="15"/>
      <c r="C61" s="16"/>
      <c r="D61" s="25"/>
      <c r="E61" s="25"/>
      <c r="F61" s="295"/>
      <c r="G61" s="296"/>
      <c r="H61" s="296"/>
      <c r="I61" s="296"/>
      <c r="J61" s="296"/>
      <c r="K61" s="297"/>
      <c r="L61" s="303" t="str">
        <f>+IF(B61="","",IF(LOOKUP(O61,rascunho!CK:CK)=O61,"","S/DECL"))</f>
        <v/>
      </c>
      <c r="M61" s="11"/>
      <c r="O61" s="241" t="str">
        <f t="shared" si="6"/>
        <v/>
      </c>
    </row>
    <row r="62" spans="1:15" ht="15" customHeight="1">
      <c r="A62" s="2"/>
      <c r="B62" s="15"/>
      <c r="C62" s="16"/>
      <c r="D62" s="25"/>
      <c r="E62" s="25"/>
      <c r="F62" s="295"/>
      <c r="G62" s="296"/>
      <c r="H62" s="296"/>
      <c r="I62" s="296"/>
      <c r="J62" s="296"/>
      <c r="K62" s="297"/>
      <c r="L62" s="303" t="str">
        <f>+IF(B62="","",IF(LOOKUP(O62,rascunho!CK:CK)=O62,"","S/DECL"))</f>
        <v/>
      </c>
      <c r="M62" s="11"/>
      <c r="O62" s="241" t="str">
        <f t="shared" si="6"/>
        <v/>
      </c>
    </row>
    <row r="63" spans="1:15" ht="15" customHeight="1">
      <c r="A63" s="2"/>
      <c r="B63" s="15"/>
      <c r="C63" s="16"/>
      <c r="D63" s="25"/>
      <c r="E63" s="25"/>
      <c r="F63" s="295"/>
      <c r="G63" s="296"/>
      <c r="H63" s="296"/>
      <c r="I63" s="296"/>
      <c r="J63" s="296"/>
      <c r="K63" s="297"/>
      <c r="L63" s="303" t="str">
        <f>+IF(B63="","",IF(LOOKUP(O63,rascunho!CK:CK)=O63,"","S/DECL"))</f>
        <v/>
      </c>
      <c r="M63" s="11"/>
      <c r="O63" s="241" t="str">
        <f t="shared" si="6"/>
        <v/>
      </c>
    </row>
    <row r="64" spans="1:15" ht="15" customHeight="1">
      <c r="A64" s="2"/>
      <c r="B64" s="15"/>
      <c r="C64" s="16"/>
      <c r="D64" s="25"/>
      <c r="E64" s="25"/>
      <c r="F64" s="295"/>
      <c r="G64" s="296"/>
      <c r="H64" s="296"/>
      <c r="I64" s="296"/>
      <c r="J64" s="296"/>
      <c r="K64" s="297"/>
      <c r="L64" s="303" t="str">
        <f>+IF(B64="","",IF(LOOKUP(O64,rascunho!CK:CK)=O64,"","S/DECL"))</f>
        <v/>
      </c>
      <c r="M64" s="11"/>
      <c r="O64" s="241" t="str">
        <f t="shared" si="6"/>
        <v/>
      </c>
    </row>
    <row r="65" spans="1:15" ht="15" customHeight="1">
      <c r="A65" s="2"/>
      <c r="B65" s="15"/>
      <c r="C65" s="16"/>
      <c r="D65" s="25"/>
      <c r="E65" s="25"/>
      <c r="F65" s="295"/>
      <c r="G65" s="296"/>
      <c r="H65" s="296"/>
      <c r="I65" s="296"/>
      <c r="J65" s="296"/>
      <c r="K65" s="297"/>
      <c r="L65" s="303" t="str">
        <f>+IF(B65="","",IF(LOOKUP(O65,rascunho!CK:CK)=O65,"","S/DECL"))</f>
        <v/>
      </c>
      <c r="M65" s="11"/>
      <c r="O65" s="241" t="str">
        <f t="shared" si="6"/>
        <v/>
      </c>
    </row>
    <row r="66" spans="1:15" ht="15" customHeight="1">
      <c r="A66" s="2"/>
      <c r="B66" s="15"/>
      <c r="C66" s="16"/>
      <c r="D66" s="25"/>
      <c r="E66" s="25"/>
      <c r="F66" s="295"/>
      <c r="G66" s="296"/>
      <c r="H66" s="296"/>
      <c r="I66" s="296"/>
      <c r="J66" s="296"/>
      <c r="K66" s="297"/>
      <c r="L66" s="303" t="str">
        <f>+IF(B66="","",IF(LOOKUP(O66,rascunho!CK:CK)=O66,"","S/DECL"))</f>
        <v/>
      </c>
      <c r="M66" s="11"/>
      <c r="O66" s="241" t="str">
        <f t="shared" si="6"/>
        <v/>
      </c>
    </row>
    <row r="67" spans="1:15" ht="15" customHeight="1">
      <c r="A67" s="2"/>
      <c r="B67" s="15"/>
      <c r="C67" s="16"/>
      <c r="D67" s="25"/>
      <c r="E67" s="25"/>
      <c r="F67" s="295"/>
      <c r="G67" s="296"/>
      <c r="H67" s="296"/>
      <c r="I67" s="296"/>
      <c r="J67" s="296"/>
      <c r="K67" s="297"/>
      <c r="L67" s="303" t="str">
        <f>+IF(B67="","",IF(LOOKUP(O67,rascunho!CK:CK)=O67,"","S/DECL"))</f>
        <v/>
      </c>
      <c r="M67" s="11"/>
      <c r="O67" s="241" t="str">
        <f t="shared" si="6"/>
        <v/>
      </c>
    </row>
    <row r="68" spans="1:15" ht="15" customHeight="1">
      <c r="A68" s="2"/>
      <c r="B68" s="15"/>
      <c r="C68" s="16"/>
      <c r="D68" s="25"/>
      <c r="E68" s="25"/>
      <c r="F68" s="295"/>
      <c r="G68" s="296"/>
      <c r="H68" s="296"/>
      <c r="I68" s="296"/>
      <c r="J68" s="296"/>
      <c r="K68" s="297"/>
      <c r="L68" s="303" t="str">
        <f>+IF(B68="","",IF(LOOKUP(O68,rascunho!CK:CK)=O68,"","S/DECL"))</f>
        <v/>
      </c>
      <c r="M68" s="11"/>
      <c r="O68" s="241" t="str">
        <f t="shared" ref="O68:O99" si="7">+IF(B68="","",YEAR(B68))</f>
        <v/>
      </c>
    </row>
    <row r="69" spans="1:15" ht="15" customHeight="1">
      <c r="A69" s="2"/>
      <c r="B69" s="15"/>
      <c r="C69" s="16"/>
      <c r="D69" s="25"/>
      <c r="E69" s="25"/>
      <c r="F69" s="295"/>
      <c r="G69" s="296"/>
      <c r="H69" s="296"/>
      <c r="I69" s="296"/>
      <c r="J69" s="296"/>
      <c r="K69" s="297"/>
      <c r="L69" s="303" t="str">
        <f>+IF(B69="","",IF(LOOKUP(O69,rascunho!CK:CK)=O69,"","S/DECL"))</f>
        <v/>
      </c>
      <c r="M69" s="11"/>
      <c r="O69" s="241" t="str">
        <f t="shared" si="7"/>
        <v/>
      </c>
    </row>
    <row r="70" spans="1:15" ht="15" customHeight="1">
      <c r="A70" s="2"/>
      <c r="B70" s="15"/>
      <c r="C70" s="16"/>
      <c r="D70" s="25"/>
      <c r="E70" s="25"/>
      <c r="F70" s="295"/>
      <c r="G70" s="296"/>
      <c r="H70" s="296"/>
      <c r="I70" s="296"/>
      <c r="J70" s="296"/>
      <c r="K70" s="297"/>
      <c r="L70" s="303" t="str">
        <f>+IF(B70="","",IF(LOOKUP(O70,rascunho!CK:CK)=O70,"","S/DECL"))</f>
        <v/>
      </c>
      <c r="M70" s="11"/>
      <c r="O70" s="241" t="str">
        <f t="shared" si="7"/>
        <v/>
      </c>
    </row>
    <row r="71" spans="1:15" ht="15" customHeight="1">
      <c r="A71" s="2"/>
      <c r="B71" s="15"/>
      <c r="C71" s="16"/>
      <c r="D71" s="25"/>
      <c r="E71" s="25"/>
      <c r="F71" s="295"/>
      <c r="G71" s="296"/>
      <c r="H71" s="296"/>
      <c r="I71" s="296"/>
      <c r="J71" s="296"/>
      <c r="K71" s="297"/>
      <c r="L71" s="303" t="str">
        <f>+IF(B71="","",IF(LOOKUP(O71,rascunho!CK:CK)=O71,"","S/DECL"))</f>
        <v/>
      </c>
      <c r="M71" s="11"/>
      <c r="O71" s="241" t="str">
        <f t="shared" si="7"/>
        <v/>
      </c>
    </row>
    <row r="72" spans="1:15" ht="15" customHeight="1">
      <c r="A72" s="2"/>
      <c r="B72" s="15"/>
      <c r="C72" s="16"/>
      <c r="D72" s="25"/>
      <c r="E72" s="25"/>
      <c r="F72" s="295"/>
      <c r="G72" s="296"/>
      <c r="H72" s="296"/>
      <c r="I72" s="296"/>
      <c r="J72" s="296"/>
      <c r="K72" s="297"/>
      <c r="L72" s="303" t="str">
        <f>+IF(B72="","",IF(LOOKUP(O72,rascunho!CK:CK)=O72,"","S/DECL"))</f>
        <v/>
      </c>
      <c r="M72" s="11"/>
      <c r="O72" s="241" t="str">
        <f t="shared" si="7"/>
        <v/>
      </c>
    </row>
    <row r="73" spans="1:15" ht="15" customHeight="1">
      <c r="A73" s="2"/>
      <c r="B73" s="15"/>
      <c r="C73" s="16"/>
      <c r="D73" s="25"/>
      <c r="E73" s="25"/>
      <c r="F73" s="295"/>
      <c r="G73" s="296"/>
      <c r="H73" s="296"/>
      <c r="I73" s="296"/>
      <c r="J73" s="296"/>
      <c r="K73" s="297"/>
      <c r="L73" s="303" t="str">
        <f>+IF(B73="","",IF(LOOKUP(O73,rascunho!CK:CK)=O73,"","S/DECL"))</f>
        <v/>
      </c>
      <c r="M73" s="11"/>
      <c r="O73" s="241" t="str">
        <f t="shared" si="7"/>
        <v/>
      </c>
    </row>
    <row r="74" spans="1:15" ht="15" customHeight="1">
      <c r="A74" s="2"/>
      <c r="B74" s="15"/>
      <c r="C74" s="16"/>
      <c r="D74" s="25"/>
      <c r="E74" s="25"/>
      <c r="F74" s="295"/>
      <c r="G74" s="296"/>
      <c r="H74" s="296"/>
      <c r="I74" s="296"/>
      <c r="J74" s="296"/>
      <c r="K74" s="297"/>
      <c r="L74" s="303" t="str">
        <f>+IF(B74="","",IF(LOOKUP(O74,rascunho!CK:CK)=O74,"","S/DECL"))</f>
        <v/>
      </c>
      <c r="M74" s="11"/>
      <c r="O74" s="241" t="str">
        <f t="shared" si="7"/>
        <v/>
      </c>
    </row>
    <row r="75" spans="1:15" ht="15" customHeight="1">
      <c r="A75" s="2"/>
      <c r="B75" s="15"/>
      <c r="C75" s="16"/>
      <c r="D75" s="25"/>
      <c r="E75" s="25"/>
      <c r="F75" s="295"/>
      <c r="G75" s="296"/>
      <c r="H75" s="296"/>
      <c r="I75" s="296"/>
      <c r="J75" s="296"/>
      <c r="K75" s="297"/>
      <c r="L75" s="303" t="str">
        <f>+IF(B75="","",IF(LOOKUP(O75,rascunho!CK:CK)=O75,"","S/DECL"))</f>
        <v/>
      </c>
      <c r="M75" s="11"/>
      <c r="O75" s="241" t="str">
        <f t="shared" si="7"/>
        <v/>
      </c>
    </row>
    <row r="76" spans="1:15" ht="15" customHeight="1">
      <c r="A76" s="2"/>
      <c r="B76" s="15"/>
      <c r="C76" s="16"/>
      <c r="D76" s="25"/>
      <c r="E76" s="25"/>
      <c r="F76" s="295"/>
      <c r="G76" s="296"/>
      <c r="H76" s="296"/>
      <c r="I76" s="296"/>
      <c r="J76" s="296"/>
      <c r="K76" s="297"/>
      <c r="L76" s="303" t="str">
        <f>+IF(B76="","",IF(LOOKUP(O76,rascunho!CK:CK)=O76,"","S/DECL"))</f>
        <v/>
      </c>
      <c r="M76" s="11"/>
      <c r="O76" s="241" t="str">
        <f t="shared" si="7"/>
        <v/>
      </c>
    </row>
    <row r="77" spans="1:15" ht="15" customHeight="1">
      <c r="A77" s="2"/>
      <c r="B77" s="15"/>
      <c r="C77" s="16"/>
      <c r="D77" s="25"/>
      <c r="E77" s="25"/>
      <c r="F77" s="295"/>
      <c r="G77" s="296"/>
      <c r="H77" s="296"/>
      <c r="I77" s="296"/>
      <c r="J77" s="296"/>
      <c r="K77" s="297"/>
      <c r="L77" s="303" t="str">
        <f>+IF(B77="","",IF(LOOKUP(O77,rascunho!CK:CK)=O77,"","S/DECL"))</f>
        <v/>
      </c>
      <c r="M77" s="11"/>
      <c r="O77" s="241" t="str">
        <f t="shared" si="7"/>
        <v/>
      </c>
    </row>
    <row r="78" spans="1:15" ht="15" customHeight="1">
      <c r="A78" s="2"/>
      <c r="B78" s="15"/>
      <c r="C78" s="16"/>
      <c r="D78" s="25"/>
      <c r="E78" s="25"/>
      <c r="F78" s="295"/>
      <c r="G78" s="296"/>
      <c r="H78" s="296"/>
      <c r="I78" s="296"/>
      <c r="J78" s="296"/>
      <c r="K78" s="297"/>
      <c r="L78" s="303" t="str">
        <f>+IF(B78="","",IF(LOOKUP(O78,rascunho!CK:CK)=O78,"","S/DECL"))</f>
        <v/>
      </c>
      <c r="M78" s="11"/>
      <c r="O78" s="241" t="str">
        <f t="shared" si="7"/>
        <v/>
      </c>
    </row>
    <row r="79" spans="1:15" ht="15" customHeight="1">
      <c r="A79" s="2"/>
      <c r="B79" s="15"/>
      <c r="C79" s="16"/>
      <c r="D79" s="25"/>
      <c r="E79" s="25"/>
      <c r="F79" s="295"/>
      <c r="G79" s="296"/>
      <c r="H79" s="296"/>
      <c r="I79" s="296"/>
      <c r="J79" s="296"/>
      <c r="K79" s="297"/>
      <c r="L79" s="303" t="str">
        <f>+IF(B79="","",IF(LOOKUP(O79,rascunho!CK:CK)=O79,"","S/DECL"))</f>
        <v/>
      </c>
      <c r="M79" s="11"/>
      <c r="O79" s="241" t="str">
        <f t="shared" si="7"/>
        <v/>
      </c>
    </row>
    <row r="80" spans="1:15" ht="15" customHeight="1">
      <c r="A80" s="2"/>
      <c r="B80" s="15"/>
      <c r="C80" s="16"/>
      <c r="D80" s="25"/>
      <c r="E80" s="25"/>
      <c r="F80" s="295"/>
      <c r="G80" s="296"/>
      <c r="H80" s="296"/>
      <c r="I80" s="296"/>
      <c r="J80" s="296"/>
      <c r="K80" s="297"/>
      <c r="L80" s="303" t="str">
        <f>+IF(B80="","",IF(LOOKUP(O80,rascunho!CK:CK)=O80,"","S/DECL"))</f>
        <v/>
      </c>
      <c r="M80" s="11"/>
      <c r="O80" s="241" t="str">
        <f t="shared" si="7"/>
        <v/>
      </c>
    </row>
    <row r="81" spans="1:15" ht="15" customHeight="1">
      <c r="A81" s="2"/>
      <c r="B81" s="15"/>
      <c r="C81" s="16"/>
      <c r="D81" s="25"/>
      <c r="E81" s="25"/>
      <c r="F81" s="295"/>
      <c r="G81" s="296"/>
      <c r="H81" s="296"/>
      <c r="I81" s="296"/>
      <c r="J81" s="296"/>
      <c r="K81" s="297"/>
      <c r="L81" s="303" t="str">
        <f>+IF(B81="","",IF(LOOKUP(O81,rascunho!CK:CK)=O81,"","S/DECL"))</f>
        <v/>
      </c>
      <c r="M81" s="11"/>
      <c r="O81" s="241" t="str">
        <f t="shared" si="7"/>
        <v/>
      </c>
    </row>
    <row r="82" spans="1:15" ht="15" customHeight="1">
      <c r="A82" s="2"/>
      <c r="B82" s="15"/>
      <c r="C82" s="16"/>
      <c r="D82" s="25"/>
      <c r="E82" s="25"/>
      <c r="F82" s="295"/>
      <c r="G82" s="296"/>
      <c r="H82" s="296"/>
      <c r="I82" s="296"/>
      <c r="J82" s="296"/>
      <c r="K82" s="297"/>
      <c r="L82" s="303" t="str">
        <f>+IF(B82="","",IF(LOOKUP(O82,rascunho!CK:CK)=O82,"","S/DECL"))</f>
        <v/>
      </c>
      <c r="M82" s="11"/>
      <c r="O82" s="241" t="str">
        <f t="shared" si="7"/>
        <v/>
      </c>
    </row>
    <row r="83" spans="1:15" ht="15" customHeight="1">
      <c r="A83" s="2"/>
      <c r="B83" s="15"/>
      <c r="C83" s="16"/>
      <c r="D83" s="25"/>
      <c r="E83" s="25"/>
      <c r="F83" s="295"/>
      <c r="G83" s="296"/>
      <c r="H83" s="296"/>
      <c r="I83" s="296"/>
      <c r="J83" s="296"/>
      <c r="K83" s="297"/>
      <c r="L83" s="303" t="str">
        <f>+IF(B83="","",IF(LOOKUP(O83,rascunho!CK:CK)=O83,"","S/DECL"))</f>
        <v/>
      </c>
      <c r="M83" s="11"/>
      <c r="O83" s="241" t="str">
        <f t="shared" si="7"/>
        <v/>
      </c>
    </row>
    <row r="84" spans="1:15" ht="15" customHeight="1">
      <c r="A84" s="2"/>
      <c r="B84" s="15"/>
      <c r="C84" s="16"/>
      <c r="D84" s="25"/>
      <c r="E84" s="25"/>
      <c r="F84" s="295"/>
      <c r="G84" s="296"/>
      <c r="H84" s="296"/>
      <c r="I84" s="296"/>
      <c r="J84" s="296"/>
      <c r="K84" s="297"/>
      <c r="L84" s="303" t="str">
        <f>+IF(B84="","",IF(LOOKUP(O84,rascunho!CK:CK)=O84,"","S/DECL"))</f>
        <v/>
      </c>
      <c r="M84" s="11"/>
      <c r="O84" s="241" t="str">
        <f t="shared" si="7"/>
        <v/>
      </c>
    </row>
    <row r="85" spans="1:15" ht="15" customHeight="1">
      <c r="A85" s="2"/>
      <c r="B85" s="15"/>
      <c r="C85" s="16"/>
      <c r="D85" s="25"/>
      <c r="E85" s="25"/>
      <c r="F85" s="295"/>
      <c r="G85" s="296"/>
      <c r="H85" s="296"/>
      <c r="I85" s="296"/>
      <c r="J85" s="296"/>
      <c r="K85" s="297"/>
      <c r="L85" s="303" t="str">
        <f>+IF(B85="","",IF(LOOKUP(O85,rascunho!CK:CK)=O85,"","S/DECL"))</f>
        <v/>
      </c>
      <c r="M85" s="11"/>
      <c r="O85" s="241" t="str">
        <f t="shared" si="7"/>
        <v/>
      </c>
    </row>
    <row r="86" spans="1:15" ht="15" customHeight="1">
      <c r="A86" s="2"/>
      <c r="B86" s="15"/>
      <c r="C86" s="16"/>
      <c r="D86" s="25"/>
      <c r="E86" s="25"/>
      <c r="F86" s="295"/>
      <c r="G86" s="296"/>
      <c r="H86" s="296"/>
      <c r="I86" s="296"/>
      <c r="J86" s="296"/>
      <c r="K86" s="297"/>
      <c r="L86" s="303" t="str">
        <f>+IF(B86="","",IF(LOOKUP(O86,rascunho!CK:CK)=O86,"","S/DECL"))</f>
        <v/>
      </c>
      <c r="M86" s="11"/>
      <c r="O86" s="241" t="str">
        <f t="shared" si="7"/>
        <v/>
      </c>
    </row>
    <row r="87" spans="1:15" ht="15" customHeight="1">
      <c r="A87" s="2"/>
      <c r="B87" s="15"/>
      <c r="C87" s="16"/>
      <c r="D87" s="25"/>
      <c r="E87" s="25"/>
      <c r="F87" s="295"/>
      <c r="G87" s="296"/>
      <c r="H87" s="296"/>
      <c r="I87" s="296"/>
      <c r="J87" s="296"/>
      <c r="K87" s="297"/>
      <c r="L87" s="303" t="str">
        <f>+IF(B87="","",IF(LOOKUP(O87,rascunho!CK:CK)=O87,"","S/DECL"))</f>
        <v/>
      </c>
      <c r="M87" s="11"/>
      <c r="O87" s="241" t="str">
        <f t="shared" si="7"/>
        <v/>
      </c>
    </row>
    <row r="88" spans="1:15" ht="15" customHeight="1">
      <c r="A88" s="2"/>
      <c r="B88" s="15"/>
      <c r="C88" s="16"/>
      <c r="D88" s="25"/>
      <c r="E88" s="25"/>
      <c r="F88" s="295"/>
      <c r="G88" s="296"/>
      <c r="H88" s="296"/>
      <c r="I88" s="296"/>
      <c r="J88" s="296"/>
      <c r="K88" s="297"/>
      <c r="L88" s="303" t="str">
        <f>+IF(B88="","",IF(LOOKUP(O88,rascunho!CK:CK)=O88,"","S/DECL"))</f>
        <v/>
      </c>
      <c r="M88" s="11"/>
      <c r="O88" s="241" t="str">
        <f t="shared" si="7"/>
        <v/>
      </c>
    </row>
    <row r="89" spans="1:15" ht="15" customHeight="1">
      <c r="A89" s="2"/>
      <c r="B89" s="15"/>
      <c r="C89" s="16"/>
      <c r="D89" s="25"/>
      <c r="E89" s="25"/>
      <c r="F89" s="295"/>
      <c r="G89" s="296"/>
      <c r="H89" s="296"/>
      <c r="I89" s="296"/>
      <c r="J89" s="296"/>
      <c r="K89" s="297"/>
      <c r="L89" s="303" t="str">
        <f>+IF(B89="","",IF(LOOKUP(O89,rascunho!CK:CK)=O89,"","S/DECL"))</f>
        <v/>
      </c>
      <c r="M89" s="11"/>
      <c r="O89" s="241" t="str">
        <f t="shared" si="7"/>
        <v/>
      </c>
    </row>
    <row r="90" spans="1:15" ht="15" customHeight="1">
      <c r="A90" s="2"/>
      <c r="B90" s="15"/>
      <c r="C90" s="16"/>
      <c r="D90" s="25"/>
      <c r="E90" s="25"/>
      <c r="F90" s="295"/>
      <c r="G90" s="296"/>
      <c r="H90" s="296"/>
      <c r="I90" s="296"/>
      <c r="J90" s="296"/>
      <c r="K90" s="297"/>
      <c r="L90" s="303" t="str">
        <f>+IF(B90="","",IF(LOOKUP(O90,rascunho!CK:CK)=O90,"","S/DECL"))</f>
        <v/>
      </c>
      <c r="M90" s="11"/>
      <c r="O90" s="241" t="str">
        <f t="shared" si="7"/>
        <v/>
      </c>
    </row>
    <row r="91" spans="1:15" ht="15" customHeight="1">
      <c r="A91" s="2"/>
      <c r="B91" s="15"/>
      <c r="C91" s="16"/>
      <c r="D91" s="25"/>
      <c r="E91" s="25"/>
      <c r="F91" s="295"/>
      <c r="G91" s="296"/>
      <c r="H91" s="296"/>
      <c r="I91" s="296"/>
      <c r="J91" s="296"/>
      <c r="K91" s="297"/>
      <c r="L91" s="303" t="str">
        <f>+IF(B91="","",IF(LOOKUP(O91,rascunho!CK:CK)=O91,"","S/DECL"))</f>
        <v/>
      </c>
      <c r="M91" s="11"/>
      <c r="O91" s="241" t="str">
        <f t="shared" si="7"/>
        <v/>
      </c>
    </row>
    <row r="92" spans="1:15" ht="15" customHeight="1">
      <c r="A92" s="2"/>
      <c r="B92" s="15"/>
      <c r="C92" s="16"/>
      <c r="D92" s="25"/>
      <c r="E92" s="25"/>
      <c r="F92" s="295"/>
      <c r="G92" s="296"/>
      <c r="H92" s="296"/>
      <c r="I92" s="296"/>
      <c r="J92" s="296"/>
      <c r="K92" s="297"/>
      <c r="L92" s="303" t="str">
        <f>+IF(B92="","",IF(LOOKUP(O92,rascunho!CK:CK)=O92,"","S/DECL"))</f>
        <v/>
      </c>
      <c r="M92" s="11"/>
      <c r="O92" s="241" t="str">
        <f t="shared" si="7"/>
        <v/>
      </c>
    </row>
    <row r="93" spans="1:15" ht="15" customHeight="1">
      <c r="A93" s="2"/>
      <c r="B93" s="15"/>
      <c r="C93" s="16"/>
      <c r="D93" s="25"/>
      <c r="E93" s="25"/>
      <c r="F93" s="295"/>
      <c r="G93" s="296"/>
      <c r="H93" s="296"/>
      <c r="I93" s="296"/>
      <c r="J93" s="296"/>
      <c r="K93" s="297"/>
      <c r="L93" s="303" t="str">
        <f>+IF(B93="","",IF(LOOKUP(O93,rascunho!CK:CK)=O93,"","S/DECL"))</f>
        <v/>
      </c>
      <c r="M93" s="11"/>
      <c r="O93" s="241" t="str">
        <f t="shared" si="7"/>
        <v/>
      </c>
    </row>
    <row r="94" spans="1:15" ht="15" customHeight="1">
      <c r="A94" s="2"/>
      <c r="B94" s="15"/>
      <c r="C94" s="16"/>
      <c r="D94" s="25"/>
      <c r="E94" s="25"/>
      <c r="F94" s="295"/>
      <c r="G94" s="296"/>
      <c r="H94" s="296"/>
      <c r="I94" s="296"/>
      <c r="J94" s="296"/>
      <c r="K94" s="297"/>
      <c r="L94" s="303" t="str">
        <f>+IF(B94="","",IF(LOOKUP(O94,rascunho!CK:CK)=O94,"","S/DECL"))</f>
        <v/>
      </c>
      <c r="M94" s="11"/>
      <c r="O94" s="241" t="str">
        <f t="shared" si="7"/>
        <v/>
      </c>
    </row>
    <row r="95" spans="1:15" ht="15" customHeight="1">
      <c r="A95" s="2"/>
      <c r="B95" s="15"/>
      <c r="C95" s="16"/>
      <c r="D95" s="25"/>
      <c r="E95" s="25"/>
      <c r="F95" s="295"/>
      <c r="G95" s="296"/>
      <c r="H95" s="296"/>
      <c r="I95" s="296"/>
      <c r="J95" s="296"/>
      <c r="K95" s="297"/>
      <c r="L95" s="303" t="str">
        <f>+IF(B95="","",IF(LOOKUP(O95,rascunho!CK:CK)=O95,"","S/DECL"))</f>
        <v/>
      </c>
      <c r="M95" s="11"/>
      <c r="O95" s="241" t="str">
        <f t="shared" si="7"/>
        <v/>
      </c>
    </row>
    <row r="96" spans="1:15" ht="15" customHeight="1">
      <c r="A96" s="2"/>
      <c r="B96" s="15"/>
      <c r="C96" s="16"/>
      <c r="D96" s="25"/>
      <c r="E96" s="25"/>
      <c r="F96" s="295"/>
      <c r="G96" s="296"/>
      <c r="H96" s="296"/>
      <c r="I96" s="296"/>
      <c r="J96" s="296"/>
      <c r="K96" s="297"/>
      <c r="L96" s="303" t="str">
        <f>+IF(B96="","",IF(LOOKUP(O96,rascunho!CK:CK)=O96,"","S/DECL"))</f>
        <v/>
      </c>
      <c r="M96" s="11"/>
      <c r="O96" s="241" t="str">
        <f t="shared" si="7"/>
        <v/>
      </c>
    </row>
    <row r="97" spans="1:15" ht="15" customHeight="1">
      <c r="A97" s="2"/>
      <c r="B97" s="15"/>
      <c r="C97" s="16"/>
      <c r="D97" s="25"/>
      <c r="E97" s="25"/>
      <c r="F97" s="295"/>
      <c r="G97" s="296"/>
      <c r="H97" s="296"/>
      <c r="I97" s="296"/>
      <c r="J97" s="296"/>
      <c r="K97" s="297"/>
      <c r="L97" s="303" t="str">
        <f>+IF(B97="","",IF(LOOKUP(O97,rascunho!CK:CK)=O97,"","S/DECL"))</f>
        <v/>
      </c>
      <c r="M97" s="11"/>
      <c r="O97" s="241" t="str">
        <f t="shared" si="7"/>
        <v/>
      </c>
    </row>
    <row r="98" spans="1:15" ht="15" customHeight="1">
      <c r="A98" s="2"/>
      <c r="B98" s="15"/>
      <c r="C98" s="16"/>
      <c r="D98" s="25"/>
      <c r="E98" s="25"/>
      <c r="F98" s="295"/>
      <c r="G98" s="296"/>
      <c r="H98" s="296"/>
      <c r="I98" s="296"/>
      <c r="J98" s="296"/>
      <c r="K98" s="297"/>
      <c r="L98" s="303" t="str">
        <f>+IF(B98="","",IF(LOOKUP(O98,rascunho!CK:CK)=O98,"","S/DECL"))</f>
        <v/>
      </c>
      <c r="M98" s="11"/>
      <c r="O98" s="241" t="str">
        <f t="shared" si="7"/>
        <v/>
      </c>
    </row>
    <row r="99" spans="1:15" ht="15" customHeight="1">
      <c r="A99" s="2"/>
      <c r="B99" s="15"/>
      <c r="C99" s="16"/>
      <c r="D99" s="25"/>
      <c r="E99" s="25"/>
      <c r="F99" s="295"/>
      <c r="G99" s="296"/>
      <c r="H99" s="296"/>
      <c r="I99" s="296"/>
      <c r="J99" s="296"/>
      <c r="K99" s="297"/>
      <c r="L99" s="303" t="str">
        <f>+IF(B99="","",IF(LOOKUP(O99,rascunho!CK:CK)=O99,"","S/DECL"))</f>
        <v/>
      </c>
      <c r="M99" s="11"/>
      <c r="O99" s="241" t="str">
        <f t="shared" si="7"/>
        <v/>
      </c>
    </row>
    <row r="100" spans="1:15" ht="15" customHeight="1">
      <c r="A100" s="2"/>
      <c r="B100" s="15"/>
      <c r="C100" s="16"/>
      <c r="D100" s="25"/>
      <c r="E100" s="25"/>
      <c r="F100" s="295"/>
      <c r="G100" s="296"/>
      <c r="H100" s="296"/>
      <c r="I100" s="296"/>
      <c r="J100" s="296"/>
      <c r="K100" s="297"/>
      <c r="L100" s="303" t="str">
        <f>+IF(B100="","",IF(LOOKUP(O100,rascunho!CK:CK)=O100,"","S/DECL"))</f>
        <v/>
      </c>
      <c r="M100" s="11"/>
      <c r="O100" s="241" t="str">
        <f t="shared" ref="O100:O131" si="8">+IF(B100="","",YEAR(B100))</f>
        <v/>
      </c>
    </row>
    <row r="101" spans="1:15" ht="15" customHeight="1">
      <c r="A101" s="2"/>
      <c r="B101" s="15"/>
      <c r="C101" s="16"/>
      <c r="D101" s="25"/>
      <c r="E101" s="25"/>
      <c r="F101" s="295"/>
      <c r="G101" s="296"/>
      <c r="H101" s="296"/>
      <c r="I101" s="296"/>
      <c r="J101" s="296"/>
      <c r="K101" s="297"/>
      <c r="L101" s="303" t="str">
        <f>+IF(B101="","",IF(LOOKUP(O101,rascunho!CK:CK)=O101,"","S/DECL"))</f>
        <v/>
      </c>
      <c r="M101" s="11"/>
      <c r="O101" s="241" t="str">
        <f t="shared" si="8"/>
        <v/>
      </c>
    </row>
    <row r="102" spans="1:15" ht="15" customHeight="1">
      <c r="A102" s="2"/>
      <c r="B102" s="15"/>
      <c r="C102" s="16"/>
      <c r="D102" s="25"/>
      <c r="E102" s="25"/>
      <c r="F102" s="295"/>
      <c r="G102" s="296"/>
      <c r="H102" s="296"/>
      <c r="I102" s="296"/>
      <c r="J102" s="296"/>
      <c r="K102" s="297"/>
      <c r="L102" s="303" t="str">
        <f>+IF(B102="","",IF(LOOKUP(O102,rascunho!CK:CK)=O102,"","S/DECL"))</f>
        <v/>
      </c>
      <c r="M102" s="11"/>
      <c r="O102" s="241" t="str">
        <f t="shared" si="8"/>
        <v/>
      </c>
    </row>
    <row r="103" spans="1:15" ht="15" customHeight="1">
      <c r="A103" s="2"/>
      <c r="B103" s="15"/>
      <c r="C103" s="16"/>
      <c r="D103" s="25"/>
      <c r="E103" s="25"/>
      <c r="F103" s="295"/>
      <c r="G103" s="296"/>
      <c r="H103" s="296"/>
      <c r="I103" s="296"/>
      <c r="J103" s="296"/>
      <c r="K103" s="297"/>
      <c r="L103" s="303" t="str">
        <f>+IF(B103="","",IF(LOOKUP(O103,rascunho!CK:CK)=O103,"","S/DECL"))</f>
        <v/>
      </c>
      <c r="M103" s="11"/>
      <c r="O103" s="241" t="str">
        <f t="shared" si="8"/>
        <v/>
      </c>
    </row>
    <row r="104" spans="1:15" ht="15" customHeight="1">
      <c r="A104" s="2"/>
      <c r="B104" s="15"/>
      <c r="C104" s="16"/>
      <c r="D104" s="25"/>
      <c r="E104" s="25"/>
      <c r="F104" s="295"/>
      <c r="G104" s="296"/>
      <c r="H104" s="296"/>
      <c r="I104" s="296"/>
      <c r="J104" s="296"/>
      <c r="K104" s="297"/>
      <c r="L104" s="303" t="str">
        <f>+IF(B104="","",IF(LOOKUP(O104,rascunho!CK:CK)=O104,"","S/DECL"))</f>
        <v/>
      </c>
      <c r="M104" s="11"/>
      <c r="O104" s="241" t="str">
        <f t="shared" si="8"/>
        <v/>
      </c>
    </row>
    <row r="105" spans="1:15" ht="15" customHeight="1">
      <c r="A105" s="2"/>
      <c r="B105" s="15"/>
      <c r="C105" s="16"/>
      <c r="D105" s="25"/>
      <c r="E105" s="25"/>
      <c r="F105" s="295"/>
      <c r="G105" s="296"/>
      <c r="H105" s="296"/>
      <c r="I105" s="296"/>
      <c r="J105" s="296"/>
      <c r="K105" s="297"/>
      <c r="L105" s="303" t="str">
        <f>+IF(B105="","",IF(LOOKUP(O105,rascunho!CK:CK)=O105,"","S/DECL"))</f>
        <v/>
      </c>
      <c r="M105" s="11"/>
      <c r="O105" s="241" t="str">
        <f t="shared" si="8"/>
        <v/>
      </c>
    </row>
    <row r="106" spans="1:15" ht="15" customHeight="1">
      <c r="A106" s="2"/>
      <c r="B106" s="15"/>
      <c r="C106" s="16"/>
      <c r="D106" s="25"/>
      <c r="E106" s="25"/>
      <c r="F106" s="295"/>
      <c r="G106" s="296"/>
      <c r="H106" s="296"/>
      <c r="I106" s="296"/>
      <c r="J106" s="296"/>
      <c r="K106" s="297"/>
      <c r="L106" s="303" t="str">
        <f>+IF(B106="","",IF(LOOKUP(O106,rascunho!CK:CK)=O106,"","S/DECL"))</f>
        <v/>
      </c>
      <c r="M106" s="11"/>
      <c r="O106" s="241" t="str">
        <f t="shared" si="8"/>
        <v/>
      </c>
    </row>
    <row r="107" spans="1:15" ht="15" customHeight="1">
      <c r="A107" s="2"/>
      <c r="B107" s="15"/>
      <c r="C107" s="16"/>
      <c r="D107" s="25"/>
      <c r="E107" s="25"/>
      <c r="F107" s="295"/>
      <c r="G107" s="296"/>
      <c r="H107" s="296"/>
      <c r="I107" s="296"/>
      <c r="J107" s="296"/>
      <c r="K107" s="297"/>
      <c r="L107" s="303" t="str">
        <f>+IF(B107="","",IF(LOOKUP(O107,rascunho!CK:CK)=O107,"","S/DECL"))</f>
        <v/>
      </c>
      <c r="M107" s="11"/>
      <c r="O107" s="241" t="str">
        <f t="shared" si="8"/>
        <v/>
      </c>
    </row>
    <row r="108" spans="1:15" ht="15" customHeight="1">
      <c r="A108" s="2"/>
      <c r="B108" s="15"/>
      <c r="C108" s="16"/>
      <c r="D108" s="25"/>
      <c r="E108" s="25"/>
      <c r="F108" s="295"/>
      <c r="G108" s="296"/>
      <c r="H108" s="296"/>
      <c r="I108" s="296"/>
      <c r="J108" s="296"/>
      <c r="K108" s="297"/>
      <c r="L108" s="303" t="str">
        <f>+IF(B108="","",IF(LOOKUP(O108,rascunho!CK:CK)=O108,"","S/DECL"))</f>
        <v/>
      </c>
      <c r="M108" s="11"/>
      <c r="O108" s="241" t="str">
        <f t="shared" si="8"/>
        <v/>
      </c>
    </row>
    <row r="109" spans="1:15" ht="15" customHeight="1">
      <c r="A109" s="2"/>
      <c r="B109" s="15"/>
      <c r="C109" s="16"/>
      <c r="D109" s="25"/>
      <c r="E109" s="25"/>
      <c r="F109" s="295"/>
      <c r="G109" s="296"/>
      <c r="H109" s="296"/>
      <c r="I109" s="296"/>
      <c r="J109" s="296"/>
      <c r="K109" s="297"/>
      <c r="L109" s="303" t="str">
        <f>+IF(B109="","",IF(LOOKUP(O109,rascunho!CK:CK)=O109,"","S/DECL"))</f>
        <v/>
      </c>
      <c r="M109" s="11"/>
      <c r="O109" s="241" t="str">
        <f t="shared" si="8"/>
        <v/>
      </c>
    </row>
    <row r="110" spans="1:15" ht="15" customHeight="1">
      <c r="A110" s="2"/>
      <c r="B110" s="15"/>
      <c r="C110" s="16"/>
      <c r="D110" s="25"/>
      <c r="E110" s="25"/>
      <c r="F110" s="295"/>
      <c r="G110" s="296"/>
      <c r="H110" s="296"/>
      <c r="I110" s="296"/>
      <c r="J110" s="296"/>
      <c r="K110" s="297"/>
      <c r="L110" s="303" t="str">
        <f>+IF(B110="","",IF(LOOKUP(O110,rascunho!CK:CK)=O110,"","S/DECL"))</f>
        <v/>
      </c>
      <c r="M110" s="11"/>
      <c r="O110" s="241" t="str">
        <f t="shared" si="8"/>
        <v/>
      </c>
    </row>
    <row r="111" spans="1:15" ht="15" customHeight="1">
      <c r="A111" s="2"/>
      <c r="B111" s="15"/>
      <c r="C111" s="16"/>
      <c r="D111" s="25"/>
      <c r="E111" s="25"/>
      <c r="F111" s="295"/>
      <c r="G111" s="296"/>
      <c r="H111" s="296"/>
      <c r="I111" s="296"/>
      <c r="J111" s="296"/>
      <c r="K111" s="297"/>
      <c r="L111" s="303" t="str">
        <f>+IF(B111="","",IF(LOOKUP(O111,rascunho!CK:CK)=O111,"","S/DECL"))</f>
        <v/>
      </c>
      <c r="M111" s="11"/>
      <c r="O111" s="241" t="str">
        <f t="shared" si="8"/>
        <v/>
      </c>
    </row>
    <row r="112" spans="1:15" ht="15" customHeight="1">
      <c r="A112" s="2"/>
      <c r="B112" s="15"/>
      <c r="C112" s="16"/>
      <c r="D112" s="25"/>
      <c r="E112" s="25"/>
      <c r="F112" s="295"/>
      <c r="G112" s="296"/>
      <c r="H112" s="296"/>
      <c r="I112" s="296"/>
      <c r="J112" s="296"/>
      <c r="K112" s="297"/>
      <c r="L112" s="303" t="str">
        <f>+IF(B112="","",IF(LOOKUP(O112,rascunho!CK:CK)=O112,"","S/DECL"))</f>
        <v/>
      </c>
      <c r="M112" s="11"/>
      <c r="O112" s="241" t="str">
        <f t="shared" si="8"/>
        <v/>
      </c>
    </row>
    <row r="113" spans="1:15" ht="15" customHeight="1">
      <c r="A113" s="2"/>
      <c r="B113" s="15"/>
      <c r="C113" s="16"/>
      <c r="D113" s="25"/>
      <c r="E113" s="25"/>
      <c r="F113" s="295"/>
      <c r="G113" s="296"/>
      <c r="H113" s="296"/>
      <c r="I113" s="296"/>
      <c r="J113" s="296"/>
      <c r="K113" s="297"/>
      <c r="L113" s="303" t="str">
        <f>+IF(B113="","",IF(LOOKUP(O113,rascunho!CK:CK)=O113,"","S/DECL"))</f>
        <v/>
      </c>
      <c r="M113" s="11"/>
      <c r="O113" s="241" t="str">
        <f t="shared" si="8"/>
        <v/>
      </c>
    </row>
    <row r="114" spans="1:15" ht="15" customHeight="1">
      <c r="A114" s="2"/>
      <c r="B114" s="15"/>
      <c r="C114" s="16"/>
      <c r="D114" s="25"/>
      <c r="E114" s="25"/>
      <c r="F114" s="295"/>
      <c r="G114" s="296"/>
      <c r="H114" s="296"/>
      <c r="I114" s="296"/>
      <c r="J114" s="296"/>
      <c r="K114" s="297"/>
      <c r="L114" s="303" t="str">
        <f>+IF(B114="","",IF(LOOKUP(O114,rascunho!CK:CK)=O114,"","S/DECL"))</f>
        <v/>
      </c>
      <c r="M114" s="11"/>
      <c r="O114" s="241" t="str">
        <f t="shared" si="8"/>
        <v/>
      </c>
    </row>
    <row r="115" spans="1:15" ht="15" customHeight="1">
      <c r="A115" s="2"/>
      <c r="B115" s="15"/>
      <c r="C115" s="16"/>
      <c r="D115" s="25"/>
      <c r="E115" s="25"/>
      <c r="F115" s="295"/>
      <c r="G115" s="296"/>
      <c r="H115" s="296"/>
      <c r="I115" s="296"/>
      <c r="J115" s="296"/>
      <c r="K115" s="297"/>
      <c r="L115" s="303" t="str">
        <f>+IF(B115="","",IF(LOOKUP(O115,rascunho!CK:CK)=O115,"","S/DECL"))</f>
        <v/>
      </c>
      <c r="M115" s="11"/>
      <c r="O115" s="241" t="str">
        <f t="shared" si="8"/>
        <v/>
      </c>
    </row>
    <row r="116" spans="1:15" ht="15" customHeight="1">
      <c r="A116" s="2"/>
      <c r="B116" s="15"/>
      <c r="C116" s="16"/>
      <c r="D116" s="25"/>
      <c r="E116" s="25"/>
      <c r="F116" s="295"/>
      <c r="G116" s="296"/>
      <c r="H116" s="296"/>
      <c r="I116" s="296"/>
      <c r="J116" s="296"/>
      <c r="K116" s="297"/>
      <c r="L116" s="303" t="str">
        <f>+IF(B116="","",IF(LOOKUP(O116,rascunho!CK:CK)=O116,"","S/DECL"))</f>
        <v/>
      </c>
      <c r="M116" s="11"/>
      <c r="O116" s="241" t="str">
        <f t="shared" si="8"/>
        <v/>
      </c>
    </row>
    <row r="117" spans="1:15" ht="15" customHeight="1">
      <c r="A117" s="2"/>
      <c r="B117" s="15"/>
      <c r="C117" s="16"/>
      <c r="D117" s="25"/>
      <c r="E117" s="25"/>
      <c r="F117" s="295"/>
      <c r="G117" s="296"/>
      <c r="H117" s="296"/>
      <c r="I117" s="296"/>
      <c r="J117" s="296"/>
      <c r="K117" s="297"/>
      <c r="L117" s="303" t="str">
        <f>+IF(B117="","",IF(LOOKUP(O117,rascunho!CK:CK)=O117,"","S/DECL"))</f>
        <v/>
      </c>
      <c r="M117" s="11"/>
      <c r="O117" s="241" t="str">
        <f t="shared" si="8"/>
        <v/>
      </c>
    </row>
    <row r="118" spans="1:15" ht="15" customHeight="1">
      <c r="A118" s="2"/>
      <c r="B118" s="15"/>
      <c r="C118" s="16"/>
      <c r="D118" s="25"/>
      <c r="E118" s="25"/>
      <c r="F118" s="295"/>
      <c r="G118" s="296"/>
      <c r="H118" s="296"/>
      <c r="I118" s="296"/>
      <c r="J118" s="296"/>
      <c r="K118" s="297"/>
      <c r="L118" s="303" t="str">
        <f>+IF(B118="","",IF(LOOKUP(O118,rascunho!CK:CK)=O118,"","S/DECL"))</f>
        <v/>
      </c>
      <c r="M118" s="11"/>
      <c r="O118" s="241" t="str">
        <f t="shared" si="8"/>
        <v/>
      </c>
    </row>
    <row r="119" spans="1:15" ht="15" customHeight="1">
      <c r="A119" s="2"/>
      <c r="B119" s="15"/>
      <c r="C119" s="16"/>
      <c r="D119" s="25"/>
      <c r="E119" s="25"/>
      <c r="F119" s="295"/>
      <c r="G119" s="296"/>
      <c r="H119" s="296"/>
      <c r="I119" s="296"/>
      <c r="J119" s="296"/>
      <c r="K119" s="297"/>
      <c r="L119" s="303" t="str">
        <f>+IF(B119="","",IF(LOOKUP(O119,rascunho!CK:CK)=O119,"","S/DECL"))</f>
        <v/>
      </c>
      <c r="M119" s="11"/>
      <c r="O119" s="241" t="str">
        <f t="shared" si="8"/>
        <v/>
      </c>
    </row>
    <row r="120" spans="1:15" ht="15" customHeight="1">
      <c r="A120" s="2"/>
      <c r="B120" s="15"/>
      <c r="C120" s="16"/>
      <c r="D120" s="25"/>
      <c r="E120" s="25"/>
      <c r="F120" s="295"/>
      <c r="G120" s="296"/>
      <c r="H120" s="296"/>
      <c r="I120" s="296"/>
      <c r="J120" s="296"/>
      <c r="K120" s="297"/>
      <c r="L120" s="303" t="str">
        <f>+IF(B120="","",IF(LOOKUP(O120,rascunho!CK:CK)=O120,"","S/DECL"))</f>
        <v/>
      </c>
      <c r="M120" s="11"/>
      <c r="O120" s="241" t="str">
        <f t="shared" si="8"/>
        <v/>
      </c>
    </row>
    <row r="121" spans="1:15" ht="15" customHeight="1">
      <c r="A121" s="2"/>
      <c r="B121" s="15"/>
      <c r="C121" s="16"/>
      <c r="D121" s="25"/>
      <c r="E121" s="25"/>
      <c r="F121" s="295"/>
      <c r="G121" s="296"/>
      <c r="H121" s="296"/>
      <c r="I121" s="296"/>
      <c r="J121" s="296"/>
      <c r="K121" s="297"/>
      <c r="L121" s="303" t="str">
        <f>+IF(B121="","",IF(LOOKUP(O121,rascunho!CK:CK)=O121,"","S/DECL"))</f>
        <v/>
      </c>
      <c r="M121" s="11"/>
      <c r="O121" s="241" t="str">
        <f t="shared" si="8"/>
        <v/>
      </c>
    </row>
    <row r="122" spans="1:15" ht="15" customHeight="1">
      <c r="A122" s="2"/>
      <c r="B122" s="15"/>
      <c r="C122" s="16"/>
      <c r="D122" s="25"/>
      <c r="E122" s="25"/>
      <c r="F122" s="295"/>
      <c r="G122" s="296"/>
      <c r="H122" s="296"/>
      <c r="I122" s="296"/>
      <c r="J122" s="296"/>
      <c r="K122" s="297"/>
      <c r="L122" s="303" t="str">
        <f>+IF(B122="","",IF(LOOKUP(O122,rascunho!CK:CK)=O122,"","S/DECL"))</f>
        <v/>
      </c>
      <c r="M122" s="11"/>
      <c r="O122" s="241" t="str">
        <f t="shared" si="8"/>
        <v/>
      </c>
    </row>
    <row r="123" spans="1:15" ht="15" customHeight="1">
      <c r="A123" s="2"/>
      <c r="B123" s="15"/>
      <c r="C123" s="16"/>
      <c r="D123" s="25"/>
      <c r="E123" s="25"/>
      <c r="F123" s="295"/>
      <c r="G123" s="296"/>
      <c r="H123" s="296"/>
      <c r="I123" s="296"/>
      <c r="J123" s="296"/>
      <c r="K123" s="297"/>
      <c r="L123" s="303" t="str">
        <f>+IF(B123="","",IF(LOOKUP(O123,rascunho!CK:CK)=O123,"","S/DECL"))</f>
        <v/>
      </c>
      <c r="M123" s="11"/>
      <c r="O123" s="241" t="str">
        <f t="shared" si="8"/>
        <v/>
      </c>
    </row>
    <row r="124" spans="1:15" ht="15" customHeight="1">
      <c r="A124" s="2"/>
      <c r="B124" s="15"/>
      <c r="C124" s="16"/>
      <c r="D124" s="25"/>
      <c r="E124" s="25"/>
      <c r="F124" s="295"/>
      <c r="G124" s="296"/>
      <c r="H124" s="296"/>
      <c r="I124" s="296"/>
      <c r="J124" s="296"/>
      <c r="K124" s="297"/>
      <c r="L124" s="303" t="str">
        <f>+IF(B124="","",IF(LOOKUP(O124,rascunho!CK:CK)=O124,"","S/DECL"))</f>
        <v/>
      </c>
      <c r="M124" s="11"/>
      <c r="O124" s="241" t="str">
        <f t="shared" si="8"/>
        <v/>
      </c>
    </row>
    <row r="125" spans="1:15" ht="15" customHeight="1">
      <c r="A125" s="2"/>
      <c r="B125" s="15"/>
      <c r="C125" s="16"/>
      <c r="D125" s="25"/>
      <c r="E125" s="25"/>
      <c r="F125" s="295"/>
      <c r="G125" s="296"/>
      <c r="H125" s="296"/>
      <c r="I125" s="296"/>
      <c r="J125" s="296"/>
      <c r="K125" s="297"/>
      <c r="L125" s="303" t="str">
        <f>+IF(B125="","",IF(LOOKUP(O125,rascunho!CK:CK)=O125,"","S/DECL"))</f>
        <v/>
      </c>
      <c r="M125" s="11"/>
      <c r="O125" s="241" t="str">
        <f t="shared" si="8"/>
        <v/>
      </c>
    </row>
    <row r="126" spans="1:15" ht="15" customHeight="1">
      <c r="A126" s="2"/>
      <c r="B126" s="15"/>
      <c r="C126" s="16"/>
      <c r="D126" s="25"/>
      <c r="E126" s="25"/>
      <c r="F126" s="295"/>
      <c r="G126" s="296"/>
      <c r="H126" s="296"/>
      <c r="I126" s="296"/>
      <c r="J126" s="296"/>
      <c r="K126" s="297"/>
      <c r="L126" s="303" t="str">
        <f>+IF(B126="","",IF(LOOKUP(O126,rascunho!CK:CK)=O126,"","S/DECL"))</f>
        <v/>
      </c>
      <c r="M126" s="11"/>
      <c r="O126" s="241" t="str">
        <f t="shared" si="8"/>
        <v/>
      </c>
    </row>
    <row r="127" spans="1:15" ht="15" customHeight="1">
      <c r="A127" s="2"/>
      <c r="B127" s="15"/>
      <c r="C127" s="16"/>
      <c r="D127" s="25"/>
      <c r="E127" s="25"/>
      <c r="F127" s="295"/>
      <c r="G127" s="296"/>
      <c r="H127" s="296"/>
      <c r="I127" s="296"/>
      <c r="J127" s="296"/>
      <c r="K127" s="297"/>
      <c r="L127" s="303" t="str">
        <f>+IF(B127="","",IF(LOOKUP(O127,rascunho!CK:CK)=O127,"","S/DECL"))</f>
        <v/>
      </c>
      <c r="M127" s="11"/>
      <c r="O127" s="241" t="str">
        <f t="shared" si="8"/>
        <v/>
      </c>
    </row>
    <row r="128" spans="1:15" ht="15" customHeight="1">
      <c r="A128" s="2"/>
      <c r="B128" s="15"/>
      <c r="C128" s="16"/>
      <c r="D128" s="25"/>
      <c r="E128" s="25"/>
      <c r="F128" s="295"/>
      <c r="G128" s="296"/>
      <c r="H128" s="296"/>
      <c r="I128" s="296"/>
      <c r="J128" s="296"/>
      <c r="K128" s="297"/>
      <c r="L128" s="303" t="str">
        <f>+IF(B128="","",IF(LOOKUP(O128,rascunho!CK:CK)=O128,"","S/DECL"))</f>
        <v/>
      </c>
      <c r="M128" s="11"/>
      <c r="O128" s="241" t="str">
        <f t="shared" si="8"/>
        <v/>
      </c>
    </row>
    <row r="129" spans="1:15" ht="15" customHeight="1">
      <c r="A129" s="2"/>
      <c r="B129" s="15"/>
      <c r="C129" s="16"/>
      <c r="D129" s="25"/>
      <c r="E129" s="25"/>
      <c r="F129" s="295"/>
      <c r="G129" s="296"/>
      <c r="H129" s="296"/>
      <c r="I129" s="296"/>
      <c r="J129" s="296"/>
      <c r="K129" s="297"/>
      <c r="L129" s="303" t="str">
        <f>+IF(B129="","",IF(LOOKUP(O129,rascunho!CK:CK)=O129,"","S/DECL"))</f>
        <v/>
      </c>
      <c r="M129" s="11"/>
      <c r="O129" s="241" t="str">
        <f t="shared" si="8"/>
        <v/>
      </c>
    </row>
    <row r="130" spans="1:15" ht="15" customHeight="1">
      <c r="A130" s="2"/>
      <c r="B130" s="15"/>
      <c r="C130" s="16"/>
      <c r="D130" s="25"/>
      <c r="E130" s="25"/>
      <c r="F130" s="295"/>
      <c r="G130" s="296"/>
      <c r="H130" s="296"/>
      <c r="I130" s="296"/>
      <c r="J130" s="296"/>
      <c r="K130" s="297"/>
      <c r="L130" s="303" t="str">
        <f>+IF(B130="","",IF(LOOKUP(O130,rascunho!CK:CK)=O130,"","S/DECL"))</f>
        <v/>
      </c>
      <c r="M130" s="11"/>
      <c r="O130" s="241" t="str">
        <f t="shared" si="8"/>
        <v/>
      </c>
    </row>
    <row r="131" spans="1:15" ht="15" customHeight="1">
      <c r="A131" s="2"/>
      <c r="B131" s="15"/>
      <c r="C131" s="16"/>
      <c r="D131" s="25"/>
      <c r="E131" s="25"/>
      <c r="F131" s="295"/>
      <c r="G131" s="296"/>
      <c r="H131" s="296"/>
      <c r="I131" s="296"/>
      <c r="J131" s="296"/>
      <c r="K131" s="297"/>
      <c r="L131" s="303" t="str">
        <f>+IF(B131="","",IF(LOOKUP(O131,rascunho!CK:CK)=O131,"","S/DECL"))</f>
        <v/>
      </c>
      <c r="M131" s="11"/>
      <c r="O131" s="241" t="str">
        <f t="shared" si="8"/>
        <v/>
      </c>
    </row>
    <row r="132" spans="1:15" ht="15" customHeight="1">
      <c r="A132" s="2"/>
      <c r="B132" s="15"/>
      <c r="C132" s="16"/>
      <c r="D132" s="25"/>
      <c r="E132" s="25"/>
      <c r="F132" s="295"/>
      <c r="G132" s="296"/>
      <c r="H132" s="296"/>
      <c r="I132" s="296"/>
      <c r="J132" s="296"/>
      <c r="K132" s="297"/>
      <c r="L132" s="303" t="str">
        <f>+IF(B132="","",IF(LOOKUP(O132,rascunho!CK:CK)=O132,"","S/DECL"))</f>
        <v/>
      </c>
      <c r="M132" s="11"/>
      <c r="O132" s="241" t="str">
        <f t="shared" ref="O132:O144" si="9">+IF(B132="","",YEAR(B132))</f>
        <v/>
      </c>
    </row>
    <row r="133" spans="1:15" ht="15" customHeight="1">
      <c r="A133" s="2"/>
      <c r="B133" s="15"/>
      <c r="C133" s="16"/>
      <c r="D133" s="25"/>
      <c r="E133" s="25"/>
      <c r="F133" s="295"/>
      <c r="G133" s="296"/>
      <c r="H133" s="296"/>
      <c r="I133" s="296"/>
      <c r="J133" s="296"/>
      <c r="K133" s="297"/>
      <c r="L133" s="303" t="str">
        <f>+IF(B133="","",IF(LOOKUP(O133,rascunho!CK:CK)=O133,"","S/DECL"))</f>
        <v/>
      </c>
      <c r="M133" s="11"/>
      <c r="O133" s="241" t="str">
        <f t="shared" si="9"/>
        <v/>
      </c>
    </row>
    <row r="134" spans="1:15" ht="15" customHeight="1">
      <c r="A134" s="2"/>
      <c r="B134" s="15"/>
      <c r="C134" s="16"/>
      <c r="D134" s="25"/>
      <c r="E134" s="25"/>
      <c r="F134" s="295"/>
      <c r="G134" s="296"/>
      <c r="H134" s="296"/>
      <c r="I134" s="296"/>
      <c r="J134" s="296"/>
      <c r="K134" s="297"/>
      <c r="L134" s="303" t="str">
        <f>+IF(B134="","",IF(LOOKUP(O134,rascunho!CK:CK)=O134,"","S/DECL"))</f>
        <v/>
      </c>
      <c r="M134" s="11"/>
      <c r="O134" s="241" t="str">
        <f t="shared" si="9"/>
        <v/>
      </c>
    </row>
    <row r="135" spans="1:15" ht="15" customHeight="1">
      <c r="A135" s="2"/>
      <c r="B135" s="15"/>
      <c r="C135" s="16"/>
      <c r="D135" s="25"/>
      <c r="E135" s="25"/>
      <c r="F135" s="295"/>
      <c r="G135" s="296"/>
      <c r="H135" s="296"/>
      <c r="I135" s="296"/>
      <c r="J135" s="296"/>
      <c r="K135" s="297"/>
      <c r="L135" s="303" t="str">
        <f>+IF(B135="","",IF(LOOKUP(O135,rascunho!CK:CK)=O135,"","S/DECL"))</f>
        <v/>
      </c>
      <c r="M135" s="11"/>
      <c r="O135" s="241" t="str">
        <f t="shared" si="9"/>
        <v/>
      </c>
    </row>
    <row r="136" spans="1:15" ht="15" customHeight="1">
      <c r="A136" s="2"/>
      <c r="B136" s="15"/>
      <c r="C136" s="16"/>
      <c r="D136" s="25"/>
      <c r="E136" s="25"/>
      <c r="F136" s="295"/>
      <c r="G136" s="296"/>
      <c r="H136" s="296"/>
      <c r="I136" s="296"/>
      <c r="J136" s="296"/>
      <c r="K136" s="297"/>
      <c r="L136" s="303" t="str">
        <f>+IF(B136="","",IF(LOOKUP(O136,rascunho!CK:CK)=O136,"","S/DECL"))</f>
        <v/>
      </c>
      <c r="M136" s="11"/>
      <c r="O136" s="241" t="str">
        <f t="shared" si="9"/>
        <v/>
      </c>
    </row>
    <row r="137" spans="1:15" ht="15" customHeight="1">
      <c r="A137" s="2"/>
      <c r="B137" s="15"/>
      <c r="C137" s="16"/>
      <c r="D137" s="25"/>
      <c r="E137" s="25"/>
      <c r="F137" s="295"/>
      <c r="G137" s="296"/>
      <c r="H137" s="296"/>
      <c r="I137" s="296"/>
      <c r="J137" s="296"/>
      <c r="K137" s="297"/>
      <c r="L137" s="303" t="str">
        <f>+IF(B137="","",IF(LOOKUP(O137,rascunho!CK:CK)=O137,"","S/DECL"))</f>
        <v/>
      </c>
      <c r="M137" s="11"/>
      <c r="O137" s="241" t="str">
        <f t="shared" si="9"/>
        <v/>
      </c>
    </row>
    <row r="138" spans="1:15" ht="15" customHeight="1">
      <c r="A138" s="2"/>
      <c r="B138" s="15"/>
      <c r="C138" s="16"/>
      <c r="D138" s="25"/>
      <c r="E138" s="25"/>
      <c r="F138" s="295"/>
      <c r="G138" s="296"/>
      <c r="H138" s="296"/>
      <c r="I138" s="296"/>
      <c r="J138" s="296"/>
      <c r="K138" s="297"/>
      <c r="L138" s="303" t="str">
        <f>+IF(B138="","",IF(LOOKUP(O138,rascunho!CK:CK)=O138,"","S/DECL"))</f>
        <v/>
      </c>
      <c r="M138" s="11"/>
      <c r="O138" s="241" t="str">
        <f t="shared" si="9"/>
        <v/>
      </c>
    </row>
    <row r="139" spans="1:15" ht="15" customHeight="1">
      <c r="A139" s="2"/>
      <c r="B139" s="15"/>
      <c r="C139" s="16"/>
      <c r="D139" s="25"/>
      <c r="E139" s="25"/>
      <c r="F139" s="295"/>
      <c r="G139" s="296"/>
      <c r="H139" s="296"/>
      <c r="I139" s="296"/>
      <c r="J139" s="296"/>
      <c r="K139" s="297"/>
      <c r="L139" s="303" t="str">
        <f>+IF(B139="","",IF(LOOKUP(O139,rascunho!CK:CK)=O139,"","S/DECL"))</f>
        <v/>
      </c>
      <c r="M139" s="11"/>
      <c r="O139" s="241" t="str">
        <f t="shared" si="9"/>
        <v/>
      </c>
    </row>
    <row r="140" spans="1:15" ht="15" customHeight="1">
      <c r="A140" s="2"/>
      <c r="B140" s="15"/>
      <c r="C140" s="16"/>
      <c r="D140" s="25"/>
      <c r="E140" s="25"/>
      <c r="F140" s="295"/>
      <c r="G140" s="296"/>
      <c r="H140" s="296"/>
      <c r="I140" s="296"/>
      <c r="J140" s="296"/>
      <c r="K140" s="297"/>
      <c r="L140" s="303" t="str">
        <f>+IF(B140="","",IF(LOOKUP(O140,rascunho!CK:CK)=O140,"","S/DECL"))</f>
        <v/>
      </c>
      <c r="M140" s="11"/>
      <c r="O140" s="241" t="str">
        <f t="shared" si="9"/>
        <v/>
      </c>
    </row>
    <row r="141" spans="1:15" ht="15" customHeight="1">
      <c r="A141" s="2"/>
      <c r="B141" s="15"/>
      <c r="C141" s="16"/>
      <c r="D141" s="25"/>
      <c r="E141" s="25"/>
      <c r="F141" s="295"/>
      <c r="G141" s="296"/>
      <c r="H141" s="296"/>
      <c r="I141" s="296"/>
      <c r="J141" s="296"/>
      <c r="K141" s="297"/>
      <c r="L141" s="303" t="str">
        <f>+IF(B141="","",IF(LOOKUP(O141,rascunho!CK:CK)=O141,"","S/DECL"))</f>
        <v/>
      </c>
      <c r="M141" s="11"/>
      <c r="O141" s="241" t="str">
        <f t="shared" si="9"/>
        <v/>
      </c>
    </row>
    <row r="142" spans="1:15" ht="15" customHeight="1">
      <c r="A142" s="2"/>
      <c r="B142" s="15"/>
      <c r="C142" s="16"/>
      <c r="D142" s="25"/>
      <c r="E142" s="25"/>
      <c r="F142" s="295"/>
      <c r="G142" s="296"/>
      <c r="H142" s="296"/>
      <c r="I142" s="296"/>
      <c r="J142" s="296"/>
      <c r="K142" s="297"/>
      <c r="L142" s="303" t="str">
        <f>+IF(B142="","",IF(LOOKUP(O142,rascunho!CK:CK)=O142,"","S/DECL"))</f>
        <v/>
      </c>
      <c r="M142" s="11"/>
      <c r="O142" s="241" t="str">
        <f t="shared" si="9"/>
        <v/>
      </c>
    </row>
    <row r="143" spans="1:15" ht="15" customHeight="1">
      <c r="A143" s="2"/>
      <c r="B143" s="15"/>
      <c r="C143" s="16"/>
      <c r="D143" s="25"/>
      <c r="E143" s="25"/>
      <c r="F143" s="295"/>
      <c r="G143" s="296"/>
      <c r="H143" s="296"/>
      <c r="I143" s="296"/>
      <c r="J143" s="296"/>
      <c r="K143" s="297"/>
      <c r="L143" s="303" t="str">
        <f>+IF(B143="","",IF(LOOKUP(O143,rascunho!CK:CK)=O143,"","S/DECL"))</f>
        <v/>
      </c>
      <c r="M143" s="11"/>
      <c r="O143" s="241" t="str">
        <f t="shared" si="9"/>
        <v/>
      </c>
    </row>
    <row r="144" spans="1:15" ht="15" customHeight="1" thickBot="1">
      <c r="A144" s="2"/>
      <c r="B144" s="15"/>
      <c r="C144" s="16"/>
      <c r="D144" s="25"/>
      <c r="E144" s="25"/>
      <c r="F144" s="295"/>
      <c r="G144" s="296"/>
      <c r="H144" s="296"/>
      <c r="I144" s="296"/>
      <c r="J144" s="296"/>
      <c r="K144" s="297"/>
      <c r="L144" s="303" t="str">
        <f>+IF(B144="","",IF(LOOKUP(O144,rascunho!CK:CK)=O144,"","S/DECL"))</f>
        <v/>
      </c>
      <c r="M144" s="11"/>
      <c r="O144" s="304" t="str">
        <f t="shared" si="9"/>
        <v/>
      </c>
    </row>
    <row r="145" spans="1:15" ht="15" customHeight="1" thickBot="1">
      <c r="A145" s="2"/>
      <c r="M145" s="11"/>
      <c r="O145" s="305">
        <f>+COUNTIF(COL_ANO,"&gt;0")</f>
        <v>2</v>
      </c>
    </row>
    <row r="146" spans="1:15" ht="15" customHeight="1">
      <c r="A146" s="2"/>
      <c r="M146" s="11"/>
    </row>
    <row r="147" spans="1:15" ht="15" customHeight="1">
      <c r="A147" s="2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</row>
    <row r="148" spans="1:15" ht="15" customHeight="1"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</row>
    <row r="149" spans="1:15" ht="15" customHeight="1"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</row>
    <row r="150" spans="1:15" ht="15" customHeight="1"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</row>
    <row r="151" spans="1:15" ht="15" customHeight="1"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</row>
    <row r="152" spans="1:15" ht="15" customHeight="1"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</row>
    <row r="153" spans="1:15" ht="15" customHeight="1"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</row>
    <row r="154" spans="1:15"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</row>
    <row r="155" spans="1:15"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</row>
    <row r="156" spans="1:15"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</row>
    <row r="157" spans="1:15"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</row>
    <row r="158" spans="1:15"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</row>
    <row r="159" spans="1:15"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</row>
    <row r="160" spans="1:15"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</row>
    <row r="161" spans="2:13"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</row>
    <row r="162" spans="2:13"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</row>
    <row r="163" spans="2:13"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</row>
    <row r="164" spans="2:13"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</row>
    <row r="165" spans="2:13"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</row>
    <row r="166" spans="2:13"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</row>
    <row r="167" spans="2:13">
      <c r="M167" s="11"/>
    </row>
    <row r="168" spans="2:13">
      <c r="M168" s="11"/>
    </row>
    <row r="169" spans="2:13">
      <c r="M169" s="11"/>
    </row>
    <row r="170" spans="2:13">
      <c r="M170" s="11"/>
    </row>
    <row r="171" spans="2:13">
      <c r="M171" s="11"/>
    </row>
    <row r="172" spans="2:13">
      <c r="M172" s="11"/>
    </row>
    <row r="173" spans="2:13">
      <c r="M173" s="11"/>
    </row>
    <row r="174" spans="2:13">
      <c r="M174" s="11"/>
    </row>
    <row r="175" spans="2:13">
      <c r="M175" s="11"/>
    </row>
    <row r="176" spans="2:13">
      <c r="M176" s="11"/>
    </row>
    <row r="177" spans="13:13">
      <c r="M177" s="11"/>
    </row>
    <row r="178" spans="13:13">
      <c r="M178" s="11"/>
    </row>
    <row r="179" spans="13:13">
      <c r="M179" s="11"/>
    </row>
    <row r="180" spans="13:13">
      <c r="M180" s="11"/>
    </row>
    <row r="181" spans="13:13">
      <c r="M181" s="11"/>
    </row>
    <row r="182" spans="13:13">
      <c r="M182" s="11"/>
    </row>
    <row r="183" spans="13:13">
      <c r="M183" s="11"/>
    </row>
    <row r="184" spans="13:13">
      <c r="M184" s="11"/>
    </row>
    <row r="185" spans="13:13">
      <c r="M185" s="11"/>
    </row>
    <row r="186" spans="13:13">
      <c r="M186" s="11"/>
    </row>
    <row r="187" spans="13:13">
      <c r="M187" s="11"/>
    </row>
    <row r="188" spans="13:13">
      <c r="M188" s="11"/>
    </row>
    <row r="189" spans="13:13">
      <c r="M189" s="11"/>
    </row>
    <row r="190" spans="13:13">
      <c r="M190" s="11"/>
    </row>
    <row r="191" spans="13:13">
      <c r="M191" s="11"/>
    </row>
    <row r="192" spans="13:13">
      <c r="M192" s="11"/>
    </row>
    <row r="193" spans="13:13">
      <c r="M193" s="11"/>
    </row>
    <row r="194" spans="13:13">
      <c r="M194" s="11"/>
    </row>
    <row r="195" spans="13:13">
      <c r="M195" s="11"/>
    </row>
    <row r="196" spans="13:13">
      <c r="M196" s="11"/>
    </row>
    <row r="197" spans="13:13">
      <c r="M197" s="11"/>
    </row>
    <row r="198" spans="13:13">
      <c r="M198" s="11"/>
    </row>
    <row r="199" spans="13:13">
      <c r="M199" s="11"/>
    </row>
    <row r="200" spans="13:13">
      <c r="M200" s="11"/>
    </row>
    <row r="201" spans="13:13">
      <c r="M201" s="11"/>
    </row>
    <row r="202" spans="13:13">
      <c r="M202" s="11"/>
    </row>
    <row r="203" spans="13:13">
      <c r="M203" s="11"/>
    </row>
    <row r="204" spans="13:13">
      <c r="M204" s="11"/>
    </row>
    <row r="205" spans="13:13">
      <c r="M205" s="11"/>
    </row>
  </sheetData>
  <sheetCalcPr fullCalcOnLoad="1"/>
  <sheetProtection password="DF3F" sheet="1" objects="1" scenarios="1"/>
  <mergeCells count="80">
    <mergeCell ref="Q33:S33"/>
    <mergeCell ref="Q34:S34"/>
    <mergeCell ref="H15:I15"/>
    <mergeCell ref="H24:I24"/>
    <mergeCell ref="AB45:AC45"/>
    <mergeCell ref="W3:AC3"/>
    <mergeCell ref="I3:L3"/>
    <mergeCell ref="I4:L9"/>
    <mergeCell ref="Q4:S4"/>
    <mergeCell ref="Q5:S5"/>
    <mergeCell ref="Q8:S8"/>
    <mergeCell ref="Q3:U3"/>
    <mergeCell ref="Q6:S6"/>
    <mergeCell ref="Q9:S9"/>
    <mergeCell ref="E6:F6"/>
    <mergeCell ref="E4:G4"/>
    <mergeCell ref="E5:G5"/>
    <mergeCell ref="E8:G8"/>
    <mergeCell ref="Q7:S7"/>
    <mergeCell ref="E7:G7"/>
    <mergeCell ref="C12:C13"/>
    <mergeCell ref="H29:I29"/>
    <mergeCell ref="H30:I30"/>
    <mergeCell ref="B3:G3"/>
    <mergeCell ref="B9:D9"/>
    <mergeCell ref="E9:F9"/>
    <mergeCell ref="H25:I25"/>
    <mergeCell ref="H26:I26"/>
    <mergeCell ref="H27:I27"/>
    <mergeCell ref="H28:I28"/>
    <mergeCell ref="E12:E13"/>
    <mergeCell ref="D12:D13"/>
    <mergeCell ref="G12:G13"/>
    <mergeCell ref="J12:K12"/>
    <mergeCell ref="B4:D4"/>
    <mergeCell ref="B5:D5"/>
    <mergeCell ref="B7:D7"/>
    <mergeCell ref="B8:D8"/>
    <mergeCell ref="B6:D6"/>
    <mergeCell ref="B12:B13"/>
    <mergeCell ref="AE11:AF11"/>
    <mergeCell ref="Q15:S15"/>
    <mergeCell ref="Q16:S16"/>
    <mergeCell ref="Q20:U20"/>
    <mergeCell ref="Q17:S17"/>
    <mergeCell ref="H16:I16"/>
    <mergeCell ref="H17:I17"/>
    <mergeCell ref="L12:L13"/>
    <mergeCell ref="N12:N13"/>
    <mergeCell ref="Q11:U11"/>
    <mergeCell ref="B34:B35"/>
    <mergeCell ref="H18:I18"/>
    <mergeCell ref="H19:I19"/>
    <mergeCell ref="H20:I20"/>
    <mergeCell ref="H21:I21"/>
    <mergeCell ref="Q21:U21"/>
    <mergeCell ref="H22:I22"/>
    <mergeCell ref="C34:C35"/>
    <mergeCell ref="L34:L35"/>
    <mergeCell ref="D34:E34"/>
    <mergeCell ref="F12:F13"/>
    <mergeCell ref="Q12:S12"/>
    <mergeCell ref="H31:I31"/>
    <mergeCell ref="Q27:U27"/>
    <mergeCell ref="Q26:U26"/>
    <mergeCell ref="Q13:S13"/>
    <mergeCell ref="Q14:S14"/>
    <mergeCell ref="Q18:S18"/>
    <mergeCell ref="H12:I13"/>
    <mergeCell ref="H14:I14"/>
    <mergeCell ref="F34:K35"/>
    <mergeCell ref="B33:L33"/>
    <mergeCell ref="B11:L11"/>
    <mergeCell ref="Q30:U30"/>
    <mergeCell ref="Q29:U29"/>
    <mergeCell ref="Q28:U28"/>
    <mergeCell ref="Q24:U24"/>
    <mergeCell ref="Q22:U22"/>
    <mergeCell ref="Q23:U23"/>
    <mergeCell ref="H23:I23"/>
  </mergeCells>
  <phoneticPr fontId="0" type="noConversion"/>
  <conditionalFormatting sqref="E14 G14">
    <cfRule type="expression" dxfId="22" priority="18" stopIfTrue="1">
      <formula>$C$14="SIMPLIFICADA"</formula>
    </cfRule>
  </conditionalFormatting>
  <conditionalFormatting sqref="E15 G15">
    <cfRule type="expression" dxfId="21" priority="17" stopIfTrue="1">
      <formula>$C$15="SIMPLIFICADA"</formula>
    </cfRule>
  </conditionalFormatting>
  <conditionalFormatting sqref="E16 G16">
    <cfRule type="expression" dxfId="20" priority="16" stopIfTrue="1">
      <formula>$C$16="SIMPLIFICADA"</formula>
    </cfRule>
  </conditionalFormatting>
  <conditionalFormatting sqref="E17 G17">
    <cfRule type="expression" dxfId="19" priority="15" stopIfTrue="1">
      <formula>$C$17="SIMPLIFICADA"</formula>
    </cfRule>
  </conditionalFormatting>
  <conditionalFormatting sqref="E18 G18">
    <cfRule type="expression" dxfId="18" priority="14" stopIfTrue="1">
      <formula>$C$18="SIMPLIFICADA"</formula>
    </cfRule>
  </conditionalFormatting>
  <conditionalFormatting sqref="E19 G19">
    <cfRule type="expression" dxfId="17" priority="13" stopIfTrue="1">
      <formula>$C$19="SIMPLIFICADA"</formula>
    </cfRule>
  </conditionalFormatting>
  <conditionalFormatting sqref="E20 G20">
    <cfRule type="expression" dxfId="16" priority="12" stopIfTrue="1">
      <formula>$C$20="SIMPLIFICADA"</formula>
    </cfRule>
  </conditionalFormatting>
  <conditionalFormatting sqref="E21 G21">
    <cfRule type="expression" dxfId="15" priority="11" stopIfTrue="1">
      <formula>$C$21="SIMPLIFICADA"</formula>
    </cfRule>
  </conditionalFormatting>
  <conditionalFormatting sqref="E22 G22">
    <cfRule type="expression" dxfId="14" priority="10" stopIfTrue="1">
      <formula>$C$22="SIMPLIFICADA"</formula>
    </cfRule>
  </conditionalFormatting>
  <conditionalFormatting sqref="E23 G23">
    <cfRule type="expression" dxfId="13" priority="9" stopIfTrue="1">
      <formula>$C$23="SIMPLIFICADA"</formula>
    </cfRule>
  </conditionalFormatting>
  <conditionalFormatting sqref="E24 G24">
    <cfRule type="expression" dxfId="12" priority="8" stopIfTrue="1">
      <formula>$C$24="SIMPLIFICADA"</formula>
    </cfRule>
  </conditionalFormatting>
  <conditionalFormatting sqref="E25 G25">
    <cfRule type="expression" dxfId="11" priority="7" stopIfTrue="1">
      <formula>$C$25="SIMPLIFICADA"</formula>
    </cfRule>
  </conditionalFormatting>
  <conditionalFormatting sqref="E26 G26">
    <cfRule type="expression" dxfId="10" priority="6" stopIfTrue="1">
      <formula>$C$26="SIMPLIFICADA"</formula>
    </cfRule>
  </conditionalFormatting>
  <conditionalFormatting sqref="E27 G27">
    <cfRule type="expression" dxfId="9" priority="5" stopIfTrue="1">
      <formula>$C$27="SIMPLIFICADA"</formula>
    </cfRule>
  </conditionalFormatting>
  <conditionalFormatting sqref="E28 G28">
    <cfRule type="expression" dxfId="8" priority="4" stopIfTrue="1">
      <formula>$C$28="SIMPLIFICADA"</formula>
    </cfRule>
  </conditionalFormatting>
  <conditionalFormatting sqref="E29 G29:G30">
    <cfRule type="expression" dxfId="7" priority="3" stopIfTrue="1">
      <formula>$C$30="SIMPLIFICADA"</formula>
    </cfRule>
  </conditionalFormatting>
  <conditionalFormatting sqref="E30">
    <cfRule type="expression" dxfId="6" priority="2" stopIfTrue="1">
      <formula>$C$30="SIMPLIFICADA"</formula>
    </cfRule>
  </conditionalFormatting>
  <conditionalFormatting sqref="E31 G31">
    <cfRule type="expression" dxfId="5" priority="1" stopIfTrue="1">
      <formula>$C$31="SIMPLIFICADA"</formula>
    </cfRule>
  </conditionalFormatting>
  <dataValidations count="8">
    <dataValidation type="date" operator="greaterThan" allowBlank="1" showInputMessage="1" showErrorMessage="1" errorTitle="DATA DO AJUIZAMENTO" error="DATA DE AJUIZAMENTO MUITO ANTIGA!" sqref="E6">
      <formula1>T13</formula1>
    </dataValidation>
    <dataValidation type="decimal" operator="greaterThanOrEqual" showInputMessage="1" showErrorMessage="1" errorTitle="VALOR INVALIDO" error="O valor digitado deve ser maior ou igual a zero. Verifique se a separação dos centavos foi realizada por virgula." sqref="D36:E144">
      <formula1>-1000000000</formula1>
    </dataValidation>
    <dataValidation type="decimal" operator="greaterThanOrEqual" showInputMessage="1" showErrorMessage="1" errorTitle="VALOR INVALIDO" error="O valor digitado deve ser maior ou igual a zero. Verifique se a separação dos centavos foi realizada por virgula." sqref="E14:F31 H14:H31 J14:J31 I15:I31">
      <formula1>0</formula1>
    </dataValidation>
    <dataValidation type="textLength" allowBlank="1" showInputMessage="1" showErrorMessage="1" sqref="I4">
      <formula1>0</formula1>
      <formula2>500</formula2>
    </dataValidation>
    <dataValidation type="decimal" operator="greaterThanOrEqual" allowBlank="1" showInputMessage="1" showErrorMessage="1" errorTitle="VALOR DIGITADO INVÁLIDO!" error="O VALOR DIGITADO DEVE SER MAIOR OU IGUAL A ZERO! VERIFIQUE SE FOI UTILIZADO VIRGULA PARA SEPARAR OS CENTAVOS." sqref="D14:D31">
      <formula1>0</formula1>
    </dataValidation>
    <dataValidation type="decimal" operator="greaterThanOrEqual" allowBlank="1" showInputMessage="1" showErrorMessage="1" errorTitle="VALOR INVALIDO" error="O valor digitado deve ser maior ou igual a zero. Verifique se a separação dos centavos foi realizada por virgula._x000a_" sqref="G14:G31">
      <formula1>0</formula1>
    </dataValidation>
    <dataValidation type="list" allowBlank="1" showInputMessage="1" showErrorMessage="1" sqref="C14:C31">
      <formula1>$AE$4:$AE$5</formula1>
    </dataValidation>
    <dataValidation type="list" allowBlank="1" showInputMessage="1" showErrorMessage="1" sqref="B14:B31">
      <formula1>$AC$5:$AC$44</formula1>
    </dataValidation>
  </dataValidations>
  <printOptions horizontalCentered="1" verticalCentered="1"/>
  <pageMargins left="0.19685039370078741" right="0.19685039370078741" top="0.19685039370078741" bottom="0.19685039370078741" header="0" footer="0"/>
  <pageSetup paperSize="9" orientation="portrait" blackAndWhite="1" r:id="rId1"/>
  <headerFooter alignWithMargins="0"/>
  <drawing r:id="rId2"/>
  <legacyDrawing r:id="rId3"/>
  <picture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AR470"/>
  <sheetViews>
    <sheetView showGridLines="0" showRowColHeaders="0" workbookViewId="0">
      <pane ySplit="1" topLeftCell="A2" activePane="bottomLeft" state="frozen"/>
      <selection pane="bottomLeft"/>
    </sheetView>
  </sheetViews>
  <sheetFormatPr defaultRowHeight="12.75"/>
  <cols>
    <col min="1" max="1" width="1.7109375" style="2" customWidth="1"/>
    <col min="2" max="2" width="12.28515625" style="2" customWidth="1"/>
    <col min="3" max="3" width="10" style="2" customWidth="1"/>
    <col min="4" max="4" width="15" style="2" customWidth="1"/>
    <col min="5" max="5" width="10.28515625" style="2" customWidth="1"/>
    <col min="6" max="6" width="1.42578125" style="2" customWidth="1"/>
    <col min="7" max="7" width="10" style="2" customWidth="1"/>
    <col min="8" max="8" width="10.7109375" style="7" customWidth="1"/>
    <col min="9" max="9" width="7.5703125" style="2" customWidth="1"/>
    <col min="10" max="10" width="10.42578125" style="2" customWidth="1"/>
    <col min="11" max="11" width="1" style="2" customWidth="1"/>
    <col min="12" max="19" width="10.7109375" style="2" customWidth="1"/>
    <col min="20" max="20" width="1" style="2" customWidth="1"/>
    <col min="21" max="21" width="21.42578125" style="2" customWidth="1"/>
    <col min="22" max="23" width="12.7109375" style="2" customWidth="1"/>
    <col min="24" max="24" width="41.42578125" style="2" customWidth="1"/>
    <col min="25" max="25" width="9.140625" style="2" customWidth="1"/>
    <col min="26" max="26" width="16.42578125" style="2" hidden="1" customWidth="1"/>
    <col min="27" max="30" width="8.7109375" style="2" hidden="1" customWidth="1"/>
    <col min="31" max="31" width="4.7109375" style="2" hidden="1" customWidth="1"/>
    <col min="32" max="32" width="4" style="2" hidden="1" customWidth="1"/>
    <col min="33" max="33" width="2.7109375" style="2" hidden="1" customWidth="1"/>
    <col min="34" max="34" width="13.140625" style="2" hidden="1" customWidth="1"/>
    <col min="35" max="35" width="0" style="2" hidden="1" customWidth="1"/>
    <col min="36" max="37" width="4.5703125" style="2" hidden="1" customWidth="1"/>
    <col min="38" max="16384" width="9.140625" style="2"/>
  </cols>
  <sheetData>
    <row r="1" spans="2:37" s="195" customFormat="1" ht="38.1" customHeight="1"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</row>
    <row r="2" spans="2:37" s="195" customFormat="1" ht="9.9499999999999993" customHeight="1"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</row>
    <row r="3" spans="2:37" s="4" customFormat="1" ht="18" customHeight="1">
      <c r="B3" s="348"/>
      <c r="C3" s="442" t="s">
        <v>250</v>
      </c>
      <c r="D3" s="442"/>
      <c r="E3" s="442"/>
      <c r="F3" s="442"/>
      <c r="G3" s="442"/>
      <c r="H3" s="442"/>
      <c r="I3" s="442"/>
      <c r="J3" s="442"/>
      <c r="L3" s="434" t="s">
        <v>250</v>
      </c>
      <c r="M3" s="434"/>
      <c r="N3" s="434"/>
      <c r="O3" s="434"/>
      <c r="P3" s="434"/>
      <c r="Q3" s="434"/>
      <c r="R3" s="434"/>
      <c r="S3" s="434"/>
      <c r="U3" s="434" t="s">
        <v>250</v>
      </c>
      <c r="V3" s="434"/>
      <c r="W3" s="434"/>
      <c r="X3" s="434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</row>
    <row r="4" spans="2:37" s="4" customFormat="1" ht="18" customHeight="1">
      <c r="B4" s="348"/>
      <c r="C4" s="442" t="s">
        <v>310</v>
      </c>
      <c r="D4" s="442"/>
      <c r="E4" s="442"/>
      <c r="F4" s="442"/>
      <c r="G4" s="442"/>
      <c r="H4" s="442"/>
      <c r="I4" s="442"/>
      <c r="J4" s="442"/>
      <c r="L4" s="434" t="s">
        <v>310</v>
      </c>
      <c r="M4" s="434"/>
      <c r="N4" s="434"/>
      <c r="O4" s="434"/>
      <c r="P4" s="434"/>
      <c r="Q4" s="434"/>
      <c r="R4" s="434"/>
      <c r="S4" s="434"/>
      <c r="U4" s="434" t="s">
        <v>310</v>
      </c>
      <c r="V4" s="434"/>
      <c r="W4" s="434"/>
      <c r="X4" s="434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</row>
    <row r="5" spans="2:37" s="4" customFormat="1" ht="18" customHeight="1">
      <c r="B5" s="348"/>
      <c r="C5" s="442" t="s">
        <v>252</v>
      </c>
      <c r="D5" s="442"/>
      <c r="E5" s="442"/>
      <c r="F5" s="442"/>
      <c r="G5" s="442"/>
      <c r="H5" s="442"/>
      <c r="I5" s="442"/>
      <c r="J5" s="442"/>
      <c r="L5" s="434" t="s">
        <v>252</v>
      </c>
      <c r="M5" s="434"/>
      <c r="N5" s="434"/>
      <c r="O5" s="434"/>
      <c r="P5" s="434"/>
      <c r="Q5" s="434"/>
      <c r="R5" s="434"/>
      <c r="S5" s="434"/>
      <c r="U5" s="434" t="s">
        <v>252</v>
      </c>
      <c r="V5" s="434"/>
      <c r="W5" s="434"/>
      <c r="X5" s="434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</row>
    <row r="6" spans="2:37" s="4" customFormat="1" ht="18" customHeight="1">
      <c r="B6" s="348"/>
      <c r="C6" s="446" t="s">
        <v>311</v>
      </c>
      <c r="D6" s="446"/>
      <c r="E6" s="446"/>
      <c r="F6" s="446"/>
      <c r="G6" s="446"/>
      <c r="H6" s="446"/>
      <c r="I6" s="446"/>
      <c r="J6" s="446"/>
      <c r="L6" s="435" t="s">
        <v>311</v>
      </c>
      <c r="M6" s="435"/>
      <c r="N6" s="435"/>
      <c r="O6" s="435"/>
      <c r="P6" s="435"/>
      <c r="Q6" s="435"/>
      <c r="R6" s="435"/>
      <c r="S6" s="435"/>
      <c r="U6" s="435" t="s">
        <v>311</v>
      </c>
      <c r="V6" s="435"/>
      <c r="W6" s="435"/>
      <c r="X6" s="435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</row>
    <row r="7" spans="2:37" s="5" customFormat="1" ht="7.5" customHeight="1">
      <c r="B7" s="436" t="s">
        <v>0</v>
      </c>
      <c r="C7" s="438"/>
      <c r="D7" s="436" t="s">
        <v>1</v>
      </c>
      <c r="E7" s="437"/>
      <c r="F7" s="437"/>
      <c r="G7" s="437"/>
      <c r="H7" s="437"/>
      <c r="I7" s="437"/>
      <c r="J7" s="438"/>
      <c r="L7" s="436" t="s">
        <v>0</v>
      </c>
      <c r="M7" s="438"/>
      <c r="N7" s="88" t="s">
        <v>1</v>
      </c>
      <c r="O7" s="90"/>
      <c r="P7" s="90"/>
      <c r="Q7" s="90"/>
      <c r="R7" s="88" t="s">
        <v>37</v>
      </c>
      <c r="S7" s="89"/>
      <c r="U7" s="143" t="s">
        <v>0</v>
      </c>
      <c r="V7" s="436" t="s">
        <v>1</v>
      </c>
      <c r="W7" s="437"/>
      <c r="X7" s="43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</row>
    <row r="8" spans="2:37" s="6" customFormat="1" ht="14.1" customHeight="1">
      <c r="B8" s="452" t="str">
        <f>+IF(cadastro!E4="","",NUM_PROC1)</f>
        <v/>
      </c>
      <c r="C8" s="453"/>
      <c r="D8" s="439" t="str">
        <f>+IF(cadastro!E5="","",cadastro!E5)</f>
        <v/>
      </c>
      <c r="E8" s="440"/>
      <c r="F8" s="440"/>
      <c r="G8" s="440"/>
      <c r="H8" s="440"/>
      <c r="I8" s="440"/>
      <c r="J8" s="441"/>
      <c r="L8" s="452" t="str">
        <f>+B8</f>
        <v/>
      </c>
      <c r="M8" s="453"/>
      <c r="N8" s="91" t="str">
        <f>+D8</f>
        <v/>
      </c>
      <c r="O8" s="92"/>
      <c r="P8" s="92"/>
      <c r="Q8" s="93"/>
      <c r="R8" s="467">
        <f>+IF(SIT_ATUAL&lt;&gt;"SIM","",DAT_DIST)</f>
        <v>37104</v>
      </c>
      <c r="S8" s="468"/>
      <c r="U8" s="144" t="str">
        <f>+B8</f>
        <v/>
      </c>
      <c r="V8" s="439">
        <f>+cadastro!E5</f>
        <v>0</v>
      </c>
      <c r="W8" s="440"/>
      <c r="X8" s="441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</row>
    <row r="9" spans="2:37" s="6" customFormat="1" ht="14.1" customHeight="1">
      <c r="B9" s="44" t="s">
        <v>194</v>
      </c>
      <c r="C9" s="45"/>
      <c r="D9" s="45"/>
      <c r="E9" s="45"/>
      <c r="F9" s="45"/>
      <c r="G9" s="45"/>
      <c r="H9" s="45"/>
      <c r="I9" s="45"/>
      <c r="J9" s="45"/>
      <c r="L9" s="94" t="str">
        <f>+CONCATENATE("DEMONSTRATIVO DO VALOR DEVIDO ATÉ A DATA DA DISTRIBUIÇÃO   (TETO DOS JUIZADOS ESPECIAIS)")</f>
        <v>DEMONSTRATIVO DO VALOR DEVIDO ATÉ A DATA DA DISTRIBUIÇÃO   (TETO DOS JUIZADOS ESPECIAIS)</v>
      </c>
      <c r="M9" s="94"/>
      <c r="N9" s="95"/>
      <c r="O9" s="95"/>
      <c r="P9" s="95"/>
      <c r="Q9" s="96"/>
      <c r="R9" s="95"/>
      <c r="S9" s="97"/>
      <c r="U9" s="145" t="s">
        <v>193</v>
      </c>
      <c r="V9" s="146"/>
      <c r="W9" s="146"/>
      <c r="X9" s="147"/>
      <c r="Z9" s="492" t="s">
        <v>321</v>
      </c>
      <c r="AA9" s="492"/>
      <c r="AB9" s="492"/>
      <c r="AC9" s="492"/>
      <c r="AD9" s="492"/>
      <c r="AE9" s="492"/>
      <c r="AF9" s="492"/>
      <c r="AG9" s="8"/>
      <c r="AH9" s="492" t="s">
        <v>322</v>
      </c>
      <c r="AI9" s="492"/>
      <c r="AJ9" s="492"/>
      <c r="AK9" s="492"/>
    </row>
    <row r="10" spans="2:37" s="6" customFormat="1" ht="14.1" customHeight="1">
      <c r="B10" s="46"/>
      <c r="C10" s="46"/>
      <c r="D10" s="45"/>
      <c r="E10" s="47"/>
      <c r="F10" s="47"/>
      <c r="G10" s="47"/>
      <c r="H10" s="48"/>
      <c r="I10" s="49"/>
      <c r="J10" s="49"/>
      <c r="L10" s="457" t="s">
        <v>12</v>
      </c>
      <c r="M10" s="457" t="str">
        <f>+IF(SIT_ATUAL&lt;&gt;"SIM","DATA","INICIO DA
CORREÇÃO")</f>
        <v>INICIO DA
CORREÇÃO</v>
      </c>
      <c r="N10" s="457" t="s">
        <v>101</v>
      </c>
      <c r="O10" s="465" t="s">
        <v>196</v>
      </c>
      <c r="P10" s="457" t="s">
        <v>102</v>
      </c>
      <c r="Q10" s="487" t="s">
        <v>72</v>
      </c>
      <c r="R10" s="488"/>
      <c r="S10" s="477" t="s">
        <v>195</v>
      </c>
      <c r="U10" s="432" t="s">
        <v>16</v>
      </c>
      <c r="V10" s="459" t="s">
        <v>157</v>
      </c>
      <c r="W10" s="459" t="s">
        <v>156</v>
      </c>
      <c r="X10" s="432" t="s">
        <v>30</v>
      </c>
      <c r="Z10" s="351" t="s">
        <v>312</v>
      </c>
      <c r="AA10" s="351" t="s">
        <v>313</v>
      </c>
      <c r="AB10" s="351" t="s">
        <v>314</v>
      </c>
      <c r="AC10" s="351" t="s">
        <v>315</v>
      </c>
      <c r="AD10" s="351" t="s">
        <v>316</v>
      </c>
      <c r="AE10" s="493" t="s">
        <v>317</v>
      </c>
      <c r="AF10" s="494"/>
      <c r="AG10" s="8"/>
      <c r="AH10" s="351" t="s">
        <v>312</v>
      </c>
      <c r="AI10" s="351" t="s">
        <v>316</v>
      </c>
      <c r="AJ10" s="493" t="s">
        <v>317</v>
      </c>
      <c r="AK10" s="494"/>
    </row>
    <row r="11" spans="2:37" s="6" customFormat="1" ht="14.1" customHeight="1">
      <c r="B11" s="443" t="s">
        <v>150</v>
      </c>
      <c r="C11" s="443"/>
      <c r="D11" s="443"/>
      <c r="E11" s="50">
        <f>+IF(rascunho!CM6="","",rascunho!CM6)</f>
        <v>40510.26</v>
      </c>
      <c r="F11" s="51"/>
      <c r="G11" s="448" t="s">
        <v>23</v>
      </c>
      <c r="H11" s="448"/>
      <c r="I11" s="52">
        <f>+IF(rascunho!CJ6="","",rascunho!CJ6)</f>
        <v>1996.001</v>
      </c>
      <c r="J11" s="53"/>
      <c r="L11" s="458"/>
      <c r="M11" s="458"/>
      <c r="N11" s="458"/>
      <c r="O11" s="466"/>
      <c r="P11" s="458"/>
      <c r="Q11" s="98" t="s">
        <v>8</v>
      </c>
      <c r="R11" s="99" t="s">
        <v>15</v>
      </c>
      <c r="S11" s="478"/>
      <c r="U11" s="433"/>
      <c r="V11" s="433"/>
      <c r="W11" s="433"/>
      <c r="X11" s="433"/>
      <c r="Z11" s="19" t="s">
        <v>230</v>
      </c>
      <c r="AA11" s="352" t="str">
        <f>+IF(calculo!I11="","","B3:J25,")</f>
        <v>B3:J25,</v>
      </c>
      <c r="AB11" s="352" t="str">
        <f>+IF(calculo!I27="","","B3:J41,")</f>
        <v>B3:J41,</v>
      </c>
      <c r="AC11" s="352" t="str">
        <f>+IF(calculo!I43="","","B3:J60,")</f>
        <v/>
      </c>
      <c r="AD11" s="352" t="str">
        <f t="shared" ref="AD11:AD16" si="0">+IF(AC11&lt;&gt;"",AC11,IF(AB11&lt;&gt;"",AB11,IF(AA11&lt;&gt;"",AA11,"")))</f>
        <v>B3:J41,</v>
      </c>
      <c r="AE11" s="352">
        <f t="shared" ref="AE11:AE16" si="1">+IF(AND(AA11="",AB11="",AC11="",AD11=""),0,1)</f>
        <v>1</v>
      </c>
      <c r="AF11" s="495"/>
      <c r="AG11" s="8"/>
      <c r="AH11" s="18" t="s">
        <v>108</v>
      </c>
      <c r="AI11" s="38" t="s">
        <v>318</v>
      </c>
      <c r="AJ11" s="38"/>
      <c r="AK11" s="38"/>
    </row>
    <row r="12" spans="2:37" s="6" customFormat="1" ht="14.1" customHeight="1">
      <c r="B12" s="443" t="s">
        <v>87</v>
      </c>
      <c r="C12" s="443"/>
      <c r="D12" s="443" t="s">
        <v>24</v>
      </c>
      <c r="E12" s="50">
        <f>+IF(rascunho!CN6="","",rascunho!CN6)</f>
        <v>0</v>
      </c>
      <c r="F12" s="51"/>
      <c r="G12" s="456" t="str">
        <f>+CONCATENATE("TIPO DE DECLARAÇÃO: ",rascunho!CL6)</f>
        <v>TIPO DE DECLARAÇÃO: COMPLETA</v>
      </c>
      <c r="H12" s="456"/>
      <c r="I12" s="456"/>
      <c r="J12" s="456"/>
      <c r="L12" s="100" t="str">
        <f>+rascunho!EK6</f>
        <v/>
      </c>
      <c r="M12" s="101" t="str">
        <f>+rascunho!EL6</f>
        <v/>
      </c>
      <c r="N12" s="362" t="str">
        <f>+rascunho!EM6</f>
        <v/>
      </c>
      <c r="O12" s="102" t="str">
        <f>+IF(SIT_ATUAL&lt;&gt;"SIM","",rascunho!EN6)</f>
        <v/>
      </c>
      <c r="P12" s="362" t="str">
        <f>+IF(SIT_ATUAL&lt;&gt;"SIM","",rascunho!EO6)</f>
        <v/>
      </c>
      <c r="Q12" s="365" t="str">
        <f>+IF(SIT_ATUAL&lt;&gt;"SIM","",rascunho!EP6)</f>
        <v/>
      </c>
      <c r="R12" s="362" t="str">
        <f>+IF(SIT_ATUAL&lt;&gt;"SIM","",rascunho!EQ6)</f>
        <v/>
      </c>
      <c r="S12" s="362" t="str">
        <f>+IF(SIT_ATUAL&lt;&gt;"SIM","",rascunho!ER6)</f>
        <v/>
      </c>
      <c r="U12" s="148">
        <f>+IF(cadastro!B36="","",cadastro!B36)</f>
        <v>35430</v>
      </c>
      <c r="V12" s="149">
        <f>+IF(cadastro!D36="","",cadastro!D36)</f>
        <v>6309.91</v>
      </c>
      <c r="W12" s="149" t="str">
        <f>+IF(cadastro!E36="","",cadastro!E36)</f>
        <v/>
      </c>
      <c r="X12" s="150" t="str">
        <f>+CONCATENATE(IF(cadastro!C36="","","flh "),cadastro!C36,IF(OR(cadastro!C36="",cadastro!F36=""),""," - "),cadastro!F36)</f>
        <v/>
      </c>
      <c r="Z12" s="19" t="s">
        <v>231</v>
      </c>
      <c r="AA12" s="352" t="str">
        <f>+IF(calculo!I70="","","B62:J84,")</f>
        <v/>
      </c>
      <c r="AB12" s="352" t="str">
        <f>+IF(calculo!I86="","","B62:J100,")</f>
        <v/>
      </c>
      <c r="AC12" s="352" t="str">
        <f>+IF(calculo!I102="","","B62:J119,")</f>
        <v/>
      </c>
      <c r="AD12" s="352" t="str">
        <f t="shared" si="0"/>
        <v/>
      </c>
      <c r="AE12" s="352">
        <f t="shared" si="1"/>
        <v>0</v>
      </c>
      <c r="AF12" s="496"/>
      <c r="AG12" s="8"/>
      <c r="AH12" s="19" t="s">
        <v>158</v>
      </c>
      <c r="AI12" s="352" t="str">
        <f>+IF(CTR_IMP_DT=0,"","L3:S60,")</f>
        <v/>
      </c>
      <c r="AJ12" s="38"/>
      <c r="AK12" s="38"/>
    </row>
    <row r="13" spans="2:37" s="6" customFormat="1" ht="14.1" customHeight="1">
      <c r="B13" s="443" t="s">
        <v>86</v>
      </c>
      <c r="C13" s="443"/>
      <c r="D13" s="443" t="s">
        <v>24</v>
      </c>
      <c r="E13" s="54">
        <f>+IF(rascunho!CO6="","",rascunho!CO6)</f>
        <v>6309.91</v>
      </c>
      <c r="F13" s="51"/>
      <c r="G13" s="55" t="s">
        <v>2</v>
      </c>
      <c r="H13" s="56" t="s">
        <v>3</v>
      </c>
      <c r="I13" s="56" t="s">
        <v>14</v>
      </c>
      <c r="J13" s="57" t="s">
        <v>4</v>
      </c>
      <c r="L13" s="103" t="str">
        <f>+rascunho!EK7</f>
        <v/>
      </c>
      <c r="M13" s="101" t="str">
        <f>+rascunho!EL7</f>
        <v/>
      </c>
      <c r="N13" s="363" t="str">
        <f>+rascunho!EM7</f>
        <v/>
      </c>
      <c r="O13" s="102" t="str">
        <f>+IF(SIT_ATUAL&lt;&gt;"SIM","",rascunho!EN7)</f>
        <v/>
      </c>
      <c r="P13" s="363" t="str">
        <f>+IF(SIT_ATUAL&lt;&gt;"SIM","",rascunho!EO7)</f>
        <v/>
      </c>
      <c r="Q13" s="366" t="str">
        <f>+IF(SIT_ATUAL&lt;&gt;"SIM","",rascunho!EP7)</f>
        <v/>
      </c>
      <c r="R13" s="363" t="str">
        <f>+IF(SIT_ATUAL&lt;&gt;"SIM","",rascunho!EQ7)</f>
        <v/>
      </c>
      <c r="S13" s="363" t="str">
        <f>+IF(SIT_ATUAL&lt;&gt;"SIM","",rascunho!ER7)</f>
        <v/>
      </c>
      <c r="U13" s="148">
        <f>+IF(cadastro!B37="","",cadastro!B37)</f>
        <v>43830</v>
      </c>
      <c r="V13" s="149">
        <f>+IF(cadastro!D37="","",cadastro!D37)</f>
        <v>134354.69</v>
      </c>
      <c r="W13" s="149" t="str">
        <f>+IF(cadastro!E37="","",cadastro!E37)</f>
        <v/>
      </c>
      <c r="X13" s="150" t="str">
        <f>+CONCATENATE(IF(cadastro!C37="","","flh "),cadastro!C37,IF(OR(cadastro!C37="",cadastro!F37=""),""," - "),cadastro!F37)</f>
        <v/>
      </c>
      <c r="Z13" s="19" t="s">
        <v>232</v>
      </c>
      <c r="AA13" s="352" t="str">
        <f>+IF(calculo!I129="","","B121:J143,")</f>
        <v/>
      </c>
      <c r="AB13" s="352" t="str">
        <f>+IF(calculo!I145="","","B126:J159,")</f>
        <v/>
      </c>
      <c r="AC13" s="352" t="str">
        <f>+IF(calculo!I161="","","B121:J178,")</f>
        <v/>
      </c>
      <c r="AD13" s="352" t="str">
        <f t="shared" si="0"/>
        <v/>
      </c>
      <c r="AE13" s="352">
        <f t="shared" si="1"/>
        <v>0</v>
      </c>
      <c r="AF13" s="496"/>
      <c r="AG13" s="8"/>
      <c r="AH13" s="19" t="s">
        <v>159</v>
      </c>
      <c r="AI13" s="352" t="str">
        <f>+IF(AJ13&gt;0,"u3:x60,","")</f>
        <v>u3:x60,</v>
      </c>
      <c r="AJ13" s="352">
        <f>+COUNTIF(calculo!U12:U57,"&gt;1980")</f>
        <v>2</v>
      </c>
      <c r="AK13" s="38"/>
    </row>
    <row r="14" spans="2:37" s="6" customFormat="1" ht="14.1" customHeight="1">
      <c r="B14" s="443" t="s">
        <v>89</v>
      </c>
      <c r="C14" s="443"/>
      <c r="D14" s="443"/>
      <c r="E14" s="50">
        <f>+IF(rascunho!CQ6="","",rascunho!CQ6)</f>
        <v>34200.350000000006</v>
      </c>
      <c r="F14" s="51"/>
      <c r="G14" s="58">
        <f>+IF(rascunho!DL6="","",rascunho!DL6)</f>
        <v>21600.01</v>
      </c>
      <c r="H14" s="59" t="s">
        <v>5</v>
      </c>
      <c r="I14" s="60">
        <f>+IF(rascunho!DM6="","",rascunho!DM6)</f>
        <v>0.25</v>
      </c>
      <c r="J14" s="61">
        <f>+IF(rascunho!DN6="","",rascunho!DN6)</f>
        <v>3780</v>
      </c>
      <c r="L14" s="103" t="str">
        <f>+rascunho!EK8</f>
        <v/>
      </c>
      <c r="M14" s="101" t="str">
        <f>+rascunho!EL8</f>
        <v/>
      </c>
      <c r="N14" s="363" t="str">
        <f>+rascunho!EM8</f>
        <v/>
      </c>
      <c r="O14" s="102" t="str">
        <f>+IF(SIT_ATUAL&lt;&gt;"SIM","",rascunho!EN8)</f>
        <v/>
      </c>
      <c r="P14" s="363" t="str">
        <f>+IF(SIT_ATUAL&lt;&gt;"SIM","",rascunho!EO8)</f>
        <v/>
      </c>
      <c r="Q14" s="366" t="str">
        <f>+IF(SIT_ATUAL&lt;&gt;"SIM","",rascunho!EP8)</f>
        <v/>
      </c>
      <c r="R14" s="363" t="str">
        <f>+IF(SIT_ATUAL&lt;&gt;"SIM","",rascunho!EQ8)</f>
        <v/>
      </c>
      <c r="S14" s="363" t="str">
        <f>+IF(SIT_ATUAL&lt;&gt;"SIM","",rascunho!ER8)</f>
        <v/>
      </c>
      <c r="U14" s="148" t="str">
        <f>+IF(cadastro!B38="","",cadastro!B38)</f>
        <v/>
      </c>
      <c r="V14" s="149" t="str">
        <f>+IF(cadastro!D38="","",cadastro!D38)</f>
        <v/>
      </c>
      <c r="W14" s="149" t="str">
        <f>+IF(cadastro!E38="","",cadastro!E38)</f>
        <v/>
      </c>
      <c r="X14" s="150" t="str">
        <f>+CONCATENATE(IF(cadastro!C38="","","flh "),cadastro!C38,IF(OR(cadastro!C38="",cadastro!F38=""),""," - "),cadastro!F38)</f>
        <v/>
      </c>
      <c r="Z14" s="19" t="s">
        <v>233</v>
      </c>
      <c r="AA14" s="352" t="str">
        <f>+IF(calculo!I188="","","B180:J202,")</f>
        <v/>
      </c>
      <c r="AB14" s="352" t="str">
        <f>+IF(calculo!I204="","","B180:J218,")</f>
        <v/>
      </c>
      <c r="AC14" s="352" t="str">
        <f>+IF(calculo!I220="","","B180:J237,")</f>
        <v/>
      </c>
      <c r="AD14" s="352" t="str">
        <f t="shared" si="0"/>
        <v/>
      </c>
      <c r="AE14" s="352">
        <f t="shared" si="1"/>
        <v>0</v>
      </c>
      <c r="AF14" s="496"/>
      <c r="AG14" s="8"/>
      <c r="AH14" s="19" t="s">
        <v>160</v>
      </c>
      <c r="AI14" s="352" t="str">
        <f>+IF(AJ14&gt;0,"u62:x119,","")</f>
        <v/>
      </c>
      <c r="AJ14" s="352">
        <f>+COUNTIF(calculo!U71:U116,"&gt;1980")</f>
        <v>0</v>
      </c>
      <c r="AK14" s="38"/>
    </row>
    <row r="15" spans="2:37" s="6" customFormat="1" ht="14.1" customHeight="1">
      <c r="B15" s="443" t="s">
        <v>151</v>
      </c>
      <c r="C15" s="443"/>
      <c r="D15" s="443"/>
      <c r="E15" s="54">
        <f>+IF(rascunho!CS6="","",rascunho!CS6)</f>
        <v>13326.62</v>
      </c>
      <c r="F15" s="51"/>
      <c r="G15" s="62">
        <f>+IF(H15="","",rascunho!DO6)</f>
        <v>10800.01</v>
      </c>
      <c r="H15" s="63">
        <f>+IF(G14="","",G14-0.01)</f>
        <v>21600</v>
      </c>
      <c r="I15" s="64">
        <f>+IF(H15="","",rascunho!DP6)</f>
        <v>0.15</v>
      </c>
      <c r="J15" s="65">
        <f>+IF(H15="","",rascunho!DQ6)</f>
        <v>1620</v>
      </c>
      <c r="L15" s="103" t="str">
        <f>+rascunho!EK9</f>
        <v/>
      </c>
      <c r="M15" s="101" t="str">
        <f>+rascunho!EL9</f>
        <v/>
      </c>
      <c r="N15" s="363" t="str">
        <f>+rascunho!EM9</f>
        <v/>
      </c>
      <c r="O15" s="102" t="str">
        <f>+IF(SIT_ATUAL&lt;&gt;"SIM","",rascunho!EN9)</f>
        <v/>
      </c>
      <c r="P15" s="363" t="str">
        <f>+IF(SIT_ATUAL&lt;&gt;"SIM","",rascunho!EO9)</f>
        <v/>
      </c>
      <c r="Q15" s="366" t="str">
        <f>+IF(SIT_ATUAL&lt;&gt;"SIM","",rascunho!EP9)</f>
        <v/>
      </c>
      <c r="R15" s="363" t="str">
        <f>+IF(SIT_ATUAL&lt;&gt;"SIM","",rascunho!EQ9)</f>
        <v/>
      </c>
      <c r="S15" s="363" t="str">
        <f>+IF(SIT_ATUAL&lt;&gt;"SIM","",rascunho!ER9)</f>
        <v/>
      </c>
      <c r="U15" s="148" t="str">
        <f>+IF(cadastro!B39="","",cadastro!B39)</f>
        <v/>
      </c>
      <c r="V15" s="149" t="str">
        <f>+IF(cadastro!D39="","",cadastro!D39)</f>
        <v/>
      </c>
      <c r="W15" s="149" t="str">
        <f>+IF(cadastro!E39="","",cadastro!E39)</f>
        <v/>
      </c>
      <c r="X15" s="150" t="str">
        <f>+CONCATENATE(IF(cadastro!C39="","","flh "),cadastro!C39,IF(OR(cadastro!C39="",cadastro!F39=""),""," - "),cadastro!F39)</f>
        <v/>
      </c>
      <c r="Z15" s="19" t="s">
        <v>234</v>
      </c>
      <c r="AA15" s="352" t="str">
        <f>+IF(calculo!I247="","","B239:J261,")</f>
        <v/>
      </c>
      <c r="AB15" s="352" t="str">
        <f>+IF(calculo!I263="","","B239:J277,")</f>
        <v/>
      </c>
      <c r="AC15" s="352" t="str">
        <f>+IF(calculo!I279="","","B239:J296,")</f>
        <v/>
      </c>
      <c r="AD15" s="352" t="str">
        <f t="shared" si="0"/>
        <v/>
      </c>
      <c r="AE15" s="352">
        <f t="shared" si="1"/>
        <v>0</v>
      </c>
      <c r="AF15" s="497"/>
      <c r="AG15" s="8"/>
      <c r="AH15" s="19" t="s">
        <v>161</v>
      </c>
      <c r="AI15" s="352" t="str">
        <f>+IF(AJ15&gt;0,"u121:x178,","")</f>
        <v/>
      </c>
      <c r="AJ15" s="352">
        <f>+COUNTIF(calculo!U130:U175,"&gt;1980")</f>
        <v>0</v>
      </c>
      <c r="AK15" s="352">
        <f>+COUNTIF(AJ13:AJ15,"&gt;0")</f>
        <v>1</v>
      </c>
    </row>
    <row r="16" spans="2:37" s="6" customFormat="1" ht="14.1" customHeight="1">
      <c r="B16" s="443" t="s">
        <v>142</v>
      </c>
      <c r="C16" s="443"/>
      <c r="D16" s="443" t="s">
        <v>25</v>
      </c>
      <c r="E16" s="50">
        <f>+IF(rascunho!CU6="","",rascunho!CU6)</f>
        <v>20873.730000000003</v>
      </c>
      <c r="F16" s="51"/>
      <c r="G16" s="62">
        <f>+IF(H16="","",rascunho!DR6)</f>
        <v>0</v>
      </c>
      <c r="H16" s="63">
        <f>+IF(G15="","",G15-0.01)</f>
        <v>10800</v>
      </c>
      <c r="I16" s="64">
        <f>+IF(H16="","",rascunho!DS6)</f>
        <v>0</v>
      </c>
      <c r="J16" s="65">
        <f>+IF(H16="","",rascunho!DT6)</f>
        <v>0</v>
      </c>
      <c r="L16" s="103" t="str">
        <f>+rascunho!EK10</f>
        <v/>
      </c>
      <c r="M16" s="101" t="str">
        <f>+rascunho!EL10</f>
        <v/>
      </c>
      <c r="N16" s="363" t="str">
        <f>+rascunho!EM10</f>
        <v/>
      </c>
      <c r="O16" s="102" t="str">
        <f>+IF(SIT_ATUAL&lt;&gt;"SIM","",rascunho!EN10)</f>
        <v/>
      </c>
      <c r="P16" s="363" t="str">
        <f>+IF(SIT_ATUAL&lt;&gt;"SIM","",rascunho!EO10)</f>
        <v/>
      </c>
      <c r="Q16" s="366" t="str">
        <f>+IF(SIT_ATUAL&lt;&gt;"SIM","",rascunho!EP10)</f>
        <v/>
      </c>
      <c r="R16" s="363" t="str">
        <f>+IF(SIT_ATUAL&lt;&gt;"SIM","",rascunho!EQ10)</f>
        <v/>
      </c>
      <c r="S16" s="363" t="str">
        <f>+IF(SIT_ATUAL&lt;&gt;"SIM","",rascunho!ER10)</f>
        <v/>
      </c>
      <c r="U16" s="148" t="str">
        <f>+IF(cadastro!B40="","",cadastro!B40)</f>
        <v/>
      </c>
      <c r="V16" s="149" t="str">
        <f>+IF(cadastro!D40="","",cadastro!D40)</f>
        <v/>
      </c>
      <c r="W16" s="149" t="str">
        <f>+IF(cadastro!E40="","",cadastro!E40)</f>
        <v/>
      </c>
      <c r="X16" s="150" t="str">
        <f>+CONCATENATE(IF(cadastro!C40="","","flh "),cadastro!C40,IF(OR(cadastro!C40="",cadastro!F40=""),""," - "),cadastro!F40)</f>
        <v/>
      </c>
      <c r="Z16" s="19" t="s">
        <v>235</v>
      </c>
      <c r="AA16" s="352" t="str">
        <f>+IF(calculo!I306="","","B298:J320,")</f>
        <v/>
      </c>
      <c r="AB16" s="352" t="str">
        <f>+IF(calculo!I322="","","B298:J336,")</f>
        <v/>
      </c>
      <c r="AC16" s="352" t="str">
        <f>+IF(calculo!I338="","","B298:J355,")</f>
        <v/>
      </c>
      <c r="AD16" s="352" t="str">
        <f t="shared" si="0"/>
        <v/>
      </c>
      <c r="AE16" s="352">
        <f t="shared" si="1"/>
        <v>0</v>
      </c>
      <c r="AF16" s="352">
        <f>SUM(AE11:AE16)</f>
        <v>1</v>
      </c>
    </row>
    <row r="17" spans="2:32" s="6" customFormat="1" ht="14.1" customHeight="1">
      <c r="B17" s="66"/>
      <c r="C17" s="67"/>
      <c r="D17" s="68" t="s">
        <v>163</v>
      </c>
      <c r="E17" s="69">
        <f>+IF(rascunho!CX6="","",rascunho!CX6)</f>
        <v>0.15</v>
      </c>
      <c r="F17" s="51"/>
      <c r="G17" s="62" t="str">
        <f>+IF(H17="","",rascunho!DU6)</f>
        <v/>
      </c>
      <c r="H17" s="63" t="str">
        <f>+IF(OR(G16="",G16=0),"",G16-0.01)</f>
        <v/>
      </c>
      <c r="I17" s="64" t="str">
        <f>+IF(H17="","",rascunho!DV6)</f>
        <v/>
      </c>
      <c r="J17" s="65" t="str">
        <f>+IF(H17="","",rascunho!DW6)</f>
        <v/>
      </c>
      <c r="L17" s="103" t="str">
        <f>+rascunho!EK11</f>
        <v/>
      </c>
      <c r="M17" s="101" t="str">
        <f>+rascunho!EL11</f>
        <v/>
      </c>
      <c r="N17" s="363" t="str">
        <f>+rascunho!EM11</f>
        <v/>
      </c>
      <c r="O17" s="102" t="str">
        <f>+IF(SIT_ATUAL&lt;&gt;"SIM","",rascunho!EN11)</f>
        <v/>
      </c>
      <c r="P17" s="363" t="str">
        <f>+IF(SIT_ATUAL&lt;&gt;"SIM","",rascunho!EO11)</f>
        <v/>
      </c>
      <c r="Q17" s="366" t="str">
        <f>+IF(SIT_ATUAL&lt;&gt;"SIM","",rascunho!EP11)</f>
        <v/>
      </c>
      <c r="R17" s="363" t="str">
        <f>+IF(SIT_ATUAL&lt;&gt;"SIM","",rascunho!EQ11)</f>
        <v/>
      </c>
      <c r="S17" s="363" t="str">
        <f>+IF(SIT_ATUAL&lt;&gt;"SIM","",rascunho!ER11)</f>
        <v/>
      </c>
      <c r="U17" s="148" t="str">
        <f>+IF(cadastro!B41="","",cadastro!B41)</f>
        <v/>
      </c>
      <c r="V17" s="149" t="str">
        <f>+IF(cadastro!D41="","",cadastro!D41)</f>
        <v/>
      </c>
      <c r="W17" s="149" t="str">
        <f>+IF(cadastro!E41="","",cadastro!E41)</f>
        <v/>
      </c>
      <c r="X17" s="150" t="str">
        <f>+CONCATENATE(IF(cadastro!C41="","","flh "),cadastro!C41,IF(OR(cadastro!C41="",cadastro!F41=""),""," - "),cadastro!F41)</f>
        <v/>
      </c>
      <c r="Z17" s="8"/>
      <c r="AA17" s="8"/>
      <c r="AB17" s="8"/>
      <c r="AC17" s="8"/>
      <c r="AD17" s="8"/>
      <c r="AE17" s="8"/>
      <c r="AF17" s="8"/>
    </row>
    <row r="18" spans="2:32" s="6" customFormat="1" ht="14.1" customHeight="1">
      <c r="B18" s="66"/>
      <c r="C18" s="70"/>
      <c r="D18" s="71" t="s">
        <v>90</v>
      </c>
      <c r="E18" s="72">
        <f>+IF(rascunho!CY6="","",rascunho!CY6)</f>
        <v>1620</v>
      </c>
      <c r="F18" s="51"/>
      <c r="G18" s="62" t="str">
        <f>+IF(H18="","",rascunho!DX6)</f>
        <v/>
      </c>
      <c r="H18" s="63" t="str">
        <f>+IF(OR(G17="",G17=0),"",G17-0.01)</f>
        <v/>
      </c>
      <c r="I18" s="64" t="str">
        <f>+IF(H18="","",rascunho!DY6)</f>
        <v/>
      </c>
      <c r="J18" s="65" t="str">
        <f>+IF(H18="","",rascunho!DZ6)</f>
        <v/>
      </c>
      <c r="L18" s="103" t="str">
        <f>+rascunho!EK12</f>
        <v/>
      </c>
      <c r="M18" s="101" t="str">
        <f>+rascunho!EL12</f>
        <v/>
      </c>
      <c r="N18" s="363" t="str">
        <f>+rascunho!EM12</f>
        <v/>
      </c>
      <c r="O18" s="102" t="str">
        <f>+IF(SIT_ATUAL&lt;&gt;"SIM","",rascunho!EN12)</f>
        <v/>
      </c>
      <c r="P18" s="363" t="str">
        <f>+IF(SIT_ATUAL&lt;&gt;"SIM","",rascunho!EO12)</f>
        <v/>
      </c>
      <c r="Q18" s="366" t="str">
        <f>+IF(SIT_ATUAL&lt;&gt;"SIM","",rascunho!EP12)</f>
        <v/>
      </c>
      <c r="R18" s="363" t="str">
        <f>+IF(SIT_ATUAL&lt;&gt;"SIM","",rascunho!EQ12)</f>
        <v/>
      </c>
      <c r="S18" s="363" t="str">
        <f>+IF(SIT_ATUAL&lt;&gt;"SIM","",rascunho!ER12)</f>
        <v/>
      </c>
      <c r="U18" s="148" t="str">
        <f>+IF(cadastro!B42="","",cadastro!B42)</f>
        <v/>
      </c>
      <c r="V18" s="149" t="str">
        <f>+IF(cadastro!D42="","",cadastro!D42)</f>
        <v/>
      </c>
      <c r="W18" s="149" t="str">
        <f>+IF(cadastro!E42="","",cadastro!E42)</f>
        <v/>
      </c>
      <c r="X18" s="150" t="str">
        <f>+CONCATENATE(IF(cadastro!C42="","","flh "),cadastro!C42,IF(OR(cadastro!C42="",cadastro!F42=""),""," - "),cadastro!F42)</f>
        <v/>
      </c>
      <c r="Z18" s="498" t="str">
        <f>+CONCATENATE(AI11,AI12,AD11,AD12,AD13,AD14,AD15,AD16,AI13,AI14,AI15)</f>
        <v>L62:S119,B3:J41,u3:x60,</v>
      </c>
      <c r="AA18" s="499"/>
      <c r="AB18" s="499"/>
      <c r="AC18" s="499"/>
      <c r="AD18" s="499"/>
      <c r="AE18" s="499"/>
      <c r="AF18" s="500"/>
    </row>
    <row r="19" spans="2:32" s="6" customFormat="1" ht="14.1" customHeight="1">
      <c r="B19" s="443" t="s">
        <v>152</v>
      </c>
      <c r="C19" s="443"/>
      <c r="D19" s="443"/>
      <c r="E19" s="87">
        <f>+IF(rascunho!CZ6="","",rascunho!CZ6)</f>
        <v>0</v>
      </c>
      <c r="F19" s="51"/>
      <c r="G19" s="449" t="s">
        <v>91</v>
      </c>
      <c r="H19" s="450"/>
      <c r="I19" s="450"/>
      <c r="J19" s="451"/>
      <c r="L19" s="103" t="str">
        <f>+rascunho!EK13</f>
        <v/>
      </c>
      <c r="M19" s="101" t="str">
        <f>+rascunho!EL13</f>
        <v/>
      </c>
      <c r="N19" s="363" t="str">
        <f>+rascunho!EM13</f>
        <v/>
      </c>
      <c r="O19" s="102" t="str">
        <f>+IF(SIT_ATUAL&lt;&gt;"SIM","",rascunho!EN13)</f>
        <v/>
      </c>
      <c r="P19" s="363" t="str">
        <f>+IF(SIT_ATUAL&lt;&gt;"SIM","",rascunho!EO13)</f>
        <v/>
      </c>
      <c r="Q19" s="366" t="str">
        <f>+IF(SIT_ATUAL&lt;&gt;"SIM","",rascunho!EP13)</f>
        <v/>
      </c>
      <c r="R19" s="363" t="str">
        <f>+IF(SIT_ATUAL&lt;&gt;"SIM","",rascunho!EQ13)</f>
        <v/>
      </c>
      <c r="S19" s="363" t="str">
        <f>+IF(SIT_ATUAL&lt;&gt;"SIM","",rascunho!ER13)</f>
        <v/>
      </c>
      <c r="U19" s="148" t="str">
        <f>+IF(cadastro!B43="","",cadastro!B43)</f>
        <v/>
      </c>
      <c r="V19" s="149" t="str">
        <f>+IF(cadastro!D43="","",cadastro!D43)</f>
        <v/>
      </c>
      <c r="W19" s="149" t="str">
        <f>+IF(cadastro!E43="","",cadastro!E43)</f>
        <v/>
      </c>
      <c r="X19" s="150" t="str">
        <f>+CONCATENATE(IF(cadastro!C43="","","flh "),cadastro!C43,IF(OR(cadastro!C43="",cadastro!F43=""),""," - "),cadastro!F43)</f>
        <v/>
      </c>
      <c r="Z19" s="501"/>
      <c r="AA19" s="502"/>
      <c r="AB19" s="502"/>
      <c r="AC19" s="502"/>
      <c r="AD19" s="502"/>
      <c r="AE19" s="502"/>
      <c r="AF19" s="503"/>
    </row>
    <row r="20" spans="2:32" s="6" customFormat="1" ht="14.1" customHeight="1">
      <c r="B20" s="443" t="s">
        <v>229</v>
      </c>
      <c r="C20" s="443"/>
      <c r="D20" s="443"/>
      <c r="E20" s="54">
        <f>+IF(rascunho!DA6="","",rascunho!DA6)</f>
        <v>0</v>
      </c>
      <c r="F20" s="51"/>
      <c r="G20" s="53" t="s">
        <v>154</v>
      </c>
      <c r="H20" s="73"/>
      <c r="I20" s="73"/>
      <c r="J20" s="73"/>
      <c r="L20" s="103" t="str">
        <f>+rascunho!EK14</f>
        <v/>
      </c>
      <c r="M20" s="101" t="str">
        <f>+rascunho!EL14</f>
        <v/>
      </c>
      <c r="N20" s="363" t="str">
        <f>+rascunho!EM14</f>
        <v/>
      </c>
      <c r="O20" s="102" t="str">
        <f>+IF(SIT_ATUAL&lt;&gt;"SIM","",rascunho!EN14)</f>
        <v/>
      </c>
      <c r="P20" s="363" t="str">
        <f>+IF(SIT_ATUAL&lt;&gt;"SIM","",rascunho!EO14)</f>
        <v/>
      </c>
      <c r="Q20" s="366" t="str">
        <f>+IF(SIT_ATUAL&lt;&gt;"SIM","",rascunho!EP14)</f>
        <v/>
      </c>
      <c r="R20" s="363" t="str">
        <f>+IF(SIT_ATUAL&lt;&gt;"SIM","",rascunho!EQ14)</f>
        <v/>
      </c>
      <c r="S20" s="363" t="str">
        <f>+IF(SIT_ATUAL&lt;&gt;"SIM","",rascunho!ER14)</f>
        <v/>
      </c>
      <c r="U20" s="148" t="str">
        <f>+IF(cadastro!B44="","",cadastro!B44)</f>
        <v/>
      </c>
      <c r="V20" s="149" t="str">
        <f>+IF(cadastro!D44="","",cadastro!D44)</f>
        <v/>
      </c>
      <c r="W20" s="149" t="str">
        <f>+IF(cadastro!E44="","",cadastro!E44)</f>
        <v/>
      </c>
      <c r="X20" s="150" t="str">
        <f>+CONCATENATE(IF(cadastro!C44="","","flh "),cadastro!C44,IF(OR(cadastro!C44="",cadastro!F44=""),""," - "),cadastro!F44)</f>
        <v/>
      </c>
      <c r="Z20" s="490" t="s">
        <v>126</v>
      </c>
      <c r="AA20" s="489" t="str">
        <f>+IF(Z18="","",MID(Z18,1,LEN(Z18)-1))</f>
        <v>L62:S119,B3:J41,u3:x60</v>
      </c>
      <c r="AB20" s="489"/>
      <c r="AC20" s="489"/>
      <c r="AD20" s="489"/>
      <c r="AE20" s="489"/>
      <c r="AF20" s="489"/>
    </row>
    <row r="21" spans="2:32" s="6" customFormat="1" ht="14.1" customHeight="1">
      <c r="B21" s="443" t="s">
        <v>50</v>
      </c>
      <c r="C21" s="443"/>
      <c r="D21" s="443"/>
      <c r="E21" s="50">
        <f>+IF(rascunho!DC6="","",rascunho!DC6)</f>
        <v>1511.06</v>
      </c>
      <c r="F21" s="51"/>
      <c r="G21" s="63"/>
      <c r="H21" s="74"/>
      <c r="I21" s="74"/>
      <c r="J21" s="74"/>
      <c r="L21" s="103" t="str">
        <f>+rascunho!EK15</f>
        <v/>
      </c>
      <c r="M21" s="101" t="str">
        <f>+rascunho!EL15</f>
        <v/>
      </c>
      <c r="N21" s="363" t="str">
        <f>+rascunho!EM15</f>
        <v/>
      </c>
      <c r="O21" s="102" t="str">
        <f>+IF(SIT_ATUAL&lt;&gt;"SIM","",rascunho!EN15)</f>
        <v/>
      </c>
      <c r="P21" s="363" t="str">
        <f>+IF(SIT_ATUAL&lt;&gt;"SIM","",rascunho!EO15)</f>
        <v/>
      </c>
      <c r="Q21" s="366" t="str">
        <f>+IF(SIT_ATUAL&lt;&gt;"SIM","",rascunho!EP15)</f>
        <v/>
      </c>
      <c r="R21" s="363" t="str">
        <f>+IF(SIT_ATUAL&lt;&gt;"SIM","",rascunho!EQ15)</f>
        <v/>
      </c>
      <c r="S21" s="363" t="str">
        <f>+IF(SIT_ATUAL&lt;&gt;"SIM","",rascunho!ER15)</f>
        <v/>
      </c>
      <c r="U21" s="148" t="str">
        <f>+IF(cadastro!B45="","",cadastro!B45)</f>
        <v/>
      </c>
      <c r="V21" s="149" t="str">
        <f>+IF(cadastro!D45="","",cadastro!D45)</f>
        <v/>
      </c>
      <c r="W21" s="149" t="str">
        <f>+IF(cadastro!E45="","",cadastro!E45)</f>
        <v/>
      </c>
      <c r="X21" s="150" t="str">
        <f>+CONCATENATE(IF(cadastro!C45="","","flh "),cadastro!C45,IF(OR(cadastro!C45="",cadastro!F45=""),""," - "),cadastro!F45)</f>
        <v/>
      </c>
      <c r="Z21" s="491"/>
      <c r="AA21" s="489"/>
      <c r="AB21" s="489"/>
      <c r="AC21" s="489"/>
      <c r="AD21" s="489"/>
      <c r="AE21" s="489"/>
      <c r="AF21" s="489"/>
    </row>
    <row r="22" spans="2:32" s="6" customFormat="1" ht="14.1" customHeight="1">
      <c r="B22" s="443" t="s">
        <v>153</v>
      </c>
      <c r="C22" s="443"/>
      <c r="D22" s="443"/>
      <c r="E22" s="54">
        <f>+IF(rascunho!DD6="","",rascunho!DD6)</f>
        <v>2342.81</v>
      </c>
      <c r="F22" s="51"/>
      <c r="G22" s="63"/>
      <c r="H22" s="63"/>
      <c r="I22" s="75"/>
      <c r="J22" s="76"/>
      <c r="L22" s="103" t="str">
        <f>+rascunho!EK16</f>
        <v/>
      </c>
      <c r="M22" s="101" t="str">
        <f>+rascunho!EL16</f>
        <v/>
      </c>
      <c r="N22" s="363" t="str">
        <f>+rascunho!EM16</f>
        <v/>
      </c>
      <c r="O22" s="102" t="str">
        <f>+IF(SIT_ATUAL&lt;&gt;"SIM","",rascunho!EN16)</f>
        <v/>
      </c>
      <c r="P22" s="363" t="str">
        <f>+IF(SIT_ATUAL&lt;&gt;"SIM","",rascunho!EO16)</f>
        <v/>
      </c>
      <c r="Q22" s="366" t="str">
        <f>+IF(SIT_ATUAL&lt;&gt;"SIM","",rascunho!EP16)</f>
        <v/>
      </c>
      <c r="R22" s="363" t="str">
        <f>+IF(SIT_ATUAL&lt;&gt;"SIM","",rascunho!EQ16)</f>
        <v/>
      </c>
      <c r="S22" s="363" t="str">
        <f>+IF(SIT_ATUAL&lt;&gt;"SIM","",rascunho!ER16)</f>
        <v/>
      </c>
      <c r="U22" s="148" t="str">
        <f>+IF(cadastro!B46="","",cadastro!B46)</f>
        <v/>
      </c>
      <c r="V22" s="149" t="str">
        <f>+IF(cadastro!D46="","",cadastro!D46)</f>
        <v/>
      </c>
      <c r="W22" s="149" t="str">
        <f>+IF(cadastro!E46="","",cadastro!E46)</f>
        <v/>
      </c>
      <c r="X22" s="150" t="str">
        <f>+CONCATENATE(IF(cadastro!C46="","","flh "),cadastro!C46,IF(OR(cadastro!C46="",cadastro!F46=""),""," - "),cadastro!F46)</f>
        <v/>
      </c>
      <c r="Z22" s="8"/>
      <c r="AA22" s="8"/>
      <c r="AB22" s="8"/>
      <c r="AC22" s="8"/>
      <c r="AD22" s="8"/>
      <c r="AE22" s="8"/>
      <c r="AF22" s="8"/>
    </row>
    <row r="23" spans="2:32" s="6" customFormat="1" ht="14.1" customHeight="1">
      <c r="B23" s="443" t="str">
        <f>+CONCATENATE("IMPOSTO A ",rascunho!DI6,"(=):")</f>
        <v>IMPOSTO A RESTITUIR(=):</v>
      </c>
      <c r="C23" s="443"/>
      <c r="D23" s="443"/>
      <c r="E23" s="50">
        <f>+IF(rascunho!DH6="","",ABS(rascunho!DH6))</f>
        <v>831.75</v>
      </c>
      <c r="F23" s="51"/>
      <c r="G23" s="74"/>
      <c r="H23" s="74"/>
      <c r="I23" s="74"/>
      <c r="J23" s="74"/>
      <c r="L23" s="103" t="str">
        <f>+rascunho!EK17</f>
        <v/>
      </c>
      <c r="M23" s="101" t="str">
        <f>+rascunho!EL17</f>
        <v/>
      </c>
      <c r="N23" s="363" t="str">
        <f>+rascunho!EM17</f>
        <v/>
      </c>
      <c r="O23" s="102" t="str">
        <f>+IF(SIT_ATUAL&lt;&gt;"SIM","",rascunho!EN17)</f>
        <v/>
      </c>
      <c r="P23" s="363" t="str">
        <f>+IF(SIT_ATUAL&lt;&gt;"SIM","",rascunho!EO17)</f>
        <v/>
      </c>
      <c r="Q23" s="366" t="str">
        <f>+IF(SIT_ATUAL&lt;&gt;"SIM","",rascunho!EP17)</f>
        <v/>
      </c>
      <c r="R23" s="363" t="str">
        <f>+IF(SIT_ATUAL&lt;&gt;"SIM","",rascunho!EQ17)</f>
        <v/>
      </c>
      <c r="S23" s="363" t="str">
        <f>+IF(SIT_ATUAL&lt;&gt;"SIM","",rascunho!ER17)</f>
        <v/>
      </c>
      <c r="U23" s="148" t="str">
        <f>+IF(cadastro!B47="","",cadastro!B47)</f>
        <v/>
      </c>
      <c r="V23" s="149" t="str">
        <f>+IF(cadastro!D47="","",cadastro!D47)</f>
        <v/>
      </c>
      <c r="W23" s="149" t="str">
        <f>+IF(cadastro!E47="","",cadastro!E47)</f>
        <v/>
      </c>
      <c r="X23" s="150" t="str">
        <f>+CONCATENATE(IF(cadastro!C47="","","flh "),cadastro!C47,IF(OR(cadastro!C47="",cadastro!F47=""),""," - "),cadastro!F47)</f>
        <v/>
      </c>
      <c r="Z23" s="353" t="s">
        <v>319</v>
      </c>
      <c r="AA23" s="352">
        <f>+COUNT(L78:L96)</f>
        <v>2</v>
      </c>
    </row>
    <row r="24" spans="2:32" s="6" customFormat="1" ht="14.1" customHeight="1">
      <c r="B24" s="443" t="str">
        <f>+CONCATENATE("(*)IMPOSTO A ",rascunho!DG6," EFETUADO:")</f>
        <v>(*)IMPOSTO A PAGAR EFETUADO:</v>
      </c>
      <c r="C24" s="443"/>
      <c r="D24" s="443"/>
      <c r="E24" s="54">
        <f>+IF(rascunho!DE6="","",ABS(rascunho!DE6))</f>
        <v>673.1</v>
      </c>
      <c r="F24" s="51"/>
      <c r="G24" s="47"/>
      <c r="H24" s="43"/>
      <c r="I24" s="444" t="str">
        <f>+IF(AND(I11&gt;1991,I11&lt;1995),"(em moeda)","")</f>
        <v/>
      </c>
      <c r="J24" s="444"/>
      <c r="L24" s="103" t="str">
        <f>+rascunho!EK18</f>
        <v/>
      </c>
      <c r="M24" s="101" t="str">
        <f>+rascunho!EL18</f>
        <v/>
      </c>
      <c r="N24" s="363" t="str">
        <f>+rascunho!EM18</f>
        <v/>
      </c>
      <c r="O24" s="102" t="str">
        <f>+IF(SIT_ATUAL&lt;&gt;"SIM","",rascunho!EN18)</f>
        <v/>
      </c>
      <c r="P24" s="363" t="str">
        <f>+IF(SIT_ATUAL&lt;&gt;"SIM","",rascunho!EO18)</f>
        <v/>
      </c>
      <c r="Q24" s="366" t="str">
        <f>+IF(SIT_ATUAL&lt;&gt;"SIM","",rascunho!EP18)</f>
        <v/>
      </c>
      <c r="R24" s="363" t="str">
        <f>+IF(SIT_ATUAL&lt;&gt;"SIM","",rascunho!EQ18)</f>
        <v/>
      </c>
      <c r="S24" s="363" t="str">
        <f>+IF(SIT_ATUAL&lt;&gt;"SIM","",rascunho!ER18)</f>
        <v/>
      </c>
      <c r="U24" s="148" t="str">
        <f>+IF(cadastro!B48="","",cadastro!B48)</f>
        <v/>
      </c>
      <c r="V24" s="149" t="str">
        <f>+IF(cadastro!D48="","",cadastro!D48)</f>
        <v/>
      </c>
      <c r="W24" s="149" t="str">
        <f>+IF(cadastro!E48="","",cadastro!E48)</f>
        <v/>
      </c>
      <c r="X24" s="150" t="str">
        <f>+CONCATENATE(IF(cadastro!C48="","","flh "),cadastro!C48,IF(OR(cadastro!C48="",cadastro!F48=""),""," - "),cadastro!F48)</f>
        <v/>
      </c>
      <c r="Z24" s="353" t="s">
        <v>320</v>
      </c>
      <c r="AA24" s="352">
        <f>+COUNT(L12:L30)</f>
        <v>0</v>
      </c>
    </row>
    <row r="25" spans="2:32" s="6" customFormat="1" ht="14.1" customHeight="1">
      <c r="B25" s="447" t="s">
        <v>32</v>
      </c>
      <c r="C25" s="447"/>
      <c r="D25" s="447"/>
      <c r="E25" s="77">
        <f>+IF(rascunho!EC6="","",-rascunho!EC6)</f>
        <v>1504.85</v>
      </c>
      <c r="F25" s="51"/>
      <c r="G25" s="78" t="str">
        <f>+IF(AND(I11&gt;=1992,I11&lt;1995),"(em UFIR)","")</f>
        <v/>
      </c>
      <c r="H25" s="78"/>
      <c r="I25" s="454" t="str">
        <f>+IF(AND(I11&gt;1991,I11&lt;1995),ABS(rascunho!EF6),"")</f>
        <v/>
      </c>
      <c r="J25" s="454"/>
      <c r="L25" s="103" t="str">
        <f>+rascunho!EK19</f>
        <v/>
      </c>
      <c r="M25" s="101" t="str">
        <f>+rascunho!EL19</f>
        <v/>
      </c>
      <c r="N25" s="363" t="str">
        <f>+rascunho!EM19</f>
        <v/>
      </c>
      <c r="O25" s="102" t="str">
        <f>+IF(SIT_ATUAL&lt;&gt;"SIM","",rascunho!EN19)</f>
        <v/>
      </c>
      <c r="P25" s="363" t="str">
        <f>+IF(SIT_ATUAL&lt;&gt;"SIM","",rascunho!EO19)</f>
        <v/>
      </c>
      <c r="Q25" s="366" t="str">
        <f>+IF(SIT_ATUAL&lt;&gt;"SIM","",rascunho!EP19)</f>
        <v/>
      </c>
      <c r="R25" s="363" t="str">
        <f>+IF(SIT_ATUAL&lt;&gt;"SIM","",rascunho!EQ19)</f>
        <v/>
      </c>
      <c r="S25" s="363" t="str">
        <f>+IF(SIT_ATUAL&lt;&gt;"SIM","",rascunho!ER19)</f>
        <v/>
      </c>
      <c r="U25" s="148" t="str">
        <f>+IF(cadastro!B49="","",cadastro!B49)</f>
        <v/>
      </c>
      <c r="V25" s="149" t="str">
        <f>+IF(cadastro!D49="","",cadastro!D49)</f>
        <v/>
      </c>
      <c r="W25" s="149" t="str">
        <f>+IF(cadastro!E49="","",cadastro!E49)</f>
        <v/>
      </c>
      <c r="X25" s="150" t="str">
        <f>+CONCATENATE(IF(cadastro!C49="","","flh "),cadastro!C49,IF(OR(cadastro!C49="",cadastro!F49=""),""," - "),cadastro!F49)</f>
        <v/>
      </c>
    </row>
    <row r="26" spans="2:32" s="6" customFormat="1" ht="14.1" customHeight="1">
      <c r="B26" s="46"/>
      <c r="C26" s="46"/>
      <c r="D26" s="45"/>
      <c r="E26" s="47"/>
      <c r="F26" s="47"/>
      <c r="G26" s="47"/>
      <c r="H26" s="48"/>
      <c r="I26" s="49"/>
      <c r="J26" s="49"/>
      <c r="L26" s="103" t="str">
        <f>+rascunho!EK20</f>
        <v/>
      </c>
      <c r="M26" s="101" t="str">
        <f>+rascunho!EL20</f>
        <v/>
      </c>
      <c r="N26" s="363" t="str">
        <f>+rascunho!EM20</f>
        <v/>
      </c>
      <c r="O26" s="102" t="str">
        <f>+IF(SIT_ATUAL&lt;&gt;"SIM","",rascunho!EN20)</f>
        <v/>
      </c>
      <c r="P26" s="363" t="str">
        <f>+IF(SIT_ATUAL&lt;&gt;"SIM","",rascunho!EO20)</f>
        <v/>
      </c>
      <c r="Q26" s="366" t="str">
        <f>+IF(SIT_ATUAL&lt;&gt;"SIM","",rascunho!EP20)</f>
        <v/>
      </c>
      <c r="R26" s="363" t="str">
        <f>+IF(SIT_ATUAL&lt;&gt;"SIM","",rascunho!EQ20)</f>
        <v/>
      </c>
      <c r="S26" s="363" t="str">
        <f>+IF(SIT_ATUAL&lt;&gt;"SIM","",rascunho!ER20)</f>
        <v/>
      </c>
      <c r="U26" s="148" t="str">
        <f>+IF(cadastro!B50="","",cadastro!B50)</f>
        <v/>
      </c>
      <c r="V26" s="149" t="str">
        <f>+IF(cadastro!D50="","",cadastro!D50)</f>
        <v/>
      </c>
      <c r="W26" s="149" t="str">
        <f>+IF(cadastro!E50="","",cadastro!E50)</f>
        <v/>
      </c>
      <c r="X26" s="150" t="str">
        <f>+CONCATENATE(IF(cadastro!C50="","","flh "),cadastro!C50,IF(OR(cadastro!C50="",cadastro!F50=""),""," - "),cadastro!F50)</f>
        <v/>
      </c>
    </row>
    <row r="27" spans="2:32" s="6" customFormat="1" ht="14.1" customHeight="1">
      <c r="B27" s="443" t="s">
        <v>150</v>
      </c>
      <c r="C27" s="443"/>
      <c r="D27" s="443"/>
      <c r="E27" s="50">
        <f>+IF(rascunho!CM7="","",rascunho!CM7)</f>
        <v>235766.64</v>
      </c>
      <c r="F27" s="51"/>
      <c r="G27" s="448" t="s">
        <v>23</v>
      </c>
      <c r="H27" s="448"/>
      <c r="I27" s="52">
        <f>+IF(rascunho!CJ7="","",rascunho!CJ7)</f>
        <v>2018.002</v>
      </c>
      <c r="J27" s="53"/>
      <c r="L27" s="103" t="str">
        <f>+rascunho!EK21</f>
        <v/>
      </c>
      <c r="M27" s="101" t="str">
        <f>+rascunho!EL21</f>
        <v/>
      </c>
      <c r="N27" s="363" t="str">
        <f>+rascunho!EM21</f>
        <v/>
      </c>
      <c r="O27" s="102" t="str">
        <f>+IF(SIT_ATUAL&lt;&gt;"SIM","",rascunho!EN21)</f>
        <v/>
      </c>
      <c r="P27" s="363" t="str">
        <f>+IF(SIT_ATUAL&lt;&gt;"SIM","",rascunho!EO21)</f>
        <v/>
      </c>
      <c r="Q27" s="366" t="str">
        <f>+IF(SIT_ATUAL&lt;&gt;"SIM","",rascunho!EP21)</f>
        <v/>
      </c>
      <c r="R27" s="363" t="str">
        <f>+IF(SIT_ATUAL&lt;&gt;"SIM","",rascunho!EQ21)</f>
        <v/>
      </c>
      <c r="S27" s="363" t="str">
        <f>+IF(SIT_ATUAL&lt;&gt;"SIM","",rascunho!ER21)</f>
        <v/>
      </c>
      <c r="U27" s="148" t="str">
        <f>+IF(cadastro!B51="","",cadastro!B51)</f>
        <v/>
      </c>
      <c r="V27" s="149" t="str">
        <f>+IF(cadastro!D51="","",cadastro!D51)</f>
        <v/>
      </c>
      <c r="W27" s="149" t="str">
        <f>+IF(cadastro!E51="","",cadastro!E51)</f>
        <v/>
      </c>
      <c r="X27" s="150" t="str">
        <f>+CONCATENATE(IF(cadastro!C51="","","flh "),cadastro!C51,IF(OR(cadastro!C51="",cadastro!F51=""),""," - "),cadastro!F51)</f>
        <v/>
      </c>
    </row>
    <row r="28" spans="2:32" s="6" customFormat="1" ht="14.1" customHeight="1">
      <c r="B28" s="443" t="s">
        <v>87</v>
      </c>
      <c r="C28" s="443"/>
      <c r="D28" s="443" t="s">
        <v>24</v>
      </c>
      <c r="E28" s="50">
        <f>+IF(rascunho!CN7="","",rascunho!CN7)</f>
        <v>0</v>
      </c>
      <c r="F28" s="51"/>
      <c r="G28" s="456" t="str">
        <f>+CONCATENATE("TIPO DE DECLARAÇÃO: ",rascunho!CL7)</f>
        <v>TIPO DE DECLARAÇÃO: COMPLETA</v>
      </c>
      <c r="H28" s="456"/>
      <c r="I28" s="456"/>
      <c r="J28" s="456"/>
      <c r="L28" s="103" t="str">
        <f>+rascunho!EK22</f>
        <v/>
      </c>
      <c r="M28" s="101" t="str">
        <f>+rascunho!EL22</f>
        <v/>
      </c>
      <c r="N28" s="363" t="str">
        <f>+rascunho!EM22</f>
        <v/>
      </c>
      <c r="O28" s="102" t="str">
        <f>+IF(SIT_ATUAL&lt;&gt;"SIM","",rascunho!EN22)</f>
        <v/>
      </c>
      <c r="P28" s="363" t="str">
        <f>+IF(SIT_ATUAL&lt;&gt;"SIM","",rascunho!EO22)</f>
        <v/>
      </c>
      <c r="Q28" s="366" t="str">
        <f>+IF(SIT_ATUAL&lt;&gt;"SIM","",rascunho!EP22)</f>
        <v/>
      </c>
      <c r="R28" s="363" t="str">
        <f>+IF(SIT_ATUAL&lt;&gt;"SIM","",rascunho!EQ22)</f>
        <v/>
      </c>
      <c r="S28" s="363" t="str">
        <f>+IF(SIT_ATUAL&lt;&gt;"SIM","",rascunho!ER22)</f>
        <v/>
      </c>
      <c r="U28" s="148" t="str">
        <f>+IF(cadastro!B52="","",cadastro!B52)</f>
        <v/>
      </c>
      <c r="V28" s="149" t="str">
        <f>+IF(cadastro!D52="","",cadastro!D52)</f>
        <v/>
      </c>
      <c r="W28" s="149" t="str">
        <f>+IF(cadastro!E52="","",cadastro!E52)</f>
        <v/>
      </c>
      <c r="X28" s="150" t="str">
        <f>+CONCATENATE(IF(cadastro!C52="","","flh "),cadastro!C52,IF(OR(cadastro!C52="",cadastro!F52=""),""," - "),cadastro!F52)</f>
        <v/>
      </c>
    </row>
    <row r="29" spans="2:32" s="6" customFormat="1" ht="14.1" customHeight="1">
      <c r="B29" s="443" t="s">
        <v>86</v>
      </c>
      <c r="C29" s="443"/>
      <c r="D29" s="443" t="s">
        <v>24</v>
      </c>
      <c r="E29" s="54">
        <f>+IF(rascunho!CO7="","",rascunho!CO7)</f>
        <v>0</v>
      </c>
      <c r="F29" s="51"/>
      <c r="G29" s="55" t="s">
        <v>2</v>
      </c>
      <c r="H29" s="56" t="s">
        <v>3</v>
      </c>
      <c r="I29" s="56" t="s">
        <v>14</v>
      </c>
      <c r="J29" s="57" t="s">
        <v>4</v>
      </c>
      <c r="L29" s="103" t="str">
        <f>+rascunho!EK23</f>
        <v/>
      </c>
      <c r="M29" s="101" t="str">
        <f>+rascunho!EL23</f>
        <v/>
      </c>
      <c r="N29" s="363" t="str">
        <f>+rascunho!EM23</f>
        <v/>
      </c>
      <c r="O29" s="102" t="str">
        <f>+IF(SIT_ATUAL&lt;&gt;"SIM","",rascunho!EN23)</f>
        <v/>
      </c>
      <c r="P29" s="363" t="str">
        <f>+IF(SIT_ATUAL&lt;&gt;"SIM","",rascunho!EO23)</f>
        <v/>
      </c>
      <c r="Q29" s="366" t="str">
        <f>+IF(SIT_ATUAL&lt;&gt;"SIM","",rascunho!EP23)</f>
        <v/>
      </c>
      <c r="R29" s="363" t="str">
        <f>+IF(SIT_ATUAL&lt;&gt;"SIM","",rascunho!EQ23)</f>
        <v/>
      </c>
      <c r="S29" s="363" t="str">
        <f>+IF(SIT_ATUAL&lt;&gt;"SIM","",rascunho!ER23)</f>
        <v/>
      </c>
      <c r="U29" s="148" t="str">
        <f>+IF(cadastro!B53="","",cadastro!B53)</f>
        <v/>
      </c>
      <c r="V29" s="149" t="str">
        <f>+IF(cadastro!D53="","",cadastro!D53)</f>
        <v/>
      </c>
      <c r="W29" s="149" t="str">
        <f>+IF(cadastro!E53="","",cadastro!E53)</f>
        <v/>
      </c>
      <c r="X29" s="150" t="str">
        <f>+CONCATENATE(IF(cadastro!C53="","","flh "),cadastro!C53,IF(OR(cadastro!C53="",cadastro!F53=""),""," - "),cadastro!F53)</f>
        <v/>
      </c>
    </row>
    <row r="30" spans="2:32" s="6" customFormat="1" ht="14.1" customHeight="1">
      <c r="B30" s="443" t="s">
        <v>89</v>
      </c>
      <c r="C30" s="443"/>
      <c r="D30" s="443"/>
      <c r="E30" s="50">
        <f>+IF(rascunho!CQ7="","",rascunho!CQ7)</f>
        <v>235766.64</v>
      </c>
      <c r="F30" s="51"/>
      <c r="G30" s="58">
        <f>+IF(rascunho!DL7="","",rascunho!DL7)</f>
        <v>55976.160000000003</v>
      </c>
      <c r="H30" s="59" t="s">
        <v>5</v>
      </c>
      <c r="I30" s="60">
        <f>+IF(rascunho!DM7="","",rascunho!DM7)</f>
        <v>0.27500000000000002</v>
      </c>
      <c r="J30" s="61">
        <f>+IF(rascunho!DN7="","",rascunho!DN7)</f>
        <v>10432.32</v>
      </c>
      <c r="L30" s="106"/>
      <c r="M30" s="107"/>
      <c r="N30" s="364"/>
      <c r="O30" s="109"/>
      <c r="P30" s="364"/>
      <c r="Q30" s="367"/>
      <c r="R30" s="364"/>
      <c r="S30" s="364"/>
      <c r="U30" s="148" t="str">
        <f>+IF(cadastro!B54="","",cadastro!B54)</f>
        <v/>
      </c>
      <c r="V30" s="149" t="str">
        <f>+IF(cadastro!D54="","",cadastro!D54)</f>
        <v/>
      </c>
      <c r="W30" s="149" t="str">
        <f>+IF(cadastro!E54="","",cadastro!E54)</f>
        <v/>
      </c>
      <c r="X30" s="150" t="str">
        <f>+CONCATENATE(IF(cadastro!C54="","","flh "),cadastro!C54,IF(OR(cadastro!C54="",cadastro!F54=""),""," - "),cadastro!F54)</f>
        <v/>
      </c>
    </row>
    <row r="31" spans="2:32" s="6" customFormat="1" ht="14.1" customHeight="1">
      <c r="B31" s="443" t="s">
        <v>151</v>
      </c>
      <c r="C31" s="443"/>
      <c r="D31" s="443"/>
      <c r="E31" s="54">
        <f>+IF(rascunho!CS7="","",rascunho!CS7)</f>
        <v>31982.37</v>
      </c>
      <c r="F31" s="51"/>
      <c r="G31" s="62">
        <f>+IF(H31="","",rascunho!DO7)</f>
        <v>45012.61</v>
      </c>
      <c r="H31" s="63">
        <f>+IF(G30="","",G30-0.01)</f>
        <v>55976.15</v>
      </c>
      <c r="I31" s="64">
        <f>+IF(H31="","",rascunho!DP7)</f>
        <v>0.22500000000000001</v>
      </c>
      <c r="J31" s="65">
        <f>+IF(H31="","",rascunho!DQ7)</f>
        <v>7633.51</v>
      </c>
      <c r="L31" s="103"/>
      <c r="M31" s="111"/>
      <c r="N31" s="104"/>
      <c r="O31" s="102"/>
      <c r="P31" s="104"/>
      <c r="Q31" s="105"/>
      <c r="R31" s="104"/>
      <c r="S31" s="104"/>
      <c r="U31" s="148" t="str">
        <f>+IF(cadastro!B55="","",cadastro!B55)</f>
        <v/>
      </c>
      <c r="V31" s="149" t="str">
        <f>+IF(cadastro!D55="","",cadastro!D55)</f>
        <v/>
      </c>
      <c r="W31" s="149" t="str">
        <f>+IF(cadastro!E55="","",cadastro!E55)</f>
        <v/>
      </c>
      <c r="X31" s="150" t="str">
        <f>+CONCATENATE(IF(cadastro!C55="","","flh "),cadastro!C55,IF(OR(cadastro!C55="",cadastro!F55=""),""," - "),cadastro!F55)</f>
        <v/>
      </c>
    </row>
    <row r="32" spans="2:32" s="6" customFormat="1" ht="14.1" customHeight="1">
      <c r="B32" s="443" t="s">
        <v>142</v>
      </c>
      <c r="C32" s="443"/>
      <c r="D32" s="443" t="s">
        <v>25</v>
      </c>
      <c r="E32" s="50">
        <f>+IF(rascunho!CU7="","",rascunho!CU7)</f>
        <v>203784.27000000002</v>
      </c>
      <c r="F32" s="51"/>
      <c r="G32" s="62">
        <f>+IF(H32="","",rascunho!DR7)</f>
        <v>33919.81</v>
      </c>
      <c r="H32" s="63">
        <f>+IF(G31="","",G31-0.01)</f>
        <v>45012.6</v>
      </c>
      <c r="I32" s="64">
        <f>+IF(H32="","",rascunho!DS7)</f>
        <v>0.15</v>
      </c>
      <c r="J32" s="65">
        <f>+IF(H32="","",rascunho!DT7)</f>
        <v>4257.57</v>
      </c>
      <c r="L32" s="471" t="str">
        <f>+rascunho!ET11</f>
        <v>VALOR TOTAL DO PRINCIPAL ATÉ A DISTRIBUIÇÃO:</v>
      </c>
      <c r="M32" s="471"/>
      <c r="N32" s="471"/>
      <c r="O32" s="471"/>
      <c r="P32" s="471"/>
      <c r="Q32" s="471"/>
      <c r="R32" s="473">
        <f>+rascunho!EU11</f>
        <v>0</v>
      </c>
      <c r="S32" s="473"/>
      <c r="U32" s="148" t="str">
        <f>+IF(cadastro!B56="","",cadastro!B56)</f>
        <v/>
      </c>
      <c r="V32" s="149" t="str">
        <f>+IF(cadastro!D56="","",cadastro!D56)</f>
        <v/>
      </c>
      <c r="W32" s="149" t="str">
        <f>+IF(cadastro!E56="","",cadastro!E56)</f>
        <v/>
      </c>
      <c r="X32" s="150" t="str">
        <f>+CONCATENATE(IF(cadastro!C56="","","flh "),cadastro!C56,IF(OR(cadastro!C56="",cadastro!F56=""),""," - "),cadastro!F56)</f>
        <v/>
      </c>
    </row>
    <row r="33" spans="2:35" s="6" customFormat="1" ht="14.1" customHeight="1">
      <c r="B33" s="66"/>
      <c r="C33" s="67"/>
      <c r="D33" s="68" t="s">
        <v>163</v>
      </c>
      <c r="E33" s="69">
        <f>+IF(rascunho!CX7="","",rascunho!CX7)</f>
        <v>0.27500000000000002</v>
      </c>
      <c r="F33" s="51"/>
      <c r="G33" s="62">
        <f>+IF(H33="","",rascunho!DU7)</f>
        <v>22847.77</v>
      </c>
      <c r="H33" s="63">
        <f>+IF(OR(G32="",G32=0),"",G32-0.01)</f>
        <v>33919.799999999996</v>
      </c>
      <c r="I33" s="64">
        <f>+IF(H33="","",rascunho!DV7)</f>
        <v>7.4999999999999997E-2</v>
      </c>
      <c r="J33" s="65">
        <f>+IF(H33="","",rascunho!DW7)</f>
        <v>1713.58</v>
      </c>
      <c r="L33" s="471" t="str">
        <f>+rascunho!ET12</f>
        <v>VALOR TOTAL DOS JUROS ATÉ A DISTRIBUIÇÃO:</v>
      </c>
      <c r="M33" s="471"/>
      <c r="N33" s="471"/>
      <c r="O33" s="471"/>
      <c r="P33" s="471"/>
      <c r="Q33" s="471"/>
      <c r="R33" s="472">
        <f>+rascunho!EU12</f>
        <v>0</v>
      </c>
      <c r="S33" s="472"/>
      <c r="U33" s="148" t="str">
        <f>+IF(cadastro!B57="","",cadastro!B57)</f>
        <v/>
      </c>
      <c r="V33" s="149" t="str">
        <f>+IF(cadastro!D57="","",cadastro!D57)</f>
        <v/>
      </c>
      <c r="W33" s="149" t="str">
        <f>+IF(cadastro!E57="","",cadastro!E57)</f>
        <v/>
      </c>
      <c r="X33" s="150" t="str">
        <f>+CONCATENATE(IF(cadastro!C57="","","flh "),cadastro!C57,IF(OR(cadastro!C57="",cadastro!F57=""),""," - "),cadastro!F57)</f>
        <v/>
      </c>
    </row>
    <row r="34" spans="2:35" s="6" customFormat="1" ht="14.1" customHeight="1">
      <c r="B34" s="66"/>
      <c r="C34" s="70"/>
      <c r="D34" s="71" t="s">
        <v>90</v>
      </c>
      <c r="E34" s="72">
        <f>+IF(rascunho!CY7="","",rascunho!CY7)</f>
        <v>10432.32</v>
      </c>
      <c r="F34" s="51"/>
      <c r="G34" s="62">
        <f>+IF(H34="","",rascunho!DX7)</f>
        <v>0</v>
      </c>
      <c r="H34" s="63">
        <f>+IF(OR(G33="",G33=0),"",G33-0.01)</f>
        <v>22847.760000000002</v>
      </c>
      <c r="I34" s="64">
        <f>+IF(H34="","",rascunho!DY7)</f>
        <v>0</v>
      </c>
      <c r="J34" s="65">
        <f>+IF(H34="","",rascunho!DZ7)</f>
        <v>0</v>
      </c>
      <c r="L34" s="471" t="str">
        <f>+rascunho!ET13</f>
        <v>VALOR TOTAL DAS PARCELAS VENCIDAS ATÉ A DISTRIBUIÇÃO:</v>
      </c>
      <c r="M34" s="471"/>
      <c r="N34" s="471"/>
      <c r="O34" s="471"/>
      <c r="P34" s="471"/>
      <c r="Q34" s="471"/>
      <c r="R34" s="469">
        <f>+rascunho!EU13</f>
        <v>0</v>
      </c>
      <c r="S34" s="469"/>
      <c r="U34" s="148" t="str">
        <f>+IF(cadastro!B58="","",cadastro!B58)</f>
        <v/>
      </c>
      <c r="V34" s="149" t="str">
        <f>+IF(cadastro!D58="","",cadastro!D58)</f>
        <v/>
      </c>
      <c r="W34" s="149" t="str">
        <f>+IF(cadastro!E58="","",cadastro!E58)</f>
        <v/>
      </c>
      <c r="X34" s="150" t="str">
        <f>+CONCATENATE(IF(cadastro!C58="","","flh "),cadastro!C58,IF(OR(cadastro!C58="",cadastro!F58=""),""," - "),cadastro!F58)</f>
        <v/>
      </c>
    </row>
    <row r="35" spans="2:35" s="6" customFormat="1" ht="14.1" customHeight="1">
      <c r="B35" s="443" t="s">
        <v>152</v>
      </c>
      <c r="C35" s="443"/>
      <c r="D35" s="443"/>
      <c r="E35" s="50">
        <f>+IF(rascunho!CZ7="","",rascunho!CZ7)</f>
        <v>0</v>
      </c>
      <c r="F35" s="51"/>
      <c r="G35" s="449" t="s">
        <v>91</v>
      </c>
      <c r="H35" s="450"/>
      <c r="I35" s="450"/>
      <c r="J35" s="451"/>
      <c r="L35" s="112"/>
      <c r="M35" s="112"/>
      <c r="N35" s="112"/>
      <c r="O35" s="112"/>
      <c r="P35" s="112"/>
      <c r="Q35" s="112"/>
      <c r="R35" s="104"/>
      <c r="S35" s="104"/>
      <c r="U35" s="148" t="str">
        <f>+IF(cadastro!B59="","",cadastro!B59)</f>
        <v/>
      </c>
      <c r="V35" s="149" t="str">
        <f>+IF(cadastro!D59="","",cadastro!D59)</f>
        <v/>
      </c>
      <c r="W35" s="149" t="str">
        <f>+IF(cadastro!E59="","",cadastro!E59)</f>
        <v/>
      </c>
      <c r="X35" s="150" t="str">
        <f>+CONCATENATE(IF(cadastro!C59="","","flh "),cadastro!C59,IF(OR(cadastro!C59="",cadastro!F59=""),""," - "),cadastro!F59)</f>
        <v/>
      </c>
    </row>
    <row r="36" spans="2:35" s="6" customFormat="1" ht="14.1" customHeight="1">
      <c r="B36" s="443" t="s">
        <v>229</v>
      </c>
      <c r="C36" s="443"/>
      <c r="D36" s="443"/>
      <c r="E36" s="54">
        <f>+IF(rascunho!DA7="","",rascunho!DA7)</f>
        <v>0</v>
      </c>
      <c r="F36" s="51"/>
      <c r="G36" s="53" t="s">
        <v>154</v>
      </c>
      <c r="H36" s="73"/>
      <c r="I36" s="73"/>
      <c r="J36" s="73"/>
      <c r="L36" s="471" t="str">
        <f>+rascunho!ET15</f>
        <v>TETO MÁXIMO DOS JUIZADOS ESPECIAIS NA DATA DA DISTRIBUIÇÃO:</v>
      </c>
      <c r="M36" s="471"/>
      <c r="N36" s="471"/>
      <c r="O36" s="471"/>
      <c r="P36" s="471"/>
      <c r="Q36" s="471"/>
      <c r="R36" s="473">
        <f>+rascunho!EU15</f>
        <v>10800</v>
      </c>
      <c r="S36" s="473"/>
      <c r="U36" s="148" t="str">
        <f>+IF(cadastro!B60="","",cadastro!B60)</f>
        <v/>
      </c>
      <c r="V36" s="149" t="str">
        <f>+IF(cadastro!D60="","",cadastro!D60)</f>
        <v/>
      </c>
      <c r="W36" s="149" t="str">
        <f>+IF(cadastro!E60="","",cadastro!E60)</f>
        <v/>
      </c>
      <c r="X36" s="150" t="str">
        <f>+CONCATENATE(IF(cadastro!C60="","","flh "),cadastro!C60,IF(OR(cadastro!C60="",cadastro!F60=""),""," - "),cadastro!F60)</f>
        <v/>
      </c>
    </row>
    <row r="37" spans="2:35" s="6" customFormat="1" ht="14.1" customHeight="1">
      <c r="B37" s="443" t="s">
        <v>50</v>
      </c>
      <c r="C37" s="443"/>
      <c r="D37" s="443"/>
      <c r="E37" s="50">
        <f>+IF(rascunho!DC7="","",rascunho!DC7)</f>
        <v>45608.35</v>
      </c>
      <c r="F37" s="51"/>
      <c r="G37" s="53"/>
      <c r="H37" s="74"/>
      <c r="I37" s="74"/>
      <c r="J37" s="74"/>
      <c r="L37" s="112"/>
      <c r="M37" s="112"/>
      <c r="N37" s="112"/>
      <c r="O37" s="112"/>
      <c r="P37" s="112"/>
      <c r="Q37" s="112"/>
      <c r="R37" s="104"/>
      <c r="S37" s="104"/>
      <c r="U37" s="148" t="str">
        <f>+IF(cadastro!B61="","",cadastro!B61)</f>
        <v/>
      </c>
      <c r="V37" s="149" t="str">
        <f>+IF(cadastro!D61="","",cadastro!D61)</f>
        <v/>
      </c>
      <c r="W37" s="149" t="str">
        <f>+IF(cadastro!E61="","",cadastro!E61)</f>
        <v/>
      </c>
      <c r="X37" s="150" t="str">
        <f>+CONCATENATE(IF(cadastro!C61="","","flh "),cadastro!C61,IF(OR(cadastro!C61="",cadastro!F61=""),""," - "),cadastro!F61)</f>
        <v/>
      </c>
    </row>
    <row r="38" spans="2:35" s="6" customFormat="1" ht="14.1" customHeight="1">
      <c r="B38" s="443" t="s">
        <v>153</v>
      </c>
      <c r="C38" s="443"/>
      <c r="D38" s="443"/>
      <c r="E38" s="54">
        <f>+IF(rascunho!DD7="","",rascunho!DD7)</f>
        <v>48700.08</v>
      </c>
      <c r="F38" s="51"/>
      <c r="G38" s="63"/>
      <c r="H38" s="63"/>
      <c r="I38" s="75"/>
      <c r="J38" s="76"/>
      <c r="L38" s="470" t="str">
        <f>+rascunho!ET16</f>
        <v>VALOR TOTAL DO PRINCIPAL ATÉ A DISTRIBUIÇÃO:</v>
      </c>
      <c r="M38" s="470"/>
      <c r="N38" s="470"/>
      <c r="O38" s="470"/>
      <c r="P38" s="470"/>
      <c r="Q38" s="470"/>
      <c r="R38" s="476">
        <f>+rascunho!EU16</f>
        <v>0</v>
      </c>
      <c r="S38" s="476"/>
      <c r="U38" s="148" t="str">
        <f>+IF(cadastro!B62="","",cadastro!B62)</f>
        <v/>
      </c>
      <c r="V38" s="149" t="str">
        <f>+IF(cadastro!D62="","",cadastro!D62)</f>
        <v/>
      </c>
      <c r="W38" s="149" t="str">
        <f>+IF(cadastro!E62="","",cadastro!E62)</f>
        <v/>
      </c>
      <c r="X38" s="150" t="str">
        <f>+CONCATENATE(IF(cadastro!C62="","","flh "),cadastro!C62,IF(OR(cadastro!C62="",cadastro!F62=""),""," - "),cadastro!F62)</f>
        <v/>
      </c>
    </row>
    <row r="39" spans="2:35" s="6" customFormat="1" ht="14.1" customHeight="1">
      <c r="B39" s="443" t="str">
        <f>+CONCATENATE("IMPOSTO A ",rascunho!DI7,"(=):")</f>
        <v>IMPOSTO A RESTITUIR(=):</v>
      </c>
      <c r="C39" s="443"/>
      <c r="D39" s="443"/>
      <c r="E39" s="50">
        <f>+IF(rascunho!DH7="","",ABS(rascunho!DH7))</f>
        <v>3091.7300000000032</v>
      </c>
      <c r="F39" s="51"/>
      <c r="G39" s="74"/>
      <c r="H39" s="74"/>
      <c r="I39" s="74"/>
      <c r="J39" s="74"/>
      <c r="L39" s="470" t="str">
        <f>+rascunho!ET17</f>
        <v>VALOR TOTAL DOS JUROS ATÉ A DISTRIBUIÇÃO:</v>
      </c>
      <c r="M39" s="470"/>
      <c r="N39" s="470"/>
      <c r="O39" s="470"/>
      <c r="P39" s="470"/>
      <c r="Q39" s="470"/>
      <c r="R39" s="474">
        <f>+rascunho!EU17</f>
        <v>0</v>
      </c>
      <c r="S39" s="474"/>
      <c r="U39" s="148" t="str">
        <f>+IF(cadastro!B63="","",cadastro!B63)</f>
        <v/>
      </c>
      <c r="V39" s="149" t="str">
        <f>+IF(cadastro!D63="","",cadastro!D63)</f>
        <v/>
      </c>
      <c r="W39" s="149" t="str">
        <f>+IF(cadastro!E63="","",cadastro!E63)</f>
        <v/>
      </c>
      <c r="X39" s="150" t="str">
        <f>+CONCATENATE(IF(cadastro!C63="","","flh "),cadastro!C63,IF(OR(cadastro!C63="",cadastro!F63=""),""," - "),cadastro!F63)</f>
        <v/>
      </c>
      <c r="AH39" s="4"/>
      <c r="AI39" s="4"/>
    </row>
    <row r="40" spans="2:35" s="6" customFormat="1" ht="14.1" customHeight="1">
      <c r="B40" s="443" t="str">
        <f>+CONCATENATE("(*)IMPOSTO A ",rascunho!DG7," EFETUADO:")</f>
        <v>(*)IMPOSTO A RESTITUIR EFETUADO:</v>
      </c>
      <c r="C40" s="443"/>
      <c r="D40" s="443"/>
      <c r="E40" s="54">
        <f>+IF(rascunho!DE7="","",ABS(rascunho!DE7))</f>
        <v>3091.73</v>
      </c>
      <c r="F40" s="51"/>
      <c r="G40" s="47"/>
      <c r="H40" s="43"/>
      <c r="I40" s="444" t="str">
        <f>+IF(AND(I27&gt;1991,I27&lt;1995),"(em moeda)","")</f>
        <v/>
      </c>
      <c r="J40" s="444"/>
      <c r="L40" s="471" t="str">
        <f>+rascunho!ET18</f>
        <v>VALOR DEVIDO NA DATA DA DISTRIBUIÇÃO (08/2001):</v>
      </c>
      <c r="M40" s="471"/>
      <c r="N40" s="471"/>
      <c r="O40" s="471"/>
      <c r="P40" s="471"/>
      <c r="Q40" s="471"/>
      <c r="R40" s="469">
        <f>+rascunho!EU18</f>
        <v>0</v>
      </c>
      <c r="S40" s="469"/>
      <c r="U40" s="148" t="str">
        <f>+IF(cadastro!B64="","",cadastro!B64)</f>
        <v/>
      </c>
      <c r="V40" s="149" t="str">
        <f>+IF(cadastro!D64="","",cadastro!D64)</f>
        <v/>
      </c>
      <c r="W40" s="149" t="str">
        <f>+IF(cadastro!E64="","",cadastro!E64)</f>
        <v/>
      </c>
      <c r="X40" s="150" t="str">
        <f>+CONCATENATE(IF(cadastro!C64="","","flh "),cadastro!C64,IF(OR(cadastro!C64="",cadastro!F64=""),""," - "),cadastro!F64)</f>
        <v/>
      </c>
      <c r="AH40" s="4"/>
      <c r="AI40" s="4"/>
    </row>
    <row r="41" spans="2:35" s="6" customFormat="1" ht="14.1" customHeight="1">
      <c r="B41" s="447" t="s">
        <v>32</v>
      </c>
      <c r="C41" s="447"/>
      <c r="D41" s="447"/>
      <c r="E41" s="77">
        <f>+IF(rascunho!EC7="","",-rascunho!EC7)</f>
        <v>0</v>
      </c>
      <c r="F41" s="51"/>
      <c r="G41" s="78" t="str">
        <f>+IF(AND(I27&gt;=1992,I27&lt;1995),"(em UFIR)","")</f>
        <v/>
      </c>
      <c r="H41" s="78"/>
      <c r="I41" s="454" t="str">
        <f>+IF(AND(I27&gt;1991,I27&lt;1995),ABS(rascunho!EF7),"")</f>
        <v/>
      </c>
      <c r="J41" s="454"/>
      <c r="L41" s="106"/>
      <c r="M41" s="113"/>
      <c r="N41" s="108"/>
      <c r="O41" s="109"/>
      <c r="P41" s="108"/>
      <c r="Q41" s="110"/>
      <c r="R41" s="108"/>
      <c r="S41" s="108"/>
      <c r="U41" s="148" t="str">
        <f>+IF(cadastro!B65="","",cadastro!B65)</f>
        <v/>
      </c>
      <c r="V41" s="149" t="str">
        <f>+IF(cadastro!D65="","",cadastro!D65)</f>
        <v/>
      </c>
      <c r="W41" s="149" t="str">
        <f>+IF(cadastro!E65="","",cadastro!E65)</f>
        <v/>
      </c>
      <c r="X41" s="150" t="str">
        <f>+CONCATENATE(IF(cadastro!C65="","","flh "),cadastro!C65,IF(OR(cadastro!C65="",cadastro!F65=""),""," - "),cadastro!F65)</f>
        <v/>
      </c>
      <c r="AH41" s="4"/>
      <c r="AI41" s="4"/>
    </row>
    <row r="42" spans="2:35" s="6" customFormat="1" ht="14.1" customHeight="1">
      <c r="B42" s="46"/>
      <c r="C42" s="46"/>
      <c r="D42" s="45"/>
      <c r="E42" s="47"/>
      <c r="F42" s="47"/>
      <c r="G42" s="47"/>
      <c r="H42" s="48"/>
      <c r="I42" s="49"/>
      <c r="J42" s="49"/>
      <c r="L42" s="103"/>
      <c r="M42" s="111"/>
      <c r="N42" s="104"/>
      <c r="O42" s="102"/>
      <c r="P42" s="104"/>
      <c r="Q42" s="105"/>
      <c r="R42" s="104"/>
      <c r="S42" s="104"/>
      <c r="U42" s="148" t="str">
        <f>+IF(cadastro!B66="","",cadastro!B66)</f>
        <v/>
      </c>
      <c r="V42" s="149" t="str">
        <f>+IF(cadastro!D66="","",cadastro!D66)</f>
        <v/>
      </c>
      <c r="W42" s="149" t="str">
        <f>+IF(cadastro!E66="","",cadastro!E66)</f>
        <v/>
      </c>
      <c r="X42" s="150" t="str">
        <f>+CONCATENATE(IF(cadastro!C66="","","flh "),cadastro!C66,IF(OR(cadastro!C66="",cadastro!F66=""),""," - "),cadastro!F66)</f>
        <v/>
      </c>
      <c r="AH42" s="4"/>
      <c r="AI42" s="4"/>
    </row>
    <row r="43" spans="2:35" s="6" customFormat="1" ht="14.1" customHeight="1">
      <c r="B43" s="443" t="s">
        <v>150</v>
      </c>
      <c r="C43" s="443"/>
      <c r="D43" s="443"/>
      <c r="E43" s="50" t="str">
        <f>+IF(rascunho!CM8="","",rascunho!CM8)</f>
        <v/>
      </c>
      <c r="F43" s="51"/>
      <c r="G43" s="448" t="s">
        <v>23</v>
      </c>
      <c r="H43" s="448"/>
      <c r="I43" s="52" t="str">
        <f>+IF(rascunho!CJ8="","",rascunho!CJ8)</f>
        <v/>
      </c>
      <c r="J43" s="53"/>
      <c r="L43" s="475" t="str">
        <f>+rascunho!ET24</f>
        <v>- Data da distribuição: 1-ago-2001</v>
      </c>
      <c r="M43" s="475"/>
      <c r="N43" s="475"/>
      <c r="O43" s="475"/>
      <c r="P43" s="475"/>
      <c r="Q43" s="475"/>
      <c r="R43" s="475"/>
      <c r="S43" s="475"/>
      <c r="U43" s="148" t="str">
        <f>+IF(cadastro!B67="","",cadastro!B67)</f>
        <v/>
      </c>
      <c r="V43" s="149" t="str">
        <f>+IF(cadastro!D67="","",cadastro!D67)</f>
        <v/>
      </c>
      <c r="W43" s="149" t="str">
        <f>+IF(cadastro!E67="","",cadastro!E67)</f>
        <v/>
      </c>
      <c r="X43" s="150" t="str">
        <f>+CONCATENATE(IF(cadastro!C67="","","flh "),cadastro!C67,IF(OR(cadastro!C67="",cadastro!F67=""),""," - "),cadastro!F67)</f>
        <v/>
      </c>
      <c r="AG43" s="4"/>
      <c r="AH43" s="5"/>
      <c r="AI43" s="5"/>
    </row>
    <row r="44" spans="2:35" s="6" customFormat="1" ht="14.1" customHeight="1">
      <c r="B44" s="443" t="s">
        <v>87</v>
      </c>
      <c r="C44" s="443"/>
      <c r="D44" s="443" t="s">
        <v>24</v>
      </c>
      <c r="E44" s="50" t="str">
        <f>+IF(rascunho!CN8="","",rascunho!CN8)</f>
        <v/>
      </c>
      <c r="F44" s="51"/>
      <c r="G44" s="456" t="str">
        <f>+CONCATENATE("TIPO DE DECLARAÇÃO: ",rascunho!CL8)</f>
        <v xml:space="preserve">TIPO DE DECLARAÇÃO: </v>
      </c>
      <c r="H44" s="456"/>
      <c r="I44" s="456"/>
      <c r="J44" s="456"/>
      <c r="L44" s="475" t="str">
        <f>+rascunho!ET22</f>
        <v>- O valor devido na data da distribuição não foi limitado ao teto dos Juizados Federais.</v>
      </c>
      <c r="M44" s="475"/>
      <c r="N44" s="475"/>
      <c r="O44" s="475"/>
      <c r="P44" s="475"/>
      <c r="Q44" s="475"/>
      <c r="R44" s="475"/>
      <c r="S44" s="475"/>
      <c r="U44" s="148" t="str">
        <f>+IF(cadastro!B68="","",cadastro!B68)</f>
        <v/>
      </c>
      <c r="V44" s="149" t="str">
        <f>+IF(cadastro!D68="","",cadastro!D68)</f>
        <v/>
      </c>
      <c r="W44" s="149" t="str">
        <f>+IF(cadastro!E68="","",cadastro!E68)</f>
        <v/>
      </c>
      <c r="X44" s="150" t="str">
        <f>+CONCATENATE(IF(cadastro!C68="","","flh "),cadastro!C68,IF(OR(cadastro!C68="",cadastro!F68=""),""," - "),cadastro!F68)</f>
        <v/>
      </c>
      <c r="AG44" s="4"/>
    </row>
    <row r="45" spans="2:35" s="6" customFormat="1" ht="14.1" customHeight="1">
      <c r="B45" s="443" t="s">
        <v>86</v>
      </c>
      <c r="C45" s="443"/>
      <c r="D45" s="443" t="s">
        <v>24</v>
      </c>
      <c r="E45" s="54" t="str">
        <f>+IF(rascunho!CO8="","",rascunho!CO8)</f>
        <v/>
      </c>
      <c r="F45" s="51"/>
      <c r="G45" s="55" t="s">
        <v>2</v>
      </c>
      <c r="H45" s="56" t="s">
        <v>3</v>
      </c>
      <c r="I45" s="56" t="s">
        <v>14</v>
      </c>
      <c r="J45" s="57" t="s">
        <v>4</v>
      </c>
      <c r="L45" s="475"/>
      <c r="M45" s="475"/>
      <c r="N45" s="475"/>
      <c r="O45" s="475"/>
      <c r="P45" s="475"/>
      <c r="Q45" s="475"/>
      <c r="R45" s="475"/>
      <c r="S45" s="475"/>
      <c r="U45" s="148" t="str">
        <f>+IF(cadastro!B69="","",cadastro!B69)</f>
        <v/>
      </c>
      <c r="V45" s="149" t="str">
        <f>+IF(cadastro!D69="","",cadastro!D69)</f>
        <v/>
      </c>
      <c r="W45" s="149" t="str">
        <f>+IF(cadastro!E69="","",cadastro!E69)</f>
        <v/>
      </c>
      <c r="X45" s="150" t="str">
        <f>+CONCATENATE(IF(cadastro!C69="","","flh "),cadastro!C69,IF(OR(cadastro!C69="",cadastro!F69=""),""," - "),cadastro!F69)</f>
        <v/>
      </c>
      <c r="AG45" s="4"/>
      <c r="AH45" s="4"/>
      <c r="AI45" s="4"/>
    </row>
    <row r="46" spans="2:35" s="6" customFormat="1" ht="14.1" customHeight="1">
      <c r="B46" s="443" t="s">
        <v>89</v>
      </c>
      <c r="C46" s="443"/>
      <c r="D46" s="443"/>
      <c r="E46" s="50" t="str">
        <f>+IF(rascunho!CQ8="","",rascunho!CQ8)</f>
        <v/>
      </c>
      <c r="F46" s="51"/>
      <c r="G46" s="58" t="str">
        <f>+IF(rascunho!DL8="","",rascunho!DL8)</f>
        <v/>
      </c>
      <c r="H46" s="59" t="s">
        <v>5</v>
      </c>
      <c r="I46" s="60" t="str">
        <f>+IF(rascunho!DM8="","",rascunho!DM8)</f>
        <v/>
      </c>
      <c r="J46" s="61" t="str">
        <f>+IF(rascunho!DN8="","",rascunho!DN8)</f>
        <v/>
      </c>
      <c r="L46" s="103"/>
      <c r="M46" s="111"/>
      <c r="N46" s="104"/>
      <c r="O46" s="102"/>
      <c r="P46" s="104"/>
      <c r="Q46" s="105"/>
      <c r="R46" s="104"/>
      <c r="S46" s="104"/>
      <c r="U46" s="148" t="str">
        <f>+IF(cadastro!B70="","",cadastro!B70)</f>
        <v/>
      </c>
      <c r="V46" s="149" t="str">
        <f>+IF(cadastro!D70="","",cadastro!D70)</f>
        <v/>
      </c>
      <c r="W46" s="149" t="str">
        <f>+IF(cadastro!E70="","",cadastro!E70)</f>
        <v/>
      </c>
      <c r="X46" s="150" t="str">
        <f>+CONCATENATE(IF(cadastro!C70="","","flh "),cadastro!C70,IF(OR(cadastro!C70="",cadastro!F70=""),""," - "),cadastro!F70)</f>
        <v/>
      </c>
      <c r="AG46" s="4"/>
      <c r="AH46" s="5"/>
      <c r="AI46" s="5"/>
    </row>
    <row r="47" spans="2:35" s="6" customFormat="1" ht="14.1" customHeight="1">
      <c r="B47" s="443" t="s">
        <v>151</v>
      </c>
      <c r="C47" s="443"/>
      <c r="D47" s="443"/>
      <c r="E47" s="54" t="str">
        <f>+IF(rascunho!CS8="","",rascunho!CS8)</f>
        <v/>
      </c>
      <c r="F47" s="51"/>
      <c r="G47" s="62" t="str">
        <f>+IF(H47="","",rascunho!DO8)</f>
        <v/>
      </c>
      <c r="H47" s="63" t="str">
        <f>+IF(G46="","",G46-0.01)</f>
        <v/>
      </c>
      <c r="I47" s="64" t="str">
        <f>+IF(H47="","",rascunho!DP8)</f>
        <v/>
      </c>
      <c r="J47" s="65" t="str">
        <f>+IF(H47="","",rascunho!DQ8)</f>
        <v/>
      </c>
      <c r="L47" s="103"/>
      <c r="M47" s="111"/>
      <c r="N47" s="104"/>
      <c r="O47" s="102"/>
      <c r="P47" s="104"/>
      <c r="Q47" s="105"/>
      <c r="R47" s="104"/>
      <c r="S47" s="104"/>
      <c r="U47" s="148" t="str">
        <f>+IF(cadastro!B71="","",cadastro!B71)</f>
        <v/>
      </c>
      <c r="V47" s="149" t="str">
        <f>+IF(cadastro!D71="","",cadastro!D71)</f>
        <v/>
      </c>
      <c r="W47" s="149" t="str">
        <f>+IF(cadastro!E71="","",cadastro!E71)</f>
        <v/>
      </c>
      <c r="X47" s="150" t="str">
        <f>+CONCATENATE(IF(cadastro!C71="","","flh "),cadastro!C71,IF(OR(cadastro!C71="",cadastro!F71=""),""," - "),cadastro!F71)</f>
        <v/>
      </c>
      <c r="AG47" s="5"/>
      <c r="AH47" s="4"/>
      <c r="AI47" s="4"/>
    </row>
    <row r="48" spans="2:35" s="6" customFormat="1" ht="14.1" customHeight="1">
      <c r="B48" s="443" t="s">
        <v>142</v>
      </c>
      <c r="C48" s="443"/>
      <c r="D48" s="443" t="s">
        <v>25</v>
      </c>
      <c r="E48" s="50" t="str">
        <f>+IF(rascunho!CU8="","",rascunho!CU8)</f>
        <v/>
      </c>
      <c r="F48" s="51"/>
      <c r="G48" s="62" t="str">
        <f>+IF(H48="","",rascunho!DR8)</f>
        <v/>
      </c>
      <c r="H48" s="63" t="str">
        <f>+IF(G47="","",G47-0.01)</f>
        <v/>
      </c>
      <c r="I48" s="64" t="str">
        <f>+IF(H48="","",rascunho!DS8)</f>
        <v/>
      </c>
      <c r="J48" s="65" t="str">
        <f>+IF(H48="","",rascunho!DT8)</f>
        <v/>
      </c>
      <c r="L48" s="103"/>
      <c r="M48" s="111"/>
      <c r="N48" s="104"/>
      <c r="O48" s="102"/>
      <c r="P48" s="104"/>
      <c r="Q48" s="105"/>
      <c r="R48" s="104"/>
      <c r="S48" s="104"/>
      <c r="U48" s="148" t="str">
        <f>+IF(cadastro!B72="","",cadastro!B72)</f>
        <v/>
      </c>
      <c r="V48" s="149" t="str">
        <f>+IF(cadastro!D72="","",cadastro!D72)</f>
        <v/>
      </c>
      <c r="W48" s="149" t="str">
        <f>+IF(cadastro!E72="","",cadastro!E72)</f>
        <v/>
      </c>
      <c r="X48" s="150" t="str">
        <f>+CONCATENATE(IF(cadastro!C72="","","flh "),cadastro!C72,IF(OR(cadastro!C72="",cadastro!F72=""),""," - "),cadastro!F72)</f>
        <v/>
      </c>
      <c r="AH48" s="4"/>
      <c r="AI48" s="4"/>
    </row>
    <row r="49" spans="2:44" s="6" customFormat="1" ht="14.1" customHeight="1">
      <c r="B49" s="66"/>
      <c r="C49" s="67"/>
      <c r="D49" s="68" t="s">
        <v>163</v>
      </c>
      <c r="E49" s="69" t="str">
        <f>+IF(rascunho!CX8="","",rascunho!CX8)</f>
        <v/>
      </c>
      <c r="F49" s="51"/>
      <c r="G49" s="62" t="str">
        <f>+IF(H49="","",rascunho!DU8)</f>
        <v/>
      </c>
      <c r="H49" s="63" t="str">
        <f>+IF(OR(G48="",G48=0),"",G48-0.01)</f>
        <v/>
      </c>
      <c r="I49" s="64" t="str">
        <f>+IF(H49="","",rascunho!DV8)</f>
        <v/>
      </c>
      <c r="J49" s="65" t="str">
        <f>+IF(H49="","",rascunho!DW8)</f>
        <v/>
      </c>
      <c r="L49" s="103"/>
      <c r="M49" s="111"/>
      <c r="N49" s="104"/>
      <c r="O49" s="102"/>
      <c r="P49" s="104"/>
      <c r="Q49" s="105"/>
      <c r="R49" s="104"/>
      <c r="S49" s="104"/>
      <c r="U49" s="148" t="str">
        <f>+IF(cadastro!B73="","",cadastro!B73)</f>
        <v/>
      </c>
      <c r="V49" s="149" t="str">
        <f>+IF(cadastro!D73="","",cadastro!D73)</f>
        <v/>
      </c>
      <c r="W49" s="149" t="str">
        <f>+IF(cadastro!E73="","",cadastro!E73)</f>
        <v/>
      </c>
      <c r="X49" s="150" t="str">
        <f>+CONCATENATE(IF(cadastro!C73="","","flh "),cadastro!C73,IF(OR(cadastro!C73="",cadastro!F73=""),""," - "),cadastro!F73)</f>
        <v/>
      </c>
      <c r="AG49" s="4"/>
      <c r="AH49" s="4"/>
      <c r="AI49" s="4"/>
    </row>
    <row r="50" spans="2:44" s="6" customFormat="1" ht="14.1" customHeight="1">
      <c r="B50" s="66"/>
      <c r="C50" s="70"/>
      <c r="D50" s="71" t="s">
        <v>90</v>
      </c>
      <c r="E50" s="72" t="str">
        <f>+IF(rascunho!CY8="","",rascunho!CY8)</f>
        <v/>
      </c>
      <c r="F50" s="51"/>
      <c r="G50" s="62" t="str">
        <f>+IF(H50="","",rascunho!DX8)</f>
        <v/>
      </c>
      <c r="H50" s="63" t="str">
        <f>+IF(OR(G49="",G49=0),"",G49-0.01)</f>
        <v/>
      </c>
      <c r="I50" s="64" t="str">
        <f>+IF(H50="","",rascunho!DY8)</f>
        <v/>
      </c>
      <c r="J50" s="65" t="str">
        <f>+IF(H50="","",rascunho!DZ8)</f>
        <v/>
      </c>
      <c r="L50" s="103"/>
      <c r="M50" s="111"/>
      <c r="N50" s="104"/>
      <c r="O50" s="102"/>
      <c r="P50" s="104"/>
      <c r="Q50" s="105"/>
      <c r="R50" s="104"/>
      <c r="S50" s="104"/>
      <c r="U50" s="148" t="str">
        <f>+IF(cadastro!B74="","",cadastro!B74)</f>
        <v/>
      </c>
      <c r="V50" s="149" t="str">
        <f>+IF(cadastro!D74="","",cadastro!D74)</f>
        <v/>
      </c>
      <c r="W50" s="149" t="str">
        <f>+IF(cadastro!E74="","",cadastro!E74)</f>
        <v/>
      </c>
      <c r="X50" s="150" t="str">
        <f>+CONCATENATE(IF(cadastro!C74="","","flh "),cadastro!C74,IF(OR(cadastro!C74="",cadastro!F74=""),""," - "),cadastro!F74)</f>
        <v/>
      </c>
      <c r="AG50" s="5"/>
      <c r="AH50" s="5"/>
      <c r="AI50" s="5"/>
    </row>
    <row r="51" spans="2:44" s="6" customFormat="1" ht="14.1" customHeight="1">
      <c r="B51" s="443" t="s">
        <v>152</v>
      </c>
      <c r="C51" s="443"/>
      <c r="D51" s="443"/>
      <c r="E51" s="50" t="str">
        <f>+IF(rascunho!CZ8="","",rascunho!CZ8)</f>
        <v/>
      </c>
      <c r="F51" s="51"/>
      <c r="G51" s="449" t="s">
        <v>91</v>
      </c>
      <c r="H51" s="450"/>
      <c r="I51" s="450"/>
      <c r="J51" s="451"/>
      <c r="L51" s="103"/>
      <c r="M51" s="111"/>
      <c r="N51" s="104"/>
      <c r="O51" s="102"/>
      <c r="P51" s="104"/>
      <c r="Q51" s="105"/>
      <c r="R51" s="104"/>
      <c r="S51" s="104"/>
      <c r="U51" s="148" t="str">
        <f>+IF(cadastro!B75="","",cadastro!B75)</f>
        <v/>
      </c>
      <c r="V51" s="149" t="str">
        <f>+IF(cadastro!D75="","",cadastro!D75)</f>
        <v/>
      </c>
      <c r="W51" s="149" t="str">
        <f>+IF(cadastro!E75="","",cadastro!E75)</f>
        <v/>
      </c>
      <c r="X51" s="150" t="str">
        <f>+CONCATENATE(IF(cadastro!C75="","","flh "),cadastro!C75,IF(OR(cadastro!C75="",cadastro!F75=""),""," - "),cadastro!F75)</f>
        <v/>
      </c>
      <c r="AG51" s="4"/>
      <c r="AL51" s="4"/>
      <c r="AM51" s="4"/>
      <c r="AN51" s="4"/>
      <c r="AO51" s="4"/>
      <c r="AP51" s="4"/>
      <c r="AQ51" s="4"/>
      <c r="AR51" s="4"/>
    </row>
    <row r="52" spans="2:44" s="6" customFormat="1" ht="14.1" customHeight="1">
      <c r="B52" s="443" t="s">
        <v>229</v>
      </c>
      <c r="C52" s="443"/>
      <c r="D52" s="443"/>
      <c r="E52" s="54" t="str">
        <f>+IF(rascunho!DA8="","",rascunho!DA8)</f>
        <v/>
      </c>
      <c r="F52" s="51"/>
      <c r="G52" s="53" t="s">
        <v>154</v>
      </c>
      <c r="H52" s="73"/>
      <c r="I52" s="73"/>
      <c r="J52" s="73"/>
      <c r="L52" s="103"/>
      <c r="M52" s="111"/>
      <c r="N52" s="104"/>
      <c r="O52" s="102"/>
      <c r="P52" s="104"/>
      <c r="Q52" s="105"/>
      <c r="R52" s="104"/>
      <c r="S52" s="104"/>
      <c r="U52" s="148" t="str">
        <f>+IF(cadastro!B76="","",cadastro!B76)</f>
        <v/>
      </c>
      <c r="V52" s="149" t="str">
        <f>+IF(cadastro!D76="","",cadastro!D76)</f>
        <v/>
      </c>
      <c r="W52" s="149" t="str">
        <f>+IF(cadastro!E76="","",cadastro!E76)</f>
        <v/>
      </c>
      <c r="X52" s="150" t="str">
        <f>+CONCATENATE(IF(cadastro!C76="","","flh "),cadastro!C76,IF(OR(cadastro!C76="",cadastro!F76=""),""," - "),cadastro!F76)</f>
        <v/>
      </c>
      <c r="Y52" s="2"/>
      <c r="AG52" s="4"/>
      <c r="AJ52" s="4"/>
      <c r="AL52" s="4"/>
      <c r="AM52" s="4"/>
      <c r="AN52" s="4"/>
      <c r="AO52" s="4"/>
      <c r="AP52" s="4"/>
      <c r="AQ52" s="4"/>
      <c r="AR52" s="4"/>
    </row>
    <row r="53" spans="2:44" s="6" customFormat="1" ht="14.1" customHeight="1">
      <c r="B53" s="443" t="s">
        <v>50</v>
      </c>
      <c r="C53" s="443"/>
      <c r="D53" s="443"/>
      <c r="E53" s="50" t="str">
        <f>+IF(rascunho!DC8="","",rascunho!DC8)</f>
        <v/>
      </c>
      <c r="F53" s="51"/>
      <c r="G53" s="53"/>
      <c r="H53" s="74"/>
      <c r="I53" s="74"/>
      <c r="J53" s="74"/>
      <c r="L53" s="103"/>
      <c r="M53" s="111"/>
      <c r="N53" s="104"/>
      <c r="O53" s="102"/>
      <c r="P53" s="104"/>
      <c r="Q53" s="105"/>
      <c r="R53" s="104"/>
      <c r="S53" s="104"/>
      <c r="U53" s="148" t="str">
        <f>+IF(cadastro!B77="","",cadastro!B77)</f>
        <v/>
      </c>
      <c r="V53" s="149" t="str">
        <f>+IF(cadastro!D77="","",cadastro!D77)</f>
        <v/>
      </c>
      <c r="W53" s="149" t="str">
        <f>+IF(cadastro!E77="","",cadastro!E77)</f>
        <v/>
      </c>
      <c r="X53" s="150" t="str">
        <f>+CONCATENATE(IF(cadastro!C77="","","flh "),cadastro!C77,IF(OR(cadastro!C77="",cadastro!F77=""),""," - "),cadastro!F77)</f>
        <v/>
      </c>
      <c r="Y53" s="4"/>
      <c r="AG53" s="4"/>
      <c r="AJ53" s="4"/>
      <c r="AL53" s="4"/>
      <c r="AM53" s="4"/>
      <c r="AN53" s="4"/>
      <c r="AO53" s="4"/>
      <c r="AP53" s="4"/>
      <c r="AQ53" s="4"/>
      <c r="AR53" s="4"/>
    </row>
    <row r="54" spans="2:44" s="6" customFormat="1" ht="14.1" customHeight="1">
      <c r="B54" s="443" t="s">
        <v>153</v>
      </c>
      <c r="C54" s="443"/>
      <c r="D54" s="443"/>
      <c r="E54" s="54" t="str">
        <f>+IF(rascunho!DD8="","",rascunho!DD8)</f>
        <v/>
      </c>
      <c r="F54" s="51"/>
      <c r="G54" s="63"/>
      <c r="H54" s="63"/>
      <c r="I54" s="75"/>
      <c r="J54" s="76"/>
      <c r="L54" s="103"/>
      <c r="M54" s="111"/>
      <c r="N54" s="104"/>
      <c r="O54" s="102"/>
      <c r="P54" s="104"/>
      <c r="Q54" s="105"/>
      <c r="R54" s="104"/>
      <c r="S54" s="104"/>
      <c r="U54" s="148" t="str">
        <f>+IF(cadastro!B78="","",cadastro!B78)</f>
        <v/>
      </c>
      <c r="V54" s="149" t="str">
        <f>+IF(cadastro!D78="","",cadastro!D78)</f>
        <v/>
      </c>
      <c r="W54" s="149" t="str">
        <f>+IF(cadastro!E78="","",cadastro!E78)</f>
        <v/>
      </c>
      <c r="X54" s="150" t="str">
        <f>+CONCATENATE(IF(cadastro!C78="","","flh "),cadastro!C78,IF(OR(cadastro!C78="",cadastro!F78=""),""," - "),cadastro!F78)</f>
        <v/>
      </c>
      <c r="Y54" s="4"/>
      <c r="AG54" s="5"/>
      <c r="AJ54" s="4"/>
      <c r="AL54" s="4"/>
      <c r="AM54" s="4"/>
      <c r="AN54" s="4"/>
      <c r="AO54" s="4"/>
      <c r="AP54" s="4"/>
      <c r="AQ54" s="4"/>
      <c r="AR54" s="4"/>
    </row>
    <row r="55" spans="2:44" s="6" customFormat="1" ht="14.1" customHeight="1">
      <c r="B55" s="443" t="str">
        <f>+CONCATENATE("IMPOSTO A ",rascunho!DI8,"(=):")</f>
        <v>IMPOSTO A (=):</v>
      </c>
      <c r="C55" s="443"/>
      <c r="D55" s="443"/>
      <c r="E55" s="50" t="str">
        <f>+IF(rascunho!DH8="","",ABS(rascunho!DH8))</f>
        <v/>
      </c>
      <c r="F55" s="51"/>
      <c r="G55" s="74"/>
      <c r="H55" s="74"/>
      <c r="I55" s="74"/>
      <c r="J55" s="74"/>
      <c r="L55" s="103"/>
      <c r="M55" s="111"/>
      <c r="N55" s="104"/>
      <c r="O55" s="102"/>
      <c r="P55" s="104"/>
      <c r="Q55" s="105"/>
      <c r="R55" s="104"/>
      <c r="S55" s="104"/>
      <c r="U55" s="148" t="str">
        <f>+IF(cadastro!B79="","",cadastro!B79)</f>
        <v/>
      </c>
      <c r="V55" s="149" t="str">
        <f>+IF(cadastro!D79="","",cadastro!D79)</f>
        <v/>
      </c>
      <c r="W55" s="149" t="str">
        <f>+IF(cadastro!E79="","",cadastro!E79)</f>
        <v/>
      </c>
      <c r="X55" s="150" t="str">
        <f>+CONCATENATE(IF(cadastro!C79="","","flh "),cadastro!C79,IF(OR(cadastro!C79="",cadastro!F79=""),""," - "),cadastro!F79)</f>
        <v/>
      </c>
      <c r="Y55" s="4"/>
      <c r="Z55" s="4"/>
      <c r="AA55" s="4"/>
      <c r="AB55" s="4"/>
      <c r="AC55" s="4"/>
      <c r="AD55" s="4"/>
      <c r="AE55" s="4"/>
      <c r="AF55" s="4"/>
      <c r="AJ55" s="4"/>
      <c r="AL55" s="5"/>
      <c r="AM55" s="5"/>
      <c r="AN55" s="5"/>
      <c r="AO55" s="5"/>
      <c r="AP55" s="5"/>
      <c r="AQ55" s="5"/>
      <c r="AR55" s="5"/>
    </row>
    <row r="56" spans="2:44" s="6" customFormat="1" ht="14.1" customHeight="1">
      <c r="B56" s="443" t="str">
        <f>+CONCATENATE("(*)IMPOSTO A ",rascunho!DG8," EFETUADO:")</f>
        <v>(*)IMPOSTO A  EFETUADO:</v>
      </c>
      <c r="C56" s="443"/>
      <c r="D56" s="443"/>
      <c r="E56" s="54" t="str">
        <f>+IF(rascunho!DE8="","",ABS(rascunho!DE8))</f>
        <v/>
      </c>
      <c r="F56" s="51"/>
      <c r="G56" s="47"/>
      <c r="H56" s="43"/>
      <c r="I56" s="444" t="str">
        <f>+IF(AND(I43&gt;1991,I43&lt;1995),"(em moeda)","")</f>
        <v/>
      </c>
      <c r="J56" s="444"/>
      <c r="L56" s="103"/>
      <c r="M56" s="111"/>
      <c r="N56" s="104"/>
      <c r="O56" s="102"/>
      <c r="P56" s="104"/>
      <c r="Q56" s="105"/>
      <c r="R56" s="104"/>
      <c r="S56" s="104"/>
      <c r="U56" s="148" t="str">
        <f>+IF(cadastro!B80="","",cadastro!B80)</f>
        <v/>
      </c>
      <c r="V56" s="149" t="str">
        <f>+IF(cadastro!D80="","",cadastro!D80)</f>
        <v/>
      </c>
      <c r="W56" s="149" t="str">
        <f>+IF(cadastro!E80="","",cadastro!E80)</f>
        <v/>
      </c>
      <c r="X56" s="150" t="str">
        <f>+CONCATENATE(IF(cadastro!C80="","","flh "),cadastro!C80,IF(OR(cadastro!C80="",cadastro!F80=""),""," - "),cadastro!F80)</f>
        <v/>
      </c>
      <c r="Y56" s="4"/>
      <c r="Z56" s="4"/>
      <c r="AA56" s="4"/>
      <c r="AB56" s="4"/>
      <c r="AC56" s="4"/>
      <c r="AD56" s="4"/>
      <c r="AE56" s="4"/>
      <c r="AF56" s="4"/>
      <c r="AJ56" s="5"/>
    </row>
    <row r="57" spans="2:44" s="6" customFormat="1" ht="14.1" customHeight="1">
      <c r="B57" s="455" t="s">
        <v>32</v>
      </c>
      <c r="C57" s="455"/>
      <c r="D57" s="455"/>
      <c r="E57" s="79" t="str">
        <f>+IF(rascunho!EC8="","",-rascunho!EC8)</f>
        <v/>
      </c>
      <c r="F57" s="80"/>
      <c r="G57" s="81" t="str">
        <f>+IF(AND(I43&gt;=1992,I43&lt;1995),"(em UFIR)","")</f>
        <v/>
      </c>
      <c r="H57" s="81"/>
      <c r="I57" s="445" t="str">
        <f>+IF(AND(I43&gt;1991,I43&lt;1995),ABS(rascunho!EF8),"")</f>
        <v/>
      </c>
      <c r="J57" s="445"/>
      <c r="L57" s="114"/>
      <c r="M57" s="114"/>
      <c r="N57" s="114"/>
      <c r="O57" s="114"/>
      <c r="P57" s="114"/>
      <c r="Q57" s="114"/>
      <c r="R57" s="114"/>
      <c r="S57" s="114"/>
      <c r="U57" s="151"/>
      <c r="V57" s="152"/>
      <c r="W57" s="152"/>
      <c r="X57" s="114"/>
      <c r="Y57" s="5"/>
      <c r="Z57" s="4"/>
      <c r="AA57" s="4"/>
      <c r="AB57" s="4"/>
      <c r="AC57" s="4"/>
      <c r="AD57" s="4"/>
      <c r="AE57" s="4"/>
      <c r="AF57" s="4"/>
      <c r="AL57" s="4"/>
      <c r="AM57" s="4"/>
      <c r="AN57" s="4"/>
      <c r="AO57" s="4"/>
      <c r="AP57" s="4"/>
      <c r="AQ57" s="4"/>
      <c r="AR57" s="4"/>
    </row>
    <row r="58" spans="2:44" s="6" customFormat="1" ht="9.9499999999999993" customHeight="1">
      <c r="B58" s="82"/>
      <c r="C58" s="82"/>
      <c r="D58" s="82"/>
      <c r="E58" s="82"/>
      <c r="F58" s="83"/>
      <c r="G58" s="482" t="str">
        <f>+CONCATENATE(B9," - PÁGINA 1 de ",calculo!AF16)</f>
        <v>CÁLCULO DA(S) DECLARAÇÃO(ÕES) - PÁGINA 1 de 1</v>
      </c>
      <c r="H58" s="482"/>
      <c r="I58" s="482"/>
      <c r="J58" s="482"/>
      <c r="L58" s="82"/>
      <c r="M58" s="82"/>
      <c r="N58" s="115"/>
      <c r="O58" s="116"/>
      <c r="P58" s="117"/>
      <c r="Q58" s="115"/>
      <c r="R58" s="115"/>
      <c r="S58" s="118" t="str">
        <f>+CONCATENATE(L9," - PAGINA 1 de 1")</f>
        <v>DEMONSTRATIVO DO VALOR DEVIDO ATÉ A DATA DA DISTRIBUIÇÃO   (TETO DOS JUIZADOS ESPECIAIS) - PAGINA 1 de 1</v>
      </c>
      <c r="U58" s="82"/>
      <c r="V58" s="115"/>
      <c r="W58" s="115"/>
      <c r="X58" s="118" t="str">
        <f>+CONCATENATE(U9," - PAGINA 1 de ",calculo!AK15)</f>
        <v>RELATÓRIO DOS VALORES ACRESCIDOS OU RETIRADOS DA BASE DE CÁLCULO - PAGINA 1 de 1</v>
      </c>
      <c r="Z58" s="4"/>
      <c r="AA58" s="4"/>
      <c r="AB58" s="4"/>
      <c r="AC58" s="4"/>
      <c r="AD58" s="4"/>
      <c r="AE58" s="4"/>
      <c r="AF58" s="4"/>
      <c r="AJ58" s="4"/>
      <c r="AL58" s="5"/>
      <c r="AM58" s="5"/>
      <c r="AN58" s="5"/>
      <c r="AO58" s="5"/>
      <c r="AP58" s="5"/>
      <c r="AQ58" s="5"/>
      <c r="AR58" s="5"/>
    </row>
    <row r="59" spans="2:44" s="6" customFormat="1" ht="9.9499999999999993" customHeight="1">
      <c r="B59" s="82" t="str">
        <f>+CONCATENATE("PCIRA - ",sobre!H11)</f>
        <v>PCIRA - VERSÃO: 9.0.4.2007-2024</v>
      </c>
      <c r="C59" s="82"/>
      <c r="D59" s="82"/>
      <c r="E59" s="82"/>
      <c r="F59" s="83"/>
      <c r="G59" s="83"/>
      <c r="H59" s="84"/>
      <c r="I59" s="83"/>
      <c r="J59" s="85" t="str">
        <f ca="1">+CONCATENATE("EMITIDO EM: ",TEXT(NOW(),"d-mm-aaaa"))</f>
        <v>EMITIDO EM: 16-09-2026</v>
      </c>
      <c r="L59" s="82" t="str">
        <f>+B59</f>
        <v>PCIRA - VERSÃO: 9.0.4.2007-2024</v>
      </c>
      <c r="M59" s="82"/>
      <c r="N59" s="115"/>
      <c r="O59" s="82"/>
      <c r="P59" s="119"/>
      <c r="Q59" s="115"/>
      <c r="R59" s="115"/>
      <c r="S59" s="120" t="str">
        <f ca="1">+J59</f>
        <v>EMITIDO EM: 16-09-2026</v>
      </c>
      <c r="U59" s="82" t="str">
        <f>+L59</f>
        <v>PCIRA - VERSÃO: 9.0.4.2007-2024</v>
      </c>
      <c r="V59" s="115"/>
      <c r="W59" s="115"/>
      <c r="X59" s="120" t="str">
        <f ca="1">+S59</f>
        <v>EMITIDO EM: 16-09-2026</v>
      </c>
      <c r="Z59" s="5"/>
      <c r="AA59" s="5"/>
      <c r="AB59" s="5"/>
      <c r="AC59" s="5"/>
      <c r="AD59" s="5"/>
      <c r="AE59" s="5"/>
      <c r="AF59" s="5"/>
      <c r="AJ59" s="5"/>
      <c r="AL59" s="4"/>
      <c r="AM59" s="4"/>
      <c r="AN59" s="4"/>
      <c r="AO59" s="4"/>
      <c r="AP59" s="4"/>
      <c r="AQ59" s="4"/>
      <c r="AR59" s="4"/>
    </row>
    <row r="60" spans="2:44" s="6" customFormat="1" ht="9.9499999999999993" customHeight="1">
      <c r="B60" s="82" t="str">
        <f>+CONCATENATE(NOM_SETOR)</f>
        <v>SJRJ - DCAL</v>
      </c>
      <c r="C60" s="82"/>
      <c r="D60" s="82"/>
      <c r="E60" s="82"/>
      <c r="F60" s="83"/>
      <c r="G60" s="83"/>
      <c r="H60" s="84"/>
      <c r="I60" s="83"/>
      <c r="J60" s="86"/>
      <c r="L60" s="82" t="str">
        <f>+B60</f>
        <v>SJRJ - DCAL</v>
      </c>
      <c r="M60" s="82"/>
      <c r="N60" s="115"/>
      <c r="O60" s="82"/>
      <c r="P60" s="119"/>
      <c r="Q60" s="115"/>
      <c r="R60" s="115"/>
      <c r="S60" s="120"/>
      <c r="U60" s="82" t="str">
        <f>+L60</f>
        <v>SJRJ - DCAL</v>
      </c>
      <c r="V60" s="115"/>
      <c r="W60" s="115"/>
      <c r="X60" s="120"/>
      <c r="AJ60" s="4"/>
      <c r="AL60" s="4"/>
      <c r="AM60" s="4"/>
      <c r="AN60" s="4"/>
      <c r="AO60" s="4"/>
      <c r="AP60" s="4"/>
      <c r="AQ60" s="4"/>
      <c r="AR60" s="4"/>
    </row>
    <row r="61" spans="2:44" s="6" customFormat="1" ht="9.9499999999999993" customHeight="1">
      <c r="B61" s="2"/>
      <c r="C61" s="2"/>
      <c r="D61" s="2"/>
      <c r="E61" s="2"/>
      <c r="F61" s="2"/>
      <c r="G61" s="2"/>
      <c r="H61" s="7"/>
      <c r="I61" s="2"/>
      <c r="J61" s="2"/>
      <c r="L61" s="2"/>
      <c r="M61" s="2"/>
      <c r="N61" s="2"/>
      <c r="O61" s="2"/>
      <c r="P61" s="2"/>
      <c r="Q61" s="7"/>
      <c r="R61" s="2"/>
      <c r="S61" s="2"/>
      <c r="T61" s="2"/>
      <c r="U61" s="2"/>
      <c r="V61" s="2"/>
      <c r="W61" s="2"/>
      <c r="X61" s="2"/>
      <c r="Z61" s="5"/>
      <c r="AA61" s="4"/>
      <c r="AB61" s="4"/>
      <c r="AC61" s="4"/>
      <c r="AD61" s="4"/>
      <c r="AE61" s="4"/>
      <c r="AF61" s="4"/>
      <c r="AJ61" s="4"/>
      <c r="AL61" s="4"/>
      <c r="AM61" s="4"/>
      <c r="AN61" s="4"/>
      <c r="AO61" s="4"/>
      <c r="AP61" s="4"/>
      <c r="AQ61" s="4"/>
      <c r="AR61" s="4"/>
    </row>
    <row r="62" spans="2:44" s="4" customFormat="1" ht="18" customHeight="1">
      <c r="B62" s="348"/>
      <c r="C62" s="442" t="s">
        <v>250</v>
      </c>
      <c r="D62" s="442"/>
      <c r="E62" s="442"/>
      <c r="F62" s="442"/>
      <c r="G62" s="442"/>
      <c r="H62" s="442"/>
      <c r="I62" s="442"/>
      <c r="J62" s="442"/>
      <c r="L62" s="434" t="s">
        <v>250</v>
      </c>
      <c r="M62" s="434"/>
      <c r="N62" s="434"/>
      <c r="O62" s="434"/>
      <c r="P62" s="434"/>
      <c r="Q62" s="434"/>
      <c r="R62" s="434"/>
      <c r="S62" s="434"/>
      <c r="U62" s="434" t="s">
        <v>250</v>
      </c>
      <c r="V62" s="434"/>
      <c r="W62" s="434"/>
      <c r="X62" s="434"/>
      <c r="Y62" s="6"/>
      <c r="AA62" s="5"/>
      <c r="AB62" s="5"/>
      <c r="AC62" s="5"/>
      <c r="AD62" s="5"/>
      <c r="AE62" s="5"/>
      <c r="AF62" s="5"/>
      <c r="AG62" s="6"/>
      <c r="AH62" s="6"/>
      <c r="AI62" s="6"/>
      <c r="AL62" s="5"/>
      <c r="AM62" s="5"/>
      <c r="AN62" s="5"/>
      <c r="AO62" s="5"/>
      <c r="AP62" s="5"/>
      <c r="AQ62" s="5"/>
      <c r="AR62" s="5"/>
    </row>
    <row r="63" spans="2:44" s="4" customFormat="1" ht="18" customHeight="1">
      <c r="B63" s="348"/>
      <c r="C63" s="442" t="s">
        <v>310</v>
      </c>
      <c r="D63" s="442"/>
      <c r="E63" s="442"/>
      <c r="F63" s="442"/>
      <c r="G63" s="442"/>
      <c r="H63" s="442"/>
      <c r="I63" s="442"/>
      <c r="J63" s="442"/>
      <c r="L63" s="434" t="s">
        <v>310</v>
      </c>
      <c r="M63" s="434"/>
      <c r="N63" s="434"/>
      <c r="O63" s="434"/>
      <c r="P63" s="434"/>
      <c r="Q63" s="434"/>
      <c r="R63" s="434"/>
      <c r="S63" s="434"/>
      <c r="U63" s="434" t="s">
        <v>310</v>
      </c>
      <c r="V63" s="434"/>
      <c r="W63" s="434"/>
      <c r="X63" s="434"/>
      <c r="Y63" s="6"/>
      <c r="AG63" s="6"/>
      <c r="AH63" s="6"/>
      <c r="AI63" s="6"/>
      <c r="AJ63" s="5"/>
      <c r="AL63" s="6"/>
      <c r="AM63" s="6"/>
      <c r="AN63" s="6"/>
      <c r="AO63" s="6"/>
      <c r="AP63" s="6"/>
      <c r="AQ63" s="6"/>
      <c r="AR63" s="6"/>
    </row>
    <row r="64" spans="2:44" s="4" customFormat="1" ht="18" customHeight="1">
      <c r="B64" s="348"/>
      <c r="C64" s="442" t="s">
        <v>252</v>
      </c>
      <c r="D64" s="442"/>
      <c r="E64" s="442"/>
      <c r="F64" s="442"/>
      <c r="G64" s="442"/>
      <c r="H64" s="442"/>
      <c r="I64" s="442"/>
      <c r="J64" s="442"/>
      <c r="L64" s="434" t="s">
        <v>252</v>
      </c>
      <c r="M64" s="434"/>
      <c r="N64" s="434"/>
      <c r="O64" s="434"/>
      <c r="P64" s="434"/>
      <c r="Q64" s="434"/>
      <c r="R64" s="434"/>
      <c r="S64" s="434"/>
      <c r="U64" s="434" t="s">
        <v>252</v>
      </c>
      <c r="V64" s="434"/>
      <c r="W64" s="434"/>
      <c r="X64" s="434"/>
      <c r="Y64" s="6"/>
      <c r="AG64" s="6"/>
      <c r="AH64" s="6"/>
      <c r="AI64" s="6"/>
      <c r="AJ64" s="6"/>
      <c r="AL64" s="6"/>
      <c r="AM64" s="6"/>
      <c r="AN64" s="6"/>
      <c r="AO64" s="6"/>
      <c r="AP64" s="6"/>
      <c r="AQ64" s="6"/>
      <c r="AR64" s="6"/>
    </row>
    <row r="65" spans="1:44" s="4" customFormat="1" ht="18" customHeight="1">
      <c r="B65" s="349"/>
      <c r="C65" s="446" t="s">
        <v>311</v>
      </c>
      <c r="D65" s="446"/>
      <c r="E65" s="446"/>
      <c r="F65" s="446"/>
      <c r="G65" s="446"/>
      <c r="H65" s="446"/>
      <c r="I65" s="446"/>
      <c r="J65" s="446"/>
      <c r="L65" s="435" t="s">
        <v>311</v>
      </c>
      <c r="M65" s="435"/>
      <c r="N65" s="435"/>
      <c r="O65" s="435"/>
      <c r="P65" s="435"/>
      <c r="Q65" s="435"/>
      <c r="R65" s="435"/>
      <c r="S65" s="435"/>
      <c r="U65" s="435" t="s">
        <v>311</v>
      </c>
      <c r="V65" s="435"/>
      <c r="W65" s="435"/>
      <c r="X65" s="435"/>
      <c r="Y65" s="6"/>
      <c r="Z65" s="5"/>
      <c r="AG65" s="6"/>
      <c r="AH65" s="6"/>
      <c r="AI65" s="6"/>
      <c r="AJ65" s="6"/>
      <c r="AL65" s="6"/>
      <c r="AM65" s="6"/>
      <c r="AN65" s="6"/>
      <c r="AO65" s="6"/>
      <c r="AP65" s="6"/>
      <c r="AQ65" s="6"/>
      <c r="AR65" s="6"/>
    </row>
    <row r="66" spans="1:44" s="5" customFormat="1" ht="7.5" customHeight="1">
      <c r="B66" s="436" t="s">
        <v>0</v>
      </c>
      <c r="C66" s="438"/>
      <c r="D66" s="436" t="s">
        <v>1</v>
      </c>
      <c r="E66" s="437"/>
      <c r="F66" s="437"/>
      <c r="G66" s="437"/>
      <c r="H66" s="437"/>
      <c r="I66" s="437"/>
      <c r="J66" s="438"/>
      <c r="L66" s="436" t="s">
        <v>0</v>
      </c>
      <c r="M66" s="438"/>
      <c r="N66" s="88" t="s">
        <v>1</v>
      </c>
      <c r="O66" s="90"/>
      <c r="P66" s="90"/>
      <c r="Q66" s="90"/>
      <c r="R66" s="88" t="s">
        <v>37</v>
      </c>
      <c r="S66" s="89"/>
      <c r="U66" s="143" t="s">
        <v>0</v>
      </c>
      <c r="V66" s="436" t="s">
        <v>1</v>
      </c>
      <c r="W66" s="437"/>
      <c r="X66" s="438"/>
      <c r="Y66" s="6"/>
      <c r="Z66" s="6"/>
      <c r="AG66" s="6"/>
      <c r="AH66" s="6"/>
      <c r="AI66" s="6"/>
      <c r="AJ66" s="6"/>
      <c r="AL66" s="6"/>
      <c r="AM66" s="6"/>
      <c r="AN66" s="6"/>
      <c r="AO66" s="6"/>
      <c r="AP66" s="6"/>
      <c r="AQ66" s="6"/>
      <c r="AR66" s="6"/>
    </row>
    <row r="67" spans="1:44" s="6" customFormat="1" ht="14.1" customHeight="1">
      <c r="B67" s="452" t="str">
        <f>+B8</f>
        <v/>
      </c>
      <c r="C67" s="453"/>
      <c r="D67" s="439" t="str">
        <f>+D8</f>
        <v/>
      </c>
      <c r="E67" s="440"/>
      <c r="F67" s="440"/>
      <c r="G67" s="440"/>
      <c r="H67" s="440"/>
      <c r="I67" s="440"/>
      <c r="J67" s="441"/>
      <c r="L67" s="452" t="str">
        <f>+B67</f>
        <v/>
      </c>
      <c r="M67" s="453"/>
      <c r="N67" s="91" t="str">
        <f>+D67</f>
        <v/>
      </c>
      <c r="O67" s="92"/>
      <c r="P67" s="92"/>
      <c r="Q67" s="93"/>
      <c r="R67" s="467">
        <f ca="1">+IF(SIT_ATUAL&lt;&gt;"SIM","",DAT_FIM)</f>
        <v>46235</v>
      </c>
      <c r="S67" s="468"/>
      <c r="U67" s="144" t="str">
        <f>+B8</f>
        <v/>
      </c>
      <c r="V67" s="439">
        <f>+cadastro!E5</f>
        <v>0</v>
      </c>
      <c r="W67" s="440"/>
      <c r="X67" s="441"/>
    </row>
    <row r="68" spans="1:44" s="4" customFormat="1" ht="14.1" customHeight="1">
      <c r="A68" s="5"/>
      <c r="B68" s="44" t="s">
        <v>194</v>
      </c>
      <c r="C68" s="45"/>
      <c r="D68" s="45"/>
      <c r="E68" s="45"/>
      <c r="F68" s="45"/>
      <c r="G68" s="45"/>
      <c r="H68" s="45"/>
      <c r="I68" s="45"/>
      <c r="J68" s="45"/>
      <c r="L68" s="121"/>
      <c r="M68" s="122"/>
      <c r="N68" s="123"/>
      <c r="O68" s="123"/>
      <c r="P68" s="123"/>
      <c r="Q68" s="124"/>
      <c r="R68" s="123"/>
      <c r="S68" s="97"/>
      <c r="T68" s="6"/>
      <c r="U68" s="145" t="str">
        <f>+U9</f>
        <v>RELATÓRIO DOS VALORES ACRESCIDOS OU RETIRADOS DA BASE DE CÁLCULO</v>
      </c>
      <c r="V68" s="146"/>
      <c r="W68" s="146"/>
      <c r="X68" s="147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L68" s="6"/>
      <c r="AM68" s="6"/>
      <c r="AN68" s="6"/>
      <c r="AO68" s="6"/>
      <c r="AP68" s="6"/>
      <c r="AQ68" s="6"/>
      <c r="AR68" s="6"/>
    </row>
    <row r="69" spans="1:44" s="5" customFormat="1" ht="14.1" customHeight="1">
      <c r="A69" s="4"/>
      <c r="B69" s="46"/>
      <c r="C69" s="46"/>
      <c r="D69" s="45"/>
      <c r="E69" s="47"/>
      <c r="F69" s="47"/>
      <c r="G69" s="47"/>
      <c r="H69" s="48"/>
      <c r="I69" s="49"/>
      <c r="J69" s="49"/>
      <c r="K69" s="6"/>
      <c r="L69" s="125" t="str">
        <f>+IF(PARC_AD=0,"","CÁLCULO DO DEVIDO")</f>
        <v/>
      </c>
      <c r="M69" s="111"/>
      <c r="N69" s="104"/>
      <c r="O69" s="102"/>
      <c r="P69" s="104"/>
      <c r="Q69" s="105"/>
      <c r="R69" s="104"/>
      <c r="S69" s="104" t="s">
        <v>207</v>
      </c>
      <c r="T69" s="6"/>
      <c r="U69" s="432" t="s">
        <v>16</v>
      </c>
      <c r="V69" s="460" t="s">
        <v>157</v>
      </c>
      <c r="W69" s="460" t="s">
        <v>156</v>
      </c>
      <c r="X69" s="432" t="s">
        <v>30</v>
      </c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L69" s="6"/>
      <c r="AM69" s="6"/>
      <c r="AN69" s="6"/>
      <c r="AO69" s="6"/>
      <c r="AP69" s="6"/>
      <c r="AQ69" s="6"/>
      <c r="AR69" s="6"/>
    </row>
    <row r="70" spans="1:44" s="4" customFormat="1" ht="14.1" customHeight="1">
      <c r="A70" s="6"/>
      <c r="B70" s="443" t="s">
        <v>150</v>
      </c>
      <c r="C70" s="443"/>
      <c r="D70" s="443"/>
      <c r="E70" s="50" t="str">
        <f>+IF(rascunho!CM9="","",rascunho!CM9)</f>
        <v/>
      </c>
      <c r="F70" s="51"/>
      <c r="G70" s="448" t="s">
        <v>23</v>
      </c>
      <c r="H70" s="448"/>
      <c r="I70" s="52" t="str">
        <f>+IF(rascunho!CJ9="","",rascunho!CJ9)</f>
        <v/>
      </c>
      <c r="J70" s="53"/>
      <c r="L70" s="457" t="str">
        <f>+IF(PARC_AD=0,"","TIPO")</f>
        <v/>
      </c>
      <c r="M70" s="477" t="str">
        <f>+IF(PARC_AD=0,"","INICIO DA
CORREÇÃO")</f>
        <v/>
      </c>
      <c r="N70" s="477" t="str">
        <f>+IF(PARC_AD=0,"","DIFERENÇA DEVIDA")</f>
        <v/>
      </c>
      <c r="O70" s="485" t="str">
        <f>+IF(PARC_AD=0,"","COEFICIENTE ATUALIZAÇÃO")</f>
        <v/>
      </c>
      <c r="P70" s="477" t="str">
        <f>+IF(PARC_AD=0,"","DIFERENÇA ATUALIZADA")</f>
        <v/>
      </c>
      <c r="Q70" s="477" t="str">
        <f>+IF(PARC_AD=0,"","JUROS")</f>
        <v/>
      </c>
      <c r="R70" s="477"/>
      <c r="S70" s="477" t="str">
        <f>+IF(PARC_AD=0,"","VALOR ATUALIZADO")</f>
        <v/>
      </c>
      <c r="T70" s="6"/>
      <c r="U70" s="433"/>
      <c r="V70" s="433"/>
      <c r="W70" s="433"/>
      <c r="X70" s="433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L70" s="6"/>
      <c r="AM70" s="6"/>
      <c r="AN70" s="6"/>
      <c r="AO70" s="6"/>
      <c r="AP70" s="6"/>
      <c r="AQ70" s="6"/>
      <c r="AR70" s="6"/>
    </row>
    <row r="71" spans="1:44" s="4" customFormat="1" ht="14.1" customHeight="1">
      <c r="A71" s="5"/>
      <c r="B71" s="443" t="s">
        <v>87</v>
      </c>
      <c r="C71" s="443"/>
      <c r="D71" s="443" t="s">
        <v>24</v>
      </c>
      <c r="E71" s="50" t="str">
        <f>+IF(rascunho!CN9="","",rascunho!CN9)</f>
        <v/>
      </c>
      <c r="F71" s="51"/>
      <c r="G71" s="456" t="str">
        <f>+CONCATENATE("TIPO DE DECLARAÇÃO: ",rascunho!CL9)</f>
        <v xml:space="preserve">TIPO DE DECLARAÇÃO: </v>
      </c>
      <c r="H71" s="456"/>
      <c r="I71" s="456"/>
      <c r="J71" s="456"/>
      <c r="L71" s="458"/>
      <c r="M71" s="478"/>
      <c r="N71" s="478"/>
      <c r="O71" s="486"/>
      <c r="P71" s="478"/>
      <c r="Q71" s="98" t="str">
        <f>+IF(PARC_AD=0,"","%")</f>
        <v/>
      </c>
      <c r="R71" s="99" t="str">
        <f>+IF(PARC_AD=0,"","VALOR")</f>
        <v/>
      </c>
      <c r="S71" s="478"/>
      <c r="T71" s="6"/>
      <c r="U71" s="153" t="str">
        <f>+IF(cadastro!B81="","",cadastro!B81)</f>
        <v/>
      </c>
      <c r="V71" s="154" t="str">
        <f>+IF(cadastro!D81="","",cadastro!D81)</f>
        <v/>
      </c>
      <c r="W71" s="154" t="str">
        <f>+IF(cadastro!E81="","",cadastro!E81)</f>
        <v/>
      </c>
      <c r="X71" s="155" t="str">
        <f>+CONCATENATE(IF(cadastro!C81="","","flh "),cadastro!C81,IF(OR(cadastro!C81="",cadastro!F81=""),""," - "),cadastro!F81)</f>
        <v/>
      </c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L71" s="6"/>
      <c r="AM71" s="6"/>
      <c r="AN71" s="6"/>
      <c r="AO71" s="6"/>
      <c r="AP71" s="6"/>
      <c r="AQ71" s="6"/>
      <c r="AR71" s="6"/>
    </row>
    <row r="72" spans="1:44" s="4" customFormat="1" ht="14.1" customHeight="1">
      <c r="A72" s="6"/>
      <c r="B72" s="443" t="s">
        <v>86</v>
      </c>
      <c r="C72" s="443"/>
      <c r="D72" s="443" t="s">
        <v>24</v>
      </c>
      <c r="E72" s="54" t="str">
        <f>+IF(rascunho!CO9="","",rascunho!CO9)</f>
        <v/>
      </c>
      <c r="F72" s="51"/>
      <c r="G72" s="55" t="s">
        <v>2</v>
      </c>
      <c r="H72" s="56" t="s">
        <v>3</v>
      </c>
      <c r="I72" s="56" t="s">
        <v>14</v>
      </c>
      <c r="J72" s="57" t="s">
        <v>4</v>
      </c>
      <c r="K72" s="5"/>
      <c r="L72" s="126" t="str">
        <f>+IF(L12&lt;&gt;"","PRINCIPAL","")</f>
        <v/>
      </c>
      <c r="M72" s="127" t="str">
        <f>+IF(L12&lt;&gt;"",rascunho!FO4,"")</f>
        <v/>
      </c>
      <c r="N72" s="362" t="str">
        <f>+IF(M72="","",rascunho!FP4)</f>
        <v/>
      </c>
      <c r="O72" s="128" t="str">
        <f>+IF(M72="","",rascunho!FQ4)</f>
        <v/>
      </c>
      <c r="P72" s="362" t="str">
        <f>+IF(M72="","",rascunho!FR4)</f>
        <v/>
      </c>
      <c r="Q72" s="365" t="str">
        <f>+IF(M72="","",rascunho!FS4)</f>
        <v/>
      </c>
      <c r="R72" s="362" t="str">
        <f>+IF(M72="","",rascunho!FT4)</f>
        <v/>
      </c>
      <c r="S72" s="362" t="str">
        <f>+IF(M72="","",rascunho!FU4)</f>
        <v/>
      </c>
      <c r="T72" s="6"/>
      <c r="U72" s="148" t="str">
        <f>+IF(cadastro!B82="","",cadastro!B82)</f>
        <v/>
      </c>
      <c r="V72" s="149" t="str">
        <f>+IF(cadastro!D82="","",cadastro!D82)</f>
        <v/>
      </c>
      <c r="W72" s="149" t="str">
        <f>+IF(cadastro!E82="","",cadastro!E82)</f>
        <v/>
      </c>
      <c r="X72" s="150" t="str">
        <f>+CONCATENATE(IF(cadastro!C82="","","flh "),cadastro!C82,IF(OR(cadastro!C82="",cadastro!F82=""),""," - "),cadastro!F82)</f>
        <v/>
      </c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L72" s="6"/>
      <c r="AM72" s="6"/>
      <c r="AN72" s="6"/>
      <c r="AO72" s="6"/>
      <c r="AP72" s="6"/>
      <c r="AQ72" s="6"/>
      <c r="AR72" s="6"/>
    </row>
    <row r="73" spans="1:44" s="5" customFormat="1" ht="14.1" customHeight="1">
      <c r="A73" s="6"/>
      <c r="B73" s="443" t="s">
        <v>89</v>
      </c>
      <c r="C73" s="443"/>
      <c r="D73" s="443"/>
      <c r="E73" s="50" t="str">
        <f>+IF(rascunho!CQ9="","",rascunho!CQ9)</f>
        <v/>
      </c>
      <c r="F73" s="51"/>
      <c r="G73" s="58" t="str">
        <f>+IF(rascunho!DL9="","",rascunho!DL9)</f>
        <v/>
      </c>
      <c r="H73" s="59" t="s">
        <v>5</v>
      </c>
      <c r="I73" s="60" t="str">
        <f>+IF(rascunho!DM9="","",rascunho!DM9)</f>
        <v/>
      </c>
      <c r="J73" s="61" t="str">
        <f>+IF(rascunho!DN9="","",rascunho!DN9)</f>
        <v/>
      </c>
      <c r="K73" s="6"/>
      <c r="L73" s="126" t="str">
        <f>+IF(L12&lt;&gt;"","JUROS","")</f>
        <v/>
      </c>
      <c r="M73" s="101" t="str">
        <f>+M72</f>
        <v/>
      </c>
      <c r="N73" s="363" t="str">
        <f>+IF(M73="","",rascunho!FP5)</f>
        <v/>
      </c>
      <c r="O73" s="102" t="str">
        <f>+IF(M73="","",rascunho!FQ5)</f>
        <v/>
      </c>
      <c r="P73" s="367"/>
      <c r="Q73" s="367"/>
      <c r="R73" s="364" t="str">
        <f>+IF(M73="","",rascunho!FR5)</f>
        <v/>
      </c>
      <c r="S73" s="364" t="str">
        <f>+IF(M73="","",rascunho!FU5)</f>
        <v/>
      </c>
      <c r="T73" s="6"/>
      <c r="U73" s="148" t="str">
        <f>+IF(cadastro!B83="","",cadastro!B83)</f>
        <v/>
      </c>
      <c r="V73" s="149" t="str">
        <f>+IF(cadastro!D83="","",cadastro!D83)</f>
        <v/>
      </c>
      <c r="W73" s="149" t="str">
        <f>+IF(cadastro!E83="","",cadastro!E83)</f>
        <v/>
      </c>
      <c r="X73" s="150" t="str">
        <f>+CONCATENATE(IF(cadastro!C83="","","flh "),cadastro!C83,IF(OR(cadastro!C83="",cadastro!F83=""),""," - "),cadastro!F83)</f>
        <v/>
      </c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L73" s="6"/>
      <c r="AM73" s="6"/>
      <c r="AN73" s="6"/>
      <c r="AO73" s="6"/>
      <c r="AP73" s="6"/>
      <c r="AQ73" s="6"/>
      <c r="AR73" s="6"/>
    </row>
    <row r="74" spans="1:44" s="6" customFormat="1" ht="14.1" customHeight="1">
      <c r="B74" s="443" t="s">
        <v>151</v>
      </c>
      <c r="C74" s="443"/>
      <c r="D74" s="443"/>
      <c r="E74" s="54" t="str">
        <f>+IF(rascunho!CS9="","",rascunho!CS9)</f>
        <v/>
      </c>
      <c r="F74" s="51"/>
      <c r="G74" s="62" t="str">
        <f>+IF(H74="","",rascunho!DO9)</f>
        <v/>
      </c>
      <c r="H74" s="63" t="str">
        <f>+IF(G73="","",G73-0.01)</f>
        <v/>
      </c>
      <c r="I74" s="64" t="str">
        <f>+IF(H74="","",rascunho!DP9)</f>
        <v/>
      </c>
      <c r="J74" s="65" t="str">
        <f>+IF(H74="","",rascunho!DQ9)</f>
        <v/>
      </c>
      <c r="L74" s="126"/>
      <c r="M74" s="111"/>
      <c r="N74" s="363"/>
      <c r="O74" s="129" t="str">
        <f>+IF(L12="","","TOTAL:")</f>
        <v/>
      </c>
      <c r="P74" s="368" t="str">
        <f>+IF(PARC_AD=0,"",SUM(P72:P73))</f>
        <v/>
      </c>
      <c r="Q74" s="369"/>
      <c r="R74" s="368" t="str">
        <f>+IF(PARC_AD=0,"",SUM(R72:R73))</f>
        <v/>
      </c>
      <c r="S74" s="370"/>
      <c r="U74" s="148" t="str">
        <f>+IF(cadastro!B84="","",cadastro!B84)</f>
        <v/>
      </c>
      <c r="V74" s="149" t="str">
        <f>+IF(cadastro!D84="","",cadastro!D84)</f>
        <v/>
      </c>
      <c r="W74" s="149" t="str">
        <f>+IF(cadastro!E84="","",cadastro!E84)</f>
        <v/>
      </c>
      <c r="X74" s="150" t="str">
        <f>+CONCATENATE(IF(cadastro!C84="","","flh "),cadastro!C84,IF(OR(cadastro!C84="",cadastro!F84=""),""," - "),cadastro!F84)</f>
        <v/>
      </c>
    </row>
    <row r="75" spans="1:44" s="6" customFormat="1" ht="14.1" customHeight="1">
      <c r="B75" s="443" t="s">
        <v>142</v>
      </c>
      <c r="C75" s="443"/>
      <c r="D75" s="443" t="s">
        <v>25</v>
      </c>
      <c r="E75" s="50" t="str">
        <f>+IF(rascunho!CU9="","",rascunho!CU9)</f>
        <v/>
      </c>
      <c r="F75" s="51"/>
      <c r="G75" s="62" t="str">
        <f>+IF(H75="","",rascunho!DR9)</f>
        <v/>
      </c>
      <c r="H75" s="63" t="str">
        <f>+IF(G74="","",G74-0.01)</f>
        <v/>
      </c>
      <c r="I75" s="64" t="str">
        <f>+IF(H75="","",rascunho!DS9)</f>
        <v/>
      </c>
      <c r="J75" s="65" t="str">
        <f>+IF(H75="","",rascunho!DT9)</f>
        <v/>
      </c>
      <c r="L75" s="125" t="str">
        <f>+IF(PARC_DD=0,"",IF(L12&lt;&gt;"","CÁLCULO DAS PARCELAS DEVIDAS - POSTERIORES A DATA DA DISTRIBUIÇÃO","CÁLCULO DAS PARCELAS DEVIDAS"))</f>
        <v>CÁLCULO DAS PARCELAS DEVIDAS</v>
      </c>
      <c r="M75" s="111"/>
      <c r="N75" s="104"/>
      <c r="O75" s="102"/>
      <c r="P75" s="104"/>
      <c r="Q75" s="105"/>
      <c r="R75" s="104"/>
      <c r="S75" s="104"/>
      <c r="U75" s="148" t="str">
        <f>+IF(cadastro!B85="","",cadastro!B85)</f>
        <v/>
      </c>
      <c r="V75" s="149" t="str">
        <f>+IF(cadastro!D85="","",cadastro!D85)</f>
        <v/>
      </c>
      <c r="W75" s="149" t="str">
        <f>+IF(cadastro!E85="","",cadastro!E85)</f>
        <v/>
      </c>
      <c r="X75" s="150" t="str">
        <f>+CONCATENATE(IF(cadastro!C85="","","flh "),cadastro!C85,IF(OR(cadastro!C85="",cadastro!F85=""),""," - "),cadastro!F85)</f>
        <v/>
      </c>
    </row>
    <row r="76" spans="1:44" s="6" customFormat="1" ht="14.1" customHeight="1">
      <c r="B76" s="66"/>
      <c r="C76" s="67"/>
      <c r="D76" s="68" t="s">
        <v>163</v>
      </c>
      <c r="E76" s="69" t="str">
        <f>+IF(rascunho!CX9="","",rascunho!CX9)</f>
        <v/>
      </c>
      <c r="F76" s="51"/>
      <c r="G76" s="62" t="str">
        <f>+IF(H76="","",rascunho!DU9)</f>
        <v/>
      </c>
      <c r="H76" s="63" t="str">
        <f>+IF(OR(G75="",G75=0),"",G75-0.01)</f>
        <v/>
      </c>
      <c r="I76" s="64" t="str">
        <f>+IF(H76="","",rascunho!DV9)</f>
        <v/>
      </c>
      <c r="J76" s="65" t="str">
        <f>+IF(H76="","",rascunho!DW9)</f>
        <v/>
      </c>
      <c r="L76" s="457" t="str">
        <f>+IF(PARC_DD=0,"","ANO 
CALENDÁRIO")</f>
        <v>ANO 
CALENDÁRIO</v>
      </c>
      <c r="M76" s="457" t="str">
        <f>+IF(PARC_DD=0,"","INICIO DA
CORREÇÃO")</f>
        <v>INICIO DA
CORREÇÃO</v>
      </c>
      <c r="N76" s="457" t="str">
        <f>+IF(PARC_DD=0,"","DIFERENÇA DEVIDA")</f>
        <v>DIFERENÇA DEVIDA</v>
      </c>
      <c r="O76" s="483" t="str">
        <f>+IF(PARC_DD=0,"",IF(SIT_ATUAL&lt;&gt;"SIM","","COEFICIENTE ATUALIZAÇÃO"))</f>
        <v>COEFICIENTE ATUALIZAÇÃO</v>
      </c>
      <c r="P76" s="457" t="str">
        <f>+IF(PARC_DD=0,"",IF(SIT_ATUAL&lt;&gt;"SIM","","DIFERENÇA ATUALIZADA"))</f>
        <v>DIFERENÇA ATUALIZADA</v>
      </c>
      <c r="Q76" s="487" t="str">
        <f>+IF(PARC_DD=0,"",IF(SIT_ATUAL&lt;&gt;"SIM","","JUROS"))</f>
        <v>JUROS</v>
      </c>
      <c r="R76" s="488"/>
      <c r="S76" s="477" t="str">
        <f>+IF(PARC_DD=0,"",IF(SIT_ATUAL&lt;&gt;"SIM","","VALOR ATUALIZADO"))</f>
        <v>VALOR ATUALIZADO</v>
      </c>
      <c r="U76" s="148" t="str">
        <f>+IF(cadastro!B86="","",cadastro!B86)</f>
        <v/>
      </c>
      <c r="V76" s="149" t="str">
        <f>+IF(cadastro!D86="","",cadastro!D86)</f>
        <v/>
      </c>
      <c r="W76" s="149" t="str">
        <f>+IF(cadastro!E86="","",cadastro!E86)</f>
        <v/>
      </c>
      <c r="X76" s="150" t="str">
        <f>+CONCATENATE(IF(cadastro!C86="","","flh "),cadastro!C86,IF(OR(cadastro!C86="",cadastro!F86=""),""," - "),cadastro!F86)</f>
        <v/>
      </c>
    </row>
    <row r="77" spans="1:44" s="6" customFormat="1" ht="14.1" customHeight="1">
      <c r="B77" s="66"/>
      <c r="C77" s="70"/>
      <c r="D77" s="71" t="s">
        <v>90</v>
      </c>
      <c r="E77" s="72" t="str">
        <f>+IF(rascunho!CY9="","",rascunho!CY9)</f>
        <v/>
      </c>
      <c r="F77" s="51"/>
      <c r="G77" s="62" t="str">
        <f>+IF(H77="","",rascunho!DX9)</f>
        <v/>
      </c>
      <c r="H77" s="63" t="str">
        <f>+IF(OR(G76="",G76=0),"",G76-0.01)</f>
        <v/>
      </c>
      <c r="I77" s="64" t="str">
        <f>+IF(H77="","",rascunho!DY9)</f>
        <v/>
      </c>
      <c r="J77" s="65" t="str">
        <f>+IF(H77="","",rascunho!DZ9)</f>
        <v/>
      </c>
      <c r="L77" s="458"/>
      <c r="M77" s="458"/>
      <c r="N77" s="458"/>
      <c r="O77" s="484"/>
      <c r="P77" s="458"/>
      <c r="Q77" s="98" t="str">
        <f>+IF(PARC_DD=0,"",IF(SIT_ATUAL&lt;&gt;"SIM","","%"))</f>
        <v>%</v>
      </c>
      <c r="R77" s="99" t="str">
        <f>+IF(PARC_DD=0,"",IF(SIT_ATUAL&lt;&gt;"SIM","","VALOR"))</f>
        <v>VALOR</v>
      </c>
      <c r="S77" s="478"/>
      <c r="U77" s="148" t="str">
        <f>+IF(cadastro!B87="","",cadastro!B87)</f>
        <v/>
      </c>
      <c r="V77" s="149" t="str">
        <f>+IF(cadastro!D87="","",cadastro!D87)</f>
        <v/>
      </c>
      <c r="W77" s="149" t="str">
        <f>+IF(cadastro!E87="","",cadastro!E87)</f>
        <v/>
      </c>
      <c r="X77" s="150" t="str">
        <f>+CONCATENATE(IF(cadastro!C87="","","flh "),cadastro!C87,IF(OR(cadastro!C87="",cadastro!F87=""),""," - "),cadastro!F87)</f>
        <v/>
      </c>
    </row>
    <row r="78" spans="1:44" s="6" customFormat="1" ht="14.1" customHeight="1">
      <c r="B78" s="443" t="s">
        <v>152</v>
      </c>
      <c r="C78" s="443"/>
      <c r="D78" s="443"/>
      <c r="E78" s="87" t="str">
        <f>+IF(rascunho!CZ9="","",rascunho!CZ9)</f>
        <v/>
      </c>
      <c r="F78" s="51"/>
      <c r="G78" s="449" t="s">
        <v>91</v>
      </c>
      <c r="H78" s="450"/>
      <c r="I78" s="450"/>
      <c r="J78" s="451"/>
      <c r="L78" s="103">
        <f>+rascunho!FA6</f>
        <v>1996</v>
      </c>
      <c r="M78" s="101">
        <f>+rascunho!FB6</f>
        <v>35551.000999999997</v>
      </c>
      <c r="N78" s="363">
        <f>+rascunho!FC6</f>
        <v>1504.85</v>
      </c>
      <c r="O78" s="102">
        <f ca="1">+IF(SIT_ATUAL&lt;&gt;"SIM","",rascunho!FD6)</f>
        <v>1</v>
      </c>
      <c r="P78" s="363">
        <f ca="1">+IF(SIT_ATUAL&lt;&gt;"SIM","",rascunho!FE6)</f>
        <v>1504.85</v>
      </c>
      <c r="Q78" s="366">
        <f ca="1">+IF(SIT_ATUAL&lt;&gt;"SIM","",rascunho!FF6)</f>
        <v>3.7277000000000009</v>
      </c>
      <c r="R78" s="363">
        <f ca="1">+IF(SIT_ATUAL&lt;&gt;"SIM","",rascunho!FG6)</f>
        <v>5609.63</v>
      </c>
      <c r="S78" s="363">
        <f ca="1">+IF(SIT_ATUAL&lt;&gt;"SIM","",rascunho!FH6)</f>
        <v>7114.48</v>
      </c>
      <c r="U78" s="148" t="str">
        <f>+IF(cadastro!B88="","",cadastro!B88)</f>
        <v/>
      </c>
      <c r="V78" s="149" t="str">
        <f>+IF(cadastro!D88="","",cadastro!D88)</f>
        <v/>
      </c>
      <c r="W78" s="149" t="str">
        <f>+IF(cadastro!E88="","",cadastro!E88)</f>
        <v/>
      </c>
      <c r="X78" s="150" t="str">
        <f>+CONCATENATE(IF(cadastro!C88="","","flh "),cadastro!C88,IF(OR(cadastro!C88="",cadastro!F88=""),""," - "),cadastro!F88)</f>
        <v/>
      </c>
    </row>
    <row r="79" spans="1:44" s="6" customFormat="1" ht="14.1" customHeight="1">
      <c r="B79" s="443" t="s">
        <v>229</v>
      </c>
      <c r="C79" s="443"/>
      <c r="D79" s="443"/>
      <c r="E79" s="54" t="str">
        <f>+IF(rascunho!DA9="","",rascunho!DA9)</f>
        <v/>
      </c>
      <c r="F79" s="51"/>
      <c r="G79" s="53" t="s">
        <v>154</v>
      </c>
      <c r="H79" s="73"/>
      <c r="I79" s="73"/>
      <c r="J79" s="73"/>
      <c r="L79" s="103">
        <f>+rascunho!FA7</f>
        <v>2018</v>
      </c>
      <c r="M79" s="101">
        <f>+rascunho!FB7</f>
        <v>43586.002</v>
      </c>
      <c r="N79" s="363">
        <f>+rascunho!FC7</f>
        <v>0</v>
      </c>
      <c r="O79" s="102">
        <f ca="1">+IF(SIT_ATUAL&lt;&gt;"SIM","",rascunho!FD7)</f>
        <v>1</v>
      </c>
      <c r="P79" s="363">
        <f ca="1">+IF(SIT_ATUAL&lt;&gt;"SIM","",rascunho!FE7)</f>
        <v>0</v>
      </c>
      <c r="Q79" s="366">
        <f ca="1">+IF(SIT_ATUAL&lt;&gt;"SIM","",rascunho!FF7)</f>
        <v>0.67600000000000005</v>
      </c>
      <c r="R79" s="363">
        <f ca="1">+IF(SIT_ATUAL&lt;&gt;"SIM","",rascunho!FG7)</f>
        <v>0</v>
      </c>
      <c r="S79" s="363">
        <f ca="1">+IF(SIT_ATUAL&lt;&gt;"SIM","",rascunho!FH7)</f>
        <v>0</v>
      </c>
      <c r="U79" s="148" t="str">
        <f>+IF(cadastro!B89="","",cadastro!B89)</f>
        <v/>
      </c>
      <c r="V79" s="149" t="str">
        <f>+IF(cadastro!D89="","",cadastro!D89)</f>
        <v/>
      </c>
      <c r="W79" s="149" t="str">
        <f>+IF(cadastro!E89="","",cadastro!E89)</f>
        <v/>
      </c>
      <c r="X79" s="150" t="str">
        <f>+CONCATENATE(IF(cadastro!C89="","","flh "),cadastro!C89,IF(OR(cadastro!C89="",cadastro!F89=""),""," - "),cadastro!F89)</f>
        <v/>
      </c>
    </row>
    <row r="80" spans="1:44" s="6" customFormat="1" ht="14.1" customHeight="1">
      <c r="B80" s="443" t="s">
        <v>50</v>
      </c>
      <c r="C80" s="443"/>
      <c r="D80" s="443"/>
      <c r="E80" s="50" t="str">
        <f>+IF(rascunho!DC9="","",rascunho!DC9)</f>
        <v/>
      </c>
      <c r="F80" s="51"/>
      <c r="G80" s="63"/>
      <c r="H80" s="74"/>
      <c r="I80" s="74"/>
      <c r="J80" s="74"/>
      <c r="L80" s="103" t="str">
        <f>+rascunho!FA8</f>
        <v/>
      </c>
      <c r="M80" s="101" t="str">
        <f>+rascunho!FB8</f>
        <v/>
      </c>
      <c r="N80" s="363" t="str">
        <f>+rascunho!FC8</f>
        <v/>
      </c>
      <c r="O80" s="102" t="str">
        <f>+IF(SIT_ATUAL&lt;&gt;"SIM","",rascunho!FD8)</f>
        <v/>
      </c>
      <c r="P80" s="363" t="str">
        <f>+IF(SIT_ATUAL&lt;&gt;"SIM","",rascunho!FE8)</f>
        <v/>
      </c>
      <c r="Q80" s="366" t="str">
        <f>+IF(SIT_ATUAL&lt;&gt;"SIM","",rascunho!FF8)</f>
        <v/>
      </c>
      <c r="R80" s="363" t="str">
        <f>+IF(SIT_ATUAL&lt;&gt;"SIM","",rascunho!FG8)</f>
        <v/>
      </c>
      <c r="S80" s="363" t="str">
        <f>+IF(SIT_ATUAL&lt;&gt;"SIM","",rascunho!FH8)</f>
        <v/>
      </c>
      <c r="U80" s="148" t="str">
        <f>+IF(cadastro!B90="","",cadastro!B90)</f>
        <v/>
      </c>
      <c r="V80" s="149" t="str">
        <f>+IF(cadastro!D90="","",cadastro!D90)</f>
        <v/>
      </c>
      <c r="W80" s="149" t="str">
        <f>+IF(cadastro!E90="","",cadastro!E90)</f>
        <v/>
      </c>
      <c r="X80" s="150" t="str">
        <f>+CONCATENATE(IF(cadastro!C90="","","flh "),cadastro!C90,IF(OR(cadastro!C90="",cadastro!F90=""),""," - "),cadastro!F90)</f>
        <v/>
      </c>
    </row>
    <row r="81" spans="2:24" s="6" customFormat="1" ht="14.1" customHeight="1">
      <c r="B81" s="443" t="s">
        <v>153</v>
      </c>
      <c r="C81" s="443"/>
      <c r="D81" s="443"/>
      <c r="E81" s="54" t="str">
        <f>+IF(rascunho!DD9="","",rascunho!DD9)</f>
        <v/>
      </c>
      <c r="F81" s="51"/>
      <c r="G81" s="63"/>
      <c r="H81" s="63"/>
      <c r="I81" s="75"/>
      <c r="J81" s="76"/>
      <c r="L81" s="103" t="str">
        <f>+rascunho!FA9</f>
        <v/>
      </c>
      <c r="M81" s="101" t="str">
        <f>+rascunho!FB9</f>
        <v/>
      </c>
      <c r="N81" s="363" t="str">
        <f>+rascunho!FC9</f>
        <v/>
      </c>
      <c r="O81" s="102" t="str">
        <f>+IF(SIT_ATUAL&lt;&gt;"SIM","",rascunho!FD9)</f>
        <v/>
      </c>
      <c r="P81" s="363" t="str">
        <f>+IF(SIT_ATUAL&lt;&gt;"SIM","",rascunho!FE9)</f>
        <v/>
      </c>
      <c r="Q81" s="366" t="str">
        <f>+IF(SIT_ATUAL&lt;&gt;"SIM","",rascunho!FF9)</f>
        <v/>
      </c>
      <c r="R81" s="363" t="str">
        <f>+IF(SIT_ATUAL&lt;&gt;"SIM","",rascunho!FG9)</f>
        <v/>
      </c>
      <c r="S81" s="363" t="str">
        <f>+IF(SIT_ATUAL&lt;&gt;"SIM","",rascunho!FH9)</f>
        <v/>
      </c>
      <c r="U81" s="148" t="str">
        <f>+IF(cadastro!B91="","",cadastro!B91)</f>
        <v/>
      </c>
      <c r="V81" s="149" t="str">
        <f>+IF(cadastro!D91="","",cadastro!D91)</f>
        <v/>
      </c>
      <c r="W81" s="149" t="str">
        <f>+IF(cadastro!E91="","",cadastro!E91)</f>
        <v/>
      </c>
      <c r="X81" s="150" t="str">
        <f>+CONCATENATE(IF(cadastro!C91="","","flh "),cadastro!C91,IF(OR(cadastro!C91="",cadastro!F91=""),""," - "),cadastro!F91)</f>
        <v/>
      </c>
    </row>
    <row r="82" spans="2:24" s="6" customFormat="1" ht="14.1" customHeight="1">
      <c r="B82" s="443" t="str">
        <f>+CONCATENATE("IMPOSTO A ",rascunho!DI9,"(=):")</f>
        <v>IMPOSTO A (=):</v>
      </c>
      <c r="C82" s="443"/>
      <c r="D82" s="443"/>
      <c r="E82" s="50" t="str">
        <f>+IF(rascunho!DH9="","",ABS(rascunho!DH9))</f>
        <v/>
      </c>
      <c r="F82" s="51"/>
      <c r="G82" s="74"/>
      <c r="H82" s="74"/>
      <c r="I82" s="74"/>
      <c r="J82" s="74"/>
      <c r="L82" s="103" t="str">
        <f>+rascunho!FA10</f>
        <v/>
      </c>
      <c r="M82" s="101" t="str">
        <f>+rascunho!FB10</f>
        <v/>
      </c>
      <c r="N82" s="363" t="str">
        <f>+rascunho!FC10</f>
        <v/>
      </c>
      <c r="O82" s="102" t="str">
        <f>+IF(SIT_ATUAL&lt;&gt;"SIM","",rascunho!FD10)</f>
        <v/>
      </c>
      <c r="P82" s="363" t="str">
        <f>+IF(SIT_ATUAL&lt;&gt;"SIM","",rascunho!FE10)</f>
        <v/>
      </c>
      <c r="Q82" s="366" t="str">
        <f>+IF(SIT_ATUAL&lt;&gt;"SIM","",rascunho!FF10)</f>
        <v/>
      </c>
      <c r="R82" s="363" t="str">
        <f>+IF(SIT_ATUAL&lt;&gt;"SIM","",rascunho!FG10)</f>
        <v/>
      </c>
      <c r="S82" s="363" t="str">
        <f>+IF(SIT_ATUAL&lt;&gt;"SIM","",rascunho!FH10)</f>
        <v/>
      </c>
      <c r="U82" s="148" t="str">
        <f>+IF(cadastro!B92="","",cadastro!B92)</f>
        <v/>
      </c>
      <c r="V82" s="149" t="str">
        <f>+IF(cadastro!D92="","",cadastro!D92)</f>
        <v/>
      </c>
      <c r="W82" s="149" t="str">
        <f>+IF(cadastro!E92="","",cadastro!E92)</f>
        <v/>
      </c>
      <c r="X82" s="150" t="str">
        <f>+CONCATENATE(IF(cadastro!C92="","","flh "),cadastro!C92,IF(OR(cadastro!C92="",cadastro!F92=""),""," - "),cadastro!F92)</f>
        <v/>
      </c>
    </row>
    <row r="83" spans="2:24" s="6" customFormat="1" ht="14.1" customHeight="1">
      <c r="B83" s="443" t="str">
        <f>+CONCATENATE("(*)IMPOSTO A ",rascunho!DG9," EFETUADO:")</f>
        <v>(*)IMPOSTO A  EFETUADO:</v>
      </c>
      <c r="C83" s="443"/>
      <c r="D83" s="443"/>
      <c r="E83" s="54" t="str">
        <f>+IF(rascunho!DE9="","",ABS(rascunho!DE9))</f>
        <v/>
      </c>
      <c r="F83" s="51"/>
      <c r="G83" s="47"/>
      <c r="H83" s="43"/>
      <c r="I83" s="444" t="str">
        <f>+IF(AND(I70&gt;1991,I70&lt;1995),"(em moeda)","")</f>
        <v/>
      </c>
      <c r="J83" s="444"/>
      <c r="L83" s="103" t="str">
        <f>+rascunho!FA11</f>
        <v/>
      </c>
      <c r="M83" s="101" t="str">
        <f>+rascunho!FB11</f>
        <v/>
      </c>
      <c r="N83" s="363" t="str">
        <f>+rascunho!FC11</f>
        <v/>
      </c>
      <c r="O83" s="102" t="str">
        <f>+IF(SIT_ATUAL&lt;&gt;"SIM","",rascunho!FD11)</f>
        <v/>
      </c>
      <c r="P83" s="363" t="str">
        <f>+IF(SIT_ATUAL&lt;&gt;"SIM","",rascunho!FE11)</f>
        <v/>
      </c>
      <c r="Q83" s="366" t="str">
        <f>+IF(SIT_ATUAL&lt;&gt;"SIM","",rascunho!FF11)</f>
        <v/>
      </c>
      <c r="R83" s="363" t="str">
        <f>+IF(SIT_ATUAL&lt;&gt;"SIM","",rascunho!FG11)</f>
        <v/>
      </c>
      <c r="S83" s="363" t="str">
        <f>+IF(SIT_ATUAL&lt;&gt;"SIM","",rascunho!FH11)</f>
        <v/>
      </c>
      <c r="U83" s="148" t="str">
        <f>+IF(cadastro!B93="","",cadastro!B93)</f>
        <v/>
      </c>
      <c r="V83" s="149" t="str">
        <f>+IF(cadastro!D93="","",cadastro!D93)</f>
        <v/>
      </c>
      <c r="W83" s="149" t="str">
        <f>+IF(cadastro!E93="","",cadastro!E93)</f>
        <v/>
      </c>
      <c r="X83" s="150" t="str">
        <f>+CONCATENATE(IF(cadastro!C93="","","flh "),cadastro!C93,IF(OR(cadastro!C93="",cadastro!F93=""),""," - "),cadastro!F93)</f>
        <v/>
      </c>
    </row>
    <row r="84" spans="2:24" s="6" customFormat="1" ht="14.1" customHeight="1">
      <c r="B84" s="447" t="s">
        <v>32</v>
      </c>
      <c r="C84" s="447"/>
      <c r="D84" s="447"/>
      <c r="E84" s="77" t="str">
        <f>+IF(rascunho!EC9="","",-rascunho!EC9)</f>
        <v/>
      </c>
      <c r="F84" s="51"/>
      <c r="G84" s="78" t="str">
        <f>+IF(AND(I70&gt;=1992,I70&lt;1995),"(em UFIR)","")</f>
        <v/>
      </c>
      <c r="H84" s="78"/>
      <c r="I84" s="454" t="str">
        <f>+IF(AND(I70&gt;1991,I70&lt;1995),ABS(rascunho!EF9),"")</f>
        <v/>
      </c>
      <c r="J84" s="454"/>
      <c r="L84" s="103" t="str">
        <f>+rascunho!FA12</f>
        <v/>
      </c>
      <c r="M84" s="101" t="str">
        <f>+rascunho!FB12</f>
        <v/>
      </c>
      <c r="N84" s="363" t="str">
        <f>+rascunho!FC12</f>
        <v/>
      </c>
      <c r="O84" s="102" t="str">
        <f>+IF(SIT_ATUAL&lt;&gt;"SIM","",rascunho!FD12)</f>
        <v/>
      </c>
      <c r="P84" s="363" t="str">
        <f>+IF(SIT_ATUAL&lt;&gt;"SIM","",rascunho!FE12)</f>
        <v/>
      </c>
      <c r="Q84" s="366" t="str">
        <f>+IF(SIT_ATUAL&lt;&gt;"SIM","",rascunho!FF12)</f>
        <v/>
      </c>
      <c r="R84" s="363" t="str">
        <f>+IF(SIT_ATUAL&lt;&gt;"SIM","",rascunho!FG12)</f>
        <v/>
      </c>
      <c r="S84" s="363" t="str">
        <f>+IF(SIT_ATUAL&lt;&gt;"SIM","",rascunho!FH12)</f>
        <v/>
      </c>
      <c r="U84" s="148" t="str">
        <f>+IF(cadastro!B94="","",cadastro!B94)</f>
        <v/>
      </c>
      <c r="V84" s="149" t="str">
        <f>+IF(cadastro!D94="","",cadastro!D94)</f>
        <v/>
      </c>
      <c r="W84" s="149" t="str">
        <f>+IF(cadastro!E94="","",cadastro!E94)</f>
        <v/>
      </c>
      <c r="X84" s="150" t="str">
        <f>+CONCATENATE(IF(cadastro!C94="","","flh "),cadastro!C94,IF(OR(cadastro!C94="",cadastro!F94=""),""," - "),cadastro!F94)</f>
        <v/>
      </c>
    </row>
    <row r="85" spans="2:24" s="6" customFormat="1" ht="14.1" customHeight="1">
      <c r="B85" s="46"/>
      <c r="C85" s="46"/>
      <c r="D85" s="45"/>
      <c r="E85" s="47"/>
      <c r="F85" s="47"/>
      <c r="G85" s="47"/>
      <c r="H85" s="48"/>
      <c r="I85" s="49"/>
      <c r="J85" s="49"/>
      <c r="L85" s="103" t="str">
        <f>+rascunho!FA13</f>
        <v/>
      </c>
      <c r="M85" s="101" t="str">
        <f>+rascunho!FB13</f>
        <v/>
      </c>
      <c r="N85" s="363" t="str">
        <f>+rascunho!FC13</f>
        <v/>
      </c>
      <c r="O85" s="102" t="str">
        <f>+IF(SIT_ATUAL&lt;&gt;"SIM","",rascunho!FD13)</f>
        <v/>
      </c>
      <c r="P85" s="363" t="str">
        <f>+IF(SIT_ATUAL&lt;&gt;"SIM","",rascunho!FE13)</f>
        <v/>
      </c>
      <c r="Q85" s="366" t="str">
        <f>+IF(SIT_ATUAL&lt;&gt;"SIM","",rascunho!FF13)</f>
        <v/>
      </c>
      <c r="R85" s="363" t="str">
        <f>+IF(SIT_ATUAL&lt;&gt;"SIM","",rascunho!FG13)</f>
        <v/>
      </c>
      <c r="S85" s="363" t="str">
        <f>+IF(SIT_ATUAL&lt;&gt;"SIM","",rascunho!FH13)</f>
        <v/>
      </c>
      <c r="U85" s="148" t="str">
        <f>+IF(cadastro!B95="","",cadastro!B95)</f>
        <v/>
      </c>
      <c r="V85" s="149" t="str">
        <f>+IF(cadastro!D95="","",cadastro!D95)</f>
        <v/>
      </c>
      <c r="W85" s="149" t="str">
        <f>+IF(cadastro!E95="","",cadastro!E95)</f>
        <v/>
      </c>
      <c r="X85" s="150" t="str">
        <f>+CONCATENATE(IF(cadastro!C95="","","flh "),cadastro!C95,IF(OR(cadastro!C95="",cadastro!F95=""),""," - "),cadastro!F95)</f>
        <v/>
      </c>
    </row>
    <row r="86" spans="2:24" s="6" customFormat="1" ht="14.1" customHeight="1">
      <c r="B86" s="443" t="s">
        <v>150</v>
      </c>
      <c r="C86" s="443"/>
      <c r="D86" s="443"/>
      <c r="E86" s="50" t="str">
        <f>+IF(rascunho!CM10="","",rascunho!CM10)</f>
        <v/>
      </c>
      <c r="F86" s="51"/>
      <c r="G86" s="448" t="s">
        <v>23</v>
      </c>
      <c r="H86" s="448"/>
      <c r="I86" s="52" t="str">
        <f>+IF(rascunho!CJ10="","",rascunho!CJ10)</f>
        <v/>
      </c>
      <c r="J86" s="53"/>
      <c r="L86" s="103" t="str">
        <f>+rascunho!FA14</f>
        <v/>
      </c>
      <c r="M86" s="101" t="str">
        <f>+rascunho!FB14</f>
        <v/>
      </c>
      <c r="N86" s="363" t="str">
        <f>+rascunho!FC14</f>
        <v/>
      </c>
      <c r="O86" s="102" t="str">
        <f>+IF(SIT_ATUAL&lt;&gt;"SIM","",rascunho!FD14)</f>
        <v/>
      </c>
      <c r="P86" s="363" t="str">
        <f>+IF(SIT_ATUAL&lt;&gt;"SIM","",rascunho!FE14)</f>
        <v/>
      </c>
      <c r="Q86" s="366" t="str">
        <f>+IF(SIT_ATUAL&lt;&gt;"SIM","",rascunho!FF14)</f>
        <v/>
      </c>
      <c r="R86" s="363" t="str">
        <f>+IF(SIT_ATUAL&lt;&gt;"SIM","",rascunho!FG14)</f>
        <v/>
      </c>
      <c r="S86" s="363" t="str">
        <f>+IF(SIT_ATUAL&lt;&gt;"SIM","",rascunho!FH14)</f>
        <v/>
      </c>
      <c r="U86" s="148" t="str">
        <f>+IF(cadastro!B96="","",cadastro!B96)</f>
        <v/>
      </c>
      <c r="V86" s="149" t="str">
        <f>+IF(cadastro!D96="","",cadastro!D96)</f>
        <v/>
      </c>
      <c r="W86" s="149" t="str">
        <f>+IF(cadastro!E96="","",cadastro!E96)</f>
        <v/>
      </c>
      <c r="X86" s="150" t="str">
        <f>+CONCATENATE(IF(cadastro!C96="","","flh "),cadastro!C96,IF(OR(cadastro!C96="",cadastro!F96=""),""," - "),cadastro!F96)</f>
        <v/>
      </c>
    </row>
    <row r="87" spans="2:24" s="6" customFormat="1" ht="14.1" customHeight="1">
      <c r="B87" s="443" t="s">
        <v>87</v>
      </c>
      <c r="C87" s="443"/>
      <c r="D87" s="443" t="s">
        <v>24</v>
      </c>
      <c r="E87" s="50" t="str">
        <f>+IF(rascunho!CN10="","",rascunho!CN10)</f>
        <v/>
      </c>
      <c r="F87" s="51"/>
      <c r="G87" s="456" t="str">
        <f>+CONCATENATE("TIPO DE DECLARAÇÃO: ",rascunho!CL10)</f>
        <v xml:space="preserve">TIPO DE DECLARAÇÃO: </v>
      </c>
      <c r="H87" s="456"/>
      <c r="I87" s="456"/>
      <c r="J87" s="456"/>
      <c r="L87" s="103" t="str">
        <f>+rascunho!FA15</f>
        <v/>
      </c>
      <c r="M87" s="101" t="str">
        <f>+rascunho!FB15</f>
        <v/>
      </c>
      <c r="N87" s="363" t="str">
        <f>+rascunho!FC15</f>
        <v/>
      </c>
      <c r="O87" s="102" t="str">
        <f>+IF(SIT_ATUAL&lt;&gt;"SIM","",rascunho!FD15)</f>
        <v/>
      </c>
      <c r="P87" s="363" t="str">
        <f>+IF(SIT_ATUAL&lt;&gt;"SIM","",rascunho!FE15)</f>
        <v/>
      </c>
      <c r="Q87" s="366" t="str">
        <f>+IF(SIT_ATUAL&lt;&gt;"SIM","",rascunho!FF15)</f>
        <v/>
      </c>
      <c r="R87" s="363" t="str">
        <f>+IF(SIT_ATUAL&lt;&gt;"SIM","",rascunho!FG15)</f>
        <v/>
      </c>
      <c r="S87" s="363" t="str">
        <f>+IF(SIT_ATUAL&lt;&gt;"SIM","",rascunho!FH15)</f>
        <v/>
      </c>
      <c r="U87" s="148" t="str">
        <f>+IF(cadastro!B97="","",cadastro!B97)</f>
        <v/>
      </c>
      <c r="V87" s="149" t="str">
        <f>+IF(cadastro!D97="","",cadastro!D97)</f>
        <v/>
      </c>
      <c r="W87" s="149" t="str">
        <f>+IF(cadastro!E97="","",cadastro!E97)</f>
        <v/>
      </c>
      <c r="X87" s="150" t="str">
        <f>+CONCATENATE(IF(cadastro!C97="","","flh "),cadastro!C97,IF(OR(cadastro!C97="",cadastro!F97=""),""," - "),cadastro!F97)</f>
        <v/>
      </c>
    </row>
    <row r="88" spans="2:24" s="6" customFormat="1" ht="14.1" customHeight="1">
      <c r="B88" s="443" t="s">
        <v>86</v>
      </c>
      <c r="C88" s="443"/>
      <c r="D88" s="443" t="s">
        <v>24</v>
      </c>
      <c r="E88" s="54" t="str">
        <f>+IF(rascunho!CO10="","",rascunho!CO10)</f>
        <v/>
      </c>
      <c r="F88" s="51"/>
      <c r="G88" s="55" t="s">
        <v>2</v>
      </c>
      <c r="H88" s="56" t="s">
        <v>3</v>
      </c>
      <c r="I88" s="56" t="s">
        <v>14</v>
      </c>
      <c r="J88" s="57" t="s">
        <v>4</v>
      </c>
      <c r="L88" s="103" t="str">
        <f>+rascunho!FA16</f>
        <v/>
      </c>
      <c r="M88" s="101" t="str">
        <f>+rascunho!FB16</f>
        <v/>
      </c>
      <c r="N88" s="363" t="str">
        <f>+rascunho!FC16</f>
        <v/>
      </c>
      <c r="O88" s="102" t="str">
        <f>+IF(SIT_ATUAL&lt;&gt;"SIM","",rascunho!FD16)</f>
        <v/>
      </c>
      <c r="P88" s="363" t="str">
        <f>+IF(SIT_ATUAL&lt;&gt;"SIM","",rascunho!FE16)</f>
        <v/>
      </c>
      <c r="Q88" s="366" t="str">
        <f>+IF(SIT_ATUAL&lt;&gt;"SIM","",rascunho!FF16)</f>
        <v/>
      </c>
      <c r="R88" s="363" t="str">
        <f>+IF(SIT_ATUAL&lt;&gt;"SIM","",rascunho!FG16)</f>
        <v/>
      </c>
      <c r="S88" s="363" t="str">
        <f>+IF(SIT_ATUAL&lt;&gt;"SIM","",rascunho!FH16)</f>
        <v/>
      </c>
      <c r="U88" s="148" t="str">
        <f>+IF(cadastro!B98="","",cadastro!B98)</f>
        <v/>
      </c>
      <c r="V88" s="149" t="str">
        <f>+IF(cadastro!D98="","",cadastro!D98)</f>
        <v/>
      </c>
      <c r="W88" s="149" t="str">
        <f>+IF(cadastro!E98="","",cadastro!E98)</f>
        <v/>
      </c>
      <c r="X88" s="150" t="str">
        <f>+CONCATENATE(IF(cadastro!C98="","","flh "),cadastro!C98,IF(OR(cadastro!C98="",cadastro!F98=""),""," - "),cadastro!F98)</f>
        <v/>
      </c>
    </row>
    <row r="89" spans="2:24" s="6" customFormat="1" ht="14.1" customHeight="1">
      <c r="B89" s="443" t="s">
        <v>89</v>
      </c>
      <c r="C89" s="443"/>
      <c r="D89" s="443"/>
      <c r="E89" s="50" t="str">
        <f>+IF(rascunho!CQ10="","",rascunho!CQ10)</f>
        <v/>
      </c>
      <c r="F89" s="51"/>
      <c r="G89" s="58" t="str">
        <f>+IF(rascunho!DL10="","",rascunho!DL10)</f>
        <v/>
      </c>
      <c r="H89" s="59" t="s">
        <v>5</v>
      </c>
      <c r="I89" s="60" t="str">
        <f>+IF(rascunho!DM10="","",rascunho!DM10)</f>
        <v/>
      </c>
      <c r="J89" s="61" t="str">
        <f>+IF(rascunho!DN10="","",rascunho!DN10)</f>
        <v/>
      </c>
      <c r="L89" s="103" t="str">
        <f>+rascunho!FA17</f>
        <v/>
      </c>
      <c r="M89" s="101" t="str">
        <f>+rascunho!FB17</f>
        <v/>
      </c>
      <c r="N89" s="363" t="str">
        <f>+rascunho!FC17</f>
        <v/>
      </c>
      <c r="O89" s="102" t="str">
        <f>+IF(SIT_ATUAL&lt;&gt;"SIM","",rascunho!FD17)</f>
        <v/>
      </c>
      <c r="P89" s="363" t="str">
        <f>+IF(SIT_ATUAL&lt;&gt;"SIM","",rascunho!FE17)</f>
        <v/>
      </c>
      <c r="Q89" s="366" t="str">
        <f>+IF(SIT_ATUAL&lt;&gt;"SIM","",rascunho!FF17)</f>
        <v/>
      </c>
      <c r="R89" s="363" t="str">
        <f>+IF(SIT_ATUAL&lt;&gt;"SIM","",rascunho!FG17)</f>
        <v/>
      </c>
      <c r="S89" s="363" t="str">
        <f>+IF(SIT_ATUAL&lt;&gt;"SIM","",rascunho!FH17)</f>
        <v/>
      </c>
      <c r="U89" s="148" t="str">
        <f>+IF(cadastro!B99="","",cadastro!B99)</f>
        <v/>
      </c>
      <c r="V89" s="149" t="str">
        <f>+IF(cadastro!D99="","",cadastro!D99)</f>
        <v/>
      </c>
      <c r="W89" s="149" t="str">
        <f>+IF(cadastro!E99="","",cadastro!E99)</f>
        <v/>
      </c>
      <c r="X89" s="150" t="str">
        <f>+CONCATENATE(IF(cadastro!C99="","","flh "),cadastro!C99,IF(OR(cadastro!C99="",cadastro!F99=""),""," - "),cadastro!F99)</f>
        <v/>
      </c>
    </row>
    <row r="90" spans="2:24" s="6" customFormat="1" ht="14.1" customHeight="1">
      <c r="B90" s="443" t="s">
        <v>151</v>
      </c>
      <c r="C90" s="443"/>
      <c r="D90" s="443"/>
      <c r="E90" s="54" t="str">
        <f>+IF(rascunho!CS10="","",rascunho!CS10)</f>
        <v/>
      </c>
      <c r="F90" s="51"/>
      <c r="G90" s="62" t="str">
        <f>+IF(H90="","",rascunho!DO10)</f>
        <v/>
      </c>
      <c r="H90" s="63" t="str">
        <f>+IF(G89="","",G89-0.01)</f>
        <v/>
      </c>
      <c r="I90" s="64" t="str">
        <f>+IF(H90="","",rascunho!DP10)</f>
        <v/>
      </c>
      <c r="J90" s="65" t="str">
        <f>+IF(H90="","",rascunho!DQ10)</f>
        <v/>
      </c>
      <c r="L90" s="103" t="str">
        <f>+rascunho!FA18</f>
        <v/>
      </c>
      <c r="M90" s="101" t="str">
        <f>+rascunho!FB18</f>
        <v/>
      </c>
      <c r="N90" s="363" t="str">
        <f>+rascunho!FC18</f>
        <v/>
      </c>
      <c r="O90" s="102" t="str">
        <f>+IF(SIT_ATUAL&lt;&gt;"SIM","",rascunho!FD18)</f>
        <v/>
      </c>
      <c r="P90" s="363" t="str">
        <f>+IF(SIT_ATUAL&lt;&gt;"SIM","",rascunho!FE18)</f>
        <v/>
      </c>
      <c r="Q90" s="366" t="str">
        <f>+IF(SIT_ATUAL&lt;&gt;"SIM","",rascunho!FF18)</f>
        <v/>
      </c>
      <c r="R90" s="363" t="str">
        <f>+IF(SIT_ATUAL&lt;&gt;"SIM","",rascunho!FG18)</f>
        <v/>
      </c>
      <c r="S90" s="363" t="str">
        <f>+IF(SIT_ATUAL&lt;&gt;"SIM","",rascunho!FH18)</f>
        <v/>
      </c>
      <c r="U90" s="148" t="str">
        <f>+IF(cadastro!B100="","",cadastro!B100)</f>
        <v/>
      </c>
      <c r="V90" s="149" t="str">
        <f>+IF(cadastro!D100="","",cadastro!D100)</f>
        <v/>
      </c>
      <c r="W90" s="149" t="str">
        <f>+IF(cadastro!E100="","",cadastro!E100)</f>
        <v/>
      </c>
      <c r="X90" s="150" t="str">
        <f>+CONCATENATE(IF(cadastro!C100="","","flh "),cadastro!C100,IF(OR(cadastro!C100="",cadastro!F100=""),""," - "),cadastro!F100)</f>
        <v/>
      </c>
    </row>
    <row r="91" spans="2:24" s="6" customFormat="1" ht="14.1" customHeight="1">
      <c r="B91" s="443" t="s">
        <v>142</v>
      </c>
      <c r="C91" s="443"/>
      <c r="D91" s="443" t="s">
        <v>25</v>
      </c>
      <c r="E91" s="50" t="str">
        <f>+IF(rascunho!CU10="","",rascunho!CU10)</f>
        <v/>
      </c>
      <c r="F91" s="51"/>
      <c r="G91" s="62" t="str">
        <f>+IF(H91="","",rascunho!DR10)</f>
        <v/>
      </c>
      <c r="H91" s="63" t="str">
        <f>+IF(G90="","",G90-0.01)</f>
        <v/>
      </c>
      <c r="I91" s="64" t="str">
        <f>+IF(H91="","",rascunho!DS10)</f>
        <v/>
      </c>
      <c r="J91" s="65" t="str">
        <f>+IF(H91="","",rascunho!DT10)</f>
        <v/>
      </c>
      <c r="L91" s="103" t="str">
        <f>+rascunho!FA19</f>
        <v/>
      </c>
      <c r="M91" s="101" t="str">
        <f>+rascunho!FB19</f>
        <v/>
      </c>
      <c r="N91" s="363" t="str">
        <f>+rascunho!FC19</f>
        <v/>
      </c>
      <c r="O91" s="102" t="str">
        <f>+IF(SIT_ATUAL&lt;&gt;"SIM","",rascunho!FD19)</f>
        <v/>
      </c>
      <c r="P91" s="363" t="str">
        <f>+IF(SIT_ATUAL&lt;&gt;"SIM","",rascunho!FE19)</f>
        <v/>
      </c>
      <c r="Q91" s="366" t="str">
        <f>+IF(SIT_ATUAL&lt;&gt;"SIM","",rascunho!FF19)</f>
        <v/>
      </c>
      <c r="R91" s="363" t="str">
        <f>+IF(SIT_ATUAL&lt;&gt;"SIM","",rascunho!FG19)</f>
        <v/>
      </c>
      <c r="S91" s="363" t="str">
        <f>+IF(SIT_ATUAL&lt;&gt;"SIM","",rascunho!FH19)</f>
        <v/>
      </c>
      <c r="U91" s="148" t="str">
        <f>+IF(cadastro!B101="","",cadastro!B101)</f>
        <v/>
      </c>
      <c r="V91" s="149" t="str">
        <f>+IF(cadastro!D101="","",cadastro!D101)</f>
        <v/>
      </c>
      <c r="W91" s="149" t="str">
        <f>+IF(cadastro!E101="","",cadastro!E101)</f>
        <v/>
      </c>
      <c r="X91" s="150" t="str">
        <f>+CONCATENATE(IF(cadastro!C101="","","flh "),cadastro!C101,IF(OR(cadastro!C101="",cadastro!F101=""),""," - "),cadastro!F101)</f>
        <v/>
      </c>
    </row>
    <row r="92" spans="2:24" s="6" customFormat="1" ht="14.1" customHeight="1">
      <c r="B92" s="66"/>
      <c r="C92" s="67"/>
      <c r="D92" s="68" t="s">
        <v>163</v>
      </c>
      <c r="E92" s="69" t="str">
        <f>+IF(rascunho!CX10="","",rascunho!CX10)</f>
        <v/>
      </c>
      <c r="F92" s="51"/>
      <c r="G92" s="62" t="str">
        <f>+IF(H92="","",rascunho!DU10)</f>
        <v/>
      </c>
      <c r="H92" s="63" t="str">
        <f>+IF(OR(G91="",G91=0),"",G91-0.01)</f>
        <v/>
      </c>
      <c r="I92" s="64" t="str">
        <f>+IF(H92="","",rascunho!DV10)</f>
        <v/>
      </c>
      <c r="J92" s="65" t="str">
        <f>+IF(H92="","",rascunho!DW10)</f>
        <v/>
      </c>
      <c r="L92" s="103" t="str">
        <f>+rascunho!FA20</f>
        <v/>
      </c>
      <c r="M92" s="101" t="str">
        <f>+rascunho!FB20</f>
        <v/>
      </c>
      <c r="N92" s="363" t="str">
        <f>+rascunho!FC20</f>
        <v/>
      </c>
      <c r="O92" s="102" t="str">
        <f>+IF(SIT_ATUAL&lt;&gt;"SIM","",rascunho!FD20)</f>
        <v/>
      </c>
      <c r="P92" s="363" t="str">
        <f>+IF(SIT_ATUAL&lt;&gt;"SIM","",rascunho!FE20)</f>
        <v/>
      </c>
      <c r="Q92" s="366" t="str">
        <f>+IF(SIT_ATUAL&lt;&gt;"SIM","",rascunho!FF20)</f>
        <v/>
      </c>
      <c r="R92" s="363" t="str">
        <f>+IF(SIT_ATUAL&lt;&gt;"SIM","",rascunho!FG20)</f>
        <v/>
      </c>
      <c r="S92" s="363" t="str">
        <f>+IF(SIT_ATUAL&lt;&gt;"SIM","",rascunho!FH20)</f>
        <v/>
      </c>
      <c r="U92" s="148" t="str">
        <f>+IF(cadastro!B102="","",cadastro!B102)</f>
        <v/>
      </c>
      <c r="V92" s="149" t="str">
        <f>+IF(cadastro!D102="","",cadastro!D102)</f>
        <v/>
      </c>
      <c r="W92" s="149" t="str">
        <f>+IF(cadastro!E102="","",cadastro!E102)</f>
        <v/>
      </c>
      <c r="X92" s="150" t="str">
        <f>+CONCATENATE(IF(cadastro!C102="","","flh "),cadastro!C102,IF(OR(cadastro!C102="",cadastro!F102=""),""," - "),cadastro!F102)</f>
        <v/>
      </c>
    </row>
    <row r="93" spans="2:24" s="6" customFormat="1" ht="14.1" customHeight="1">
      <c r="B93" s="66"/>
      <c r="C93" s="70"/>
      <c r="D93" s="71" t="s">
        <v>90</v>
      </c>
      <c r="E93" s="72" t="str">
        <f>+IF(rascunho!CY10="","",rascunho!CY10)</f>
        <v/>
      </c>
      <c r="F93" s="51"/>
      <c r="G93" s="62" t="str">
        <f>+IF(H93="","",rascunho!DX10)</f>
        <v/>
      </c>
      <c r="H93" s="63" t="str">
        <f>+IF(OR(G92="",G92=0),"",G92-0.01)</f>
        <v/>
      </c>
      <c r="I93" s="64" t="str">
        <f>+IF(H93="","",rascunho!DY10)</f>
        <v/>
      </c>
      <c r="J93" s="65" t="str">
        <f>+IF(H93="","",rascunho!DZ10)</f>
        <v/>
      </c>
      <c r="L93" s="103" t="str">
        <f>+rascunho!FA21</f>
        <v/>
      </c>
      <c r="M93" s="101" t="str">
        <f>+rascunho!FB21</f>
        <v/>
      </c>
      <c r="N93" s="363" t="str">
        <f>+rascunho!FC21</f>
        <v/>
      </c>
      <c r="O93" s="102" t="str">
        <f>+IF(SIT_ATUAL&lt;&gt;"SIM","",rascunho!FD21)</f>
        <v/>
      </c>
      <c r="P93" s="363" t="str">
        <f>+IF(SIT_ATUAL&lt;&gt;"SIM","",rascunho!FE21)</f>
        <v/>
      </c>
      <c r="Q93" s="366" t="str">
        <f>+IF(SIT_ATUAL&lt;&gt;"SIM","",rascunho!FF21)</f>
        <v/>
      </c>
      <c r="R93" s="363" t="str">
        <f>+IF(SIT_ATUAL&lt;&gt;"SIM","",rascunho!FG21)</f>
        <v/>
      </c>
      <c r="S93" s="363" t="str">
        <f>+IF(SIT_ATUAL&lt;&gt;"SIM","",rascunho!FH21)</f>
        <v/>
      </c>
      <c r="U93" s="148" t="str">
        <f>+IF(cadastro!B103="","",cadastro!B103)</f>
        <v/>
      </c>
      <c r="V93" s="149" t="str">
        <f>+IF(cadastro!D103="","",cadastro!D103)</f>
        <v/>
      </c>
      <c r="W93" s="149" t="str">
        <f>+IF(cadastro!E103="","",cadastro!E103)</f>
        <v/>
      </c>
      <c r="X93" s="150" t="str">
        <f>+CONCATENATE(IF(cadastro!C103="","","flh "),cadastro!C103,IF(OR(cadastro!C103="",cadastro!F103=""),""," - "),cadastro!F103)</f>
        <v/>
      </c>
    </row>
    <row r="94" spans="2:24" s="6" customFormat="1" ht="14.1" customHeight="1">
      <c r="B94" s="443" t="s">
        <v>152</v>
      </c>
      <c r="C94" s="443"/>
      <c r="D94" s="443"/>
      <c r="E94" s="50" t="str">
        <f>+IF(rascunho!CZ10="","",rascunho!CZ10)</f>
        <v/>
      </c>
      <c r="F94" s="51"/>
      <c r="G94" s="449" t="s">
        <v>91</v>
      </c>
      <c r="H94" s="450"/>
      <c r="I94" s="450"/>
      <c r="J94" s="451"/>
      <c r="L94" s="103" t="str">
        <f>+rascunho!FA22</f>
        <v/>
      </c>
      <c r="M94" s="101" t="str">
        <f>+rascunho!FB22</f>
        <v/>
      </c>
      <c r="N94" s="363" t="str">
        <f>+rascunho!FC22</f>
        <v/>
      </c>
      <c r="O94" s="102" t="str">
        <f>+IF(SIT_ATUAL&lt;&gt;"SIM","",rascunho!FD22)</f>
        <v/>
      </c>
      <c r="P94" s="363" t="str">
        <f>+IF(SIT_ATUAL&lt;&gt;"SIM","",rascunho!FE22)</f>
        <v/>
      </c>
      <c r="Q94" s="366" t="str">
        <f>+IF(SIT_ATUAL&lt;&gt;"SIM","",rascunho!FF22)</f>
        <v/>
      </c>
      <c r="R94" s="363" t="str">
        <f>+IF(SIT_ATUAL&lt;&gt;"SIM","",rascunho!FG22)</f>
        <v/>
      </c>
      <c r="S94" s="363" t="str">
        <f>+IF(SIT_ATUAL&lt;&gt;"SIM","",rascunho!FH22)</f>
        <v/>
      </c>
      <c r="U94" s="148" t="str">
        <f>+IF(cadastro!B104="","",cadastro!B104)</f>
        <v/>
      </c>
      <c r="V94" s="149" t="str">
        <f>+IF(cadastro!D104="","",cadastro!D104)</f>
        <v/>
      </c>
      <c r="W94" s="149" t="str">
        <f>+IF(cadastro!E104="","",cadastro!E104)</f>
        <v/>
      </c>
      <c r="X94" s="150" t="str">
        <f>+CONCATENATE(IF(cadastro!C104="","","flh "),cadastro!C104,IF(OR(cadastro!C104="",cadastro!F104=""),""," - "),cadastro!F104)</f>
        <v/>
      </c>
    </row>
    <row r="95" spans="2:24" s="6" customFormat="1" ht="14.1" customHeight="1">
      <c r="B95" s="443" t="s">
        <v>229</v>
      </c>
      <c r="C95" s="443"/>
      <c r="D95" s="443"/>
      <c r="E95" s="54" t="str">
        <f>+IF(rascunho!DA10="","",rascunho!DA10)</f>
        <v/>
      </c>
      <c r="F95" s="51"/>
      <c r="G95" s="53" t="s">
        <v>154</v>
      </c>
      <c r="H95" s="73"/>
      <c r="I95" s="73"/>
      <c r="J95" s="73"/>
      <c r="L95" s="103" t="str">
        <f>+rascunho!FA23</f>
        <v/>
      </c>
      <c r="M95" s="101" t="str">
        <f>+rascunho!FB23</f>
        <v/>
      </c>
      <c r="N95" s="363" t="str">
        <f>+rascunho!FC23</f>
        <v/>
      </c>
      <c r="O95" s="102" t="str">
        <f>+IF(SIT_ATUAL&lt;&gt;"SIM","",rascunho!FD23)</f>
        <v/>
      </c>
      <c r="P95" s="363" t="str">
        <f>+IF(SIT_ATUAL&lt;&gt;"SIM","",rascunho!FE23)</f>
        <v/>
      </c>
      <c r="Q95" s="366" t="str">
        <f>+IF(SIT_ATUAL&lt;&gt;"SIM","",rascunho!FF23)</f>
        <v/>
      </c>
      <c r="R95" s="363" t="str">
        <f>+IF(SIT_ATUAL&lt;&gt;"SIM","",rascunho!FG23)</f>
        <v/>
      </c>
      <c r="S95" s="363" t="str">
        <f>+IF(SIT_ATUAL&lt;&gt;"SIM","",rascunho!FH23)</f>
        <v/>
      </c>
      <c r="U95" s="148" t="str">
        <f>+IF(cadastro!B105="","",cadastro!B105)</f>
        <v/>
      </c>
      <c r="V95" s="149" t="str">
        <f>+IF(cadastro!D105="","",cadastro!D105)</f>
        <v/>
      </c>
      <c r="W95" s="149" t="str">
        <f>+IF(cadastro!E105="","",cadastro!E105)</f>
        <v/>
      </c>
      <c r="X95" s="150" t="str">
        <f>+CONCATENATE(IF(cadastro!C105="","","flh "),cadastro!C105,IF(OR(cadastro!C105="",cadastro!F105=""),""," - "),cadastro!F105)</f>
        <v/>
      </c>
    </row>
    <row r="96" spans="2:24" s="6" customFormat="1" ht="14.1" customHeight="1">
      <c r="B96" s="443" t="s">
        <v>50</v>
      </c>
      <c r="C96" s="443"/>
      <c r="D96" s="443"/>
      <c r="E96" s="50" t="str">
        <f>+IF(rascunho!DC10="","",rascunho!DC10)</f>
        <v/>
      </c>
      <c r="F96" s="51"/>
      <c r="G96" s="53"/>
      <c r="H96" s="74"/>
      <c r="I96" s="74"/>
      <c r="J96" s="74"/>
      <c r="L96" s="103"/>
      <c r="M96" s="101"/>
      <c r="N96" s="363"/>
      <c r="O96" s="102"/>
      <c r="P96" s="364"/>
      <c r="Q96" s="367"/>
      <c r="R96" s="364"/>
      <c r="S96" s="364"/>
      <c r="U96" s="148" t="str">
        <f>+IF(cadastro!B106="","",cadastro!B106)</f>
        <v/>
      </c>
      <c r="V96" s="149" t="str">
        <f>+IF(cadastro!D106="","",cadastro!D106)</f>
        <v/>
      </c>
      <c r="W96" s="149" t="str">
        <f>+IF(cadastro!E106="","",cadastro!E106)</f>
        <v/>
      </c>
      <c r="X96" s="150" t="str">
        <f>+CONCATENATE(IF(cadastro!C106="","","flh "),cadastro!C106,IF(OR(cadastro!C106="",cadastro!F106=""),""," - "),cadastro!F106)</f>
        <v/>
      </c>
    </row>
    <row r="97" spans="2:44" s="6" customFormat="1" ht="14.1" customHeight="1">
      <c r="B97" s="443" t="s">
        <v>153</v>
      </c>
      <c r="C97" s="443"/>
      <c r="D97" s="443"/>
      <c r="E97" s="54" t="str">
        <f>+IF(rascunho!DD10="","",rascunho!DD10)</f>
        <v/>
      </c>
      <c r="F97" s="51"/>
      <c r="G97" s="63"/>
      <c r="H97" s="63"/>
      <c r="I97" s="75"/>
      <c r="J97" s="76"/>
      <c r="L97" s="131"/>
      <c r="M97" s="131"/>
      <c r="N97" s="129"/>
      <c r="O97" s="129" t="str">
        <f>+IF(PARC_DD=0,"","TOTAL:")</f>
        <v>TOTAL:</v>
      </c>
      <c r="P97" s="130">
        <f ca="1">+IF(PARC_DD=0,"",rascunho!FK5)</f>
        <v>1504.85</v>
      </c>
      <c r="Q97" s="132"/>
      <c r="R97" s="130">
        <f ca="1">+IF(OR(SIT_ATUAL&lt;&gt;"SIM",PARC_DD=0),"",rascunho!FK6)</f>
        <v>5609.63</v>
      </c>
      <c r="S97" s="133"/>
      <c r="U97" s="148" t="str">
        <f>+IF(cadastro!B107="","",cadastro!B107)</f>
        <v/>
      </c>
      <c r="V97" s="149" t="str">
        <f>+IF(cadastro!D107="","",cadastro!D107)</f>
        <v/>
      </c>
      <c r="W97" s="149" t="str">
        <f>+IF(cadastro!E107="","",cadastro!E107)</f>
        <v/>
      </c>
      <c r="X97" s="150" t="str">
        <f>+CONCATENATE(IF(cadastro!C107="","","flh "),cadastro!C107,IF(OR(cadastro!C107="",cadastro!F107=""),""," - "),cadastro!F107)</f>
        <v/>
      </c>
    </row>
    <row r="98" spans="2:44" s="6" customFormat="1" ht="14.1" customHeight="1">
      <c r="B98" s="443" t="str">
        <f>+CONCATENATE("IMPOSTO A ",rascunho!DI10,"(=):")</f>
        <v>IMPOSTO A (=):</v>
      </c>
      <c r="C98" s="443"/>
      <c r="D98" s="443"/>
      <c r="E98" s="50" t="str">
        <f>+IF(rascunho!DH10="","",ABS(rascunho!DH10))</f>
        <v/>
      </c>
      <c r="F98" s="51"/>
      <c r="G98" s="74"/>
      <c r="H98" s="74"/>
      <c r="I98" s="74"/>
      <c r="J98" s="74"/>
      <c r="L98" s="131" t="s">
        <v>108</v>
      </c>
      <c r="M98" s="131"/>
      <c r="N98" s="131"/>
      <c r="O98" s="131"/>
      <c r="P98" s="134"/>
      <c r="Q98" s="134"/>
      <c r="R98" s="134"/>
      <c r="S98" s="135"/>
      <c r="U98" s="148" t="str">
        <f>+IF(cadastro!B108="","",cadastro!B108)</f>
        <v/>
      </c>
      <c r="V98" s="149" t="str">
        <f>+IF(cadastro!D108="","",cadastro!D108)</f>
        <v/>
      </c>
      <c r="W98" s="149" t="str">
        <f>+IF(cadastro!E108="","",cadastro!E108)</f>
        <v/>
      </c>
      <c r="X98" s="150" t="str">
        <f>+CONCATENATE(IF(cadastro!C108="","","flh "),cadastro!C108,IF(OR(cadastro!C108="",cadastro!F108=""),""," - "),cadastro!F108)</f>
        <v/>
      </c>
      <c r="AH98" s="4"/>
      <c r="AI98" s="4"/>
    </row>
    <row r="99" spans="2:44" s="6" customFormat="1" ht="14.1" customHeight="1">
      <c r="B99" s="443" t="str">
        <f>+CONCATENATE("(*)IMPOSTO A ",rascunho!DG10," EFETUADO:")</f>
        <v>(*)IMPOSTO A  EFETUADO:</v>
      </c>
      <c r="C99" s="443"/>
      <c r="D99" s="443"/>
      <c r="E99" s="54" t="str">
        <f>+IF(rascunho!DE10="","",ABS(rascunho!DE10))</f>
        <v/>
      </c>
      <c r="F99" s="51"/>
      <c r="G99" s="47"/>
      <c r="H99" s="43"/>
      <c r="I99" s="444" t="str">
        <f>+IF(AND(I86&gt;1991,I86&lt;1995),"(em moeda)","")</f>
        <v/>
      </c>
      <c r="J99" s="444"/>
      <c r="L99" s="131"/>
      <c r="M99" s="131"/>
      <c r="N99" s="131"/>
      <c r="O99" s="131"/>
      <c r="P99" s="134"/>
      <c r="Q99" s="134"/>
      <c r="R99" s="134"/>
      <c r="S99" s="135"/>
      <c r="U99" s="148" t="str">
        <f>+IF(cadastro!B109="","",cadastro!B109)</f>
        <v/>
      </c>
      <c r="V99" s="149" t="str">
        <f>+IF(cadastro!D109="","",cadastro!D109)</f>
        <v/>
      </c>
      <c r="W99" s="149" t="str">
        <f>+IF(cadastro!E109="","",cadastro!E109)</f>
        <v/>
      </c>
      <c r="X99" s="150" t="str">
        <f>+CONCATENATE(IF(cadastro!C109="","","flh "),cadastro!C109,IF(OR(cadastro!C109="",cadastro!F109=""),""," - "),cadastro!F109)</f>
        <v/>
      </c>
      <c r="AH99" s="4"/>
      <c r="AI99" s="4"/>
    </row>
    <row r="100" spans="2:44" s="6" customFormat="1" ht="14.1" customHeight="1">
      <c r="B100" s="447" t="s">
        <v>32</v>
      </c>
      <c r="C100" s="447"/>
      <c r="D100" s="447"/>
      <c r="E100" s="77" t="str">
        <f>+IF(rascunho!EC10="","",-rascunho!EC10)</f>
        <v/>
      </c>
      <c r="F100" s="51"/>
      <c r="G100" s="78" t="str">
        <f>+IF(AND(I86&gt;=1992,I86&lt;1995),"(em UFIR)","")</f>
        <v/>
      </c>
      <c r="H100" s="78"/>
      <c r="I100" s="454" t="str">
        <f>+IF(AND(I86&gt;1991,I86&lt;1995),ABS(rascunho!EF10),"")</f>
        <v/>
      </c>
      <c r="J100" s="454"/>
      <c r="L100" s="136"/>
      <c r="M100" s="462" t="s">
        <v>109</v>
      </c>
      <c r="N100" s="462"/>
      <c r="O100" s="462"/>
      <c r="P100" s="464">
        <f ca="1">+IF(SIT_ATUAL&lt;&gt;"SIM","",rascunho!FK11)</f>
        <v>1504.85</v>
      </c>
      <c r="Q100" s="464"/>
      <c r="R100" s="137"/>
      <c r="S100" s="138"/>
      <c r="U100" s="148" t="str">
        <f>+IF(cadastro!B110="","",cadastro!B110)</f>
        <v/>
      </c>
      <c r="V100" s="149" t="str">
        <f>+IF(cadastro!D110="","",cadastro!D110)</f>
        <v/>
      </c>
      <c r="W100" s="149" t="str">
        <f>+IF(cadastro!E110="","",cadastro!E110)</f>
        <v/>
      </c>
      <c r="X100" s="150" t="str">
        <f>+CONCATENATE(IF(cadastro!C110="","","flh "),cadastro!C110,IF(OR(cadastro!C110="",cadastro!F110=""),""," - "),cadastro!F110)</f>
        <v/>
      </c>
      <c r="AH100" s="4"/>
      <c r="AI100" s="4"/>
    </row>
    <row r="101" spans="2:44" s="6" customFormat="1" ht="14.1" customHeight="1">
      <c r="B101" s="46"/>
      <c r="C101" s="46"/>
      <c r="D101" s="45"/>
      <c r="E101" s="47"/>
      <c r="F101" s="47"/>
      <c r="G101" s="47"/>
      <c r="H101" s="48"/>
      <c r="I101" s="49"/>
      <c r="J101" s="49"/>
      <c r="L101" s="136"/>
      <c r="M101" s="462" t="s">
        <v>110</v>
      </c>
      <c r="N101" s="462"/>
      <c r="O101" s="462"/>
      <c r="P101" s="480">
        <f ca="1">+IF(SIT_ATUAL&lt;&gt;"SIM","",rascunho!FK12)</f>
        <v>5609.63</v>
      </c>
      <c r="Q101" s="480"/>
      <c r="R101" s="137"/>
      <c r="S101" s="138"/>
      <c r="U101" s="148" t="str">
        <f>+IF(cadastro!B111="","",cadastro!B111)</f>
        <v/>
      </c>
      <c r="V101" s="149" t="str">
        <f>+IF(cadastro!D111="","",cadastro!D111)</f>
        <v/>
      </c>
      <c r="W101" s="149" t="str">
        <f>+IF(cadastro!E111="","",cadastro!E111)</f>
        <v/>
      </c>
      <c r="X101" s="150" t="str">
        <f>+CONCATENATE(IF(cadastro!C111="","","flh "),cadastro!C111,IF(OR(cadastro!C111="",cadastro!F111=""),""," - "),cadastro!F111)</f>
        <v/>
      </c>
      <c r="AH101" s="4"/>
      <c r="AI101" s="4"/>
    </row>
    <row r="102" spans="2:44" s="6" customFormat="1" ht="14.1" customHeight="1">
      <c r="B102" s="443" t="s">
        <v>150</v>
      </c>
      <c r="C102" s="443"/>
      <c r="D102" s="443"/>
      <c r="E102" s="50" t="str">
        <f>+IF(rascunho!CM11="","",rascunho!CM11)</f>
        <v/>
      </c>
      <c r="F102" s="51"/>
      <c r="G102" s="448" t="s">
        <v>23</v>
      </c>
      <c r="H102" s="448"/>
      <c r="I102" s="52" t="str">
        <f>+IF(rascunho!CJ11="","",rascunho!CJ11)</f>
        <v/>
      </c>
      <c r="J102" s="53"/>
      <c r="L102" s="136"/>
      <c r="M102" s="463" t="s">
        <v>111</v>
      </c>
      <c r="N102" s="463"/>
      <c r="O102" s="463"/>
      <c r="P102" s="481">
        <f ca="1">+IF(SIT_ATUAL&lt;&gt;"SIM","",rascunho!FK13)</f>
        <v>7114.48</v>
      </c>
      <c r="Q102" s="481"/>
      <c r="R102" s="139"/>
      <c r="S102" s="138"/>
      <c r="U102" s="148" t="str">
        <f>+IF(cadastro!B112="","",cadastro!B112)</f>
        <v/>
      </c>
      <c r="V102" s="149" t="str">
        <f>+IF(cadastro!D112="","",cadastro!D112)</f>
        <v/>
      </c>
      <c r="W102" s="149" t="str">
        <f>+IF(cadastro!E112="","",cadastro!E112)</f>
        <v/>
      </c>
      <c r="X102" s="150" t="str">
        <f>+CONCATENATE(IF(cadastro!C112="","","flh "),cadastro!C112,IF(OR(cadastro!C112="",cadastro!F112=""),""," - "),cadastro!F112)</f>
        <v/>
      </c>
      <c r="AG102" s="4"/>
      <c r="AH102" s="5"/>
      <c r="AI102" s="5"/>
    </row>
    <row r="103" spans="2:44" s="6" customFormat="1" ht="14.1" customHeight="1">
      <c r="B103" s="443" t="s">
        <v>87</v>
      </c>
      <c r="C103" s="443"/>
      <c r="D103" s="443" t="s">
        <v>24</v>
      </c>
      <c r="E103" s="50" t="str">
        <f>+IF(rascunho!CN11="","",rascunho!CN11)</f>
        <v/>
      </c>
      <c r="F103" s="51"/>
      <c r="G103" s="456" t="str">
        <f>+CONCATENATE("TIPO DE DECLARAÇÃO: ",rascunho!CL11)</f>
        <v xml:space="preserve">TIPO DE DECLARAÇÃO: </v>
      </c>
      <c r="H103" s="456"/>
      <c r="I103" s="456"/>
      <c r="J103" s="456"/>
      <c r="L103" s="115"/>
      <c r="M103" s="115"/>
      <c r="N103" s="115"/>
      <c r="O103" s="115"/>
      <c r="P103" s="140"/>
      <c r="Q103" s="140"/>
      <c r="R103" s="140"/>
      <c r="S103" s="135"/>
      <c r="U103" s="148" t="str">
        <f>+IF(cadastro!B113="","",cadastro!B113)</f>
        <v/>
      </c>
      <c r="V103" s="149" t="str">
        <f>+IF(cadastro!D113="","",cadastro!D113)</f>
        <v/>
      </c>
      <c r="W103" s="149" t="str">
        <f>+IF(cadastro!E113="","",cadastro!E113)</f>
        <v/>
      </c>
      <c r="X103" s="150" t="str">
        <f>+CONCATENATE(IF(cadastro!C113="","","flh "),cadastro!C113,IF(OR(cadastro!C113="",cadastro!F113=""),""," - "),cadastro!F113)</f>
        <v/>
      </c>
      <c r="AG103" s="4"/>
    </row>
    <row r="104" spans="2:44" s="6" customFormat="1" ht="14.1" customHeight="1">
      <c r="B104" s="443" t="s">
        <v>86</v>
      </c>
      <c r="C104" s="443"/>
      <c r="D104" s="443" t="s">
        <v>24</v>
      </c>
      <c r="E104" s="54" t="str">
        <f>+IF(rascunho!CO11="","",rascunho!CO11)</f>
        <v/>
      </c>
      <c r="F104" s="51"/>
      <c r="G104" s="55" t="s">
        <v>2</v>
      </c>
      <c r="H104" s="56" t="s">
        <v>3</v>
      </c>
      <c r="I104" s="56" t="s">
        <v>14</v>
      </c>
      <c r="J104" s="57" t="s">
        <v>4</v>
      </c>
      <c r="L104" s="44" t="s">
        <v>112</v>
      </c>
      <c r="M104" s="44"/>
      <c r="N104" s="44"/>
      <c r="O104" s="44"/>
      <c r="P104" s="44"/>
      <c r="Q104" s="44"/>
      <c r="R104" s="44"/>
      <c r="S104" s="115"/>
      <c r="U104" s="148" t="str">
        <f>+IF(cadastro!B114="","",cadastro!B114)</f>
        <v/>
      </c>
      <c r="V104" s="149" t="str">
        <f>+IF(cadastro!D114="","",cadastro!D114)</f>
        <v/>
      </c>
      <c r="W104" s="149" t="str">
        <f>+IF(cadastro!E114="","",cadastro!E114)</f>
        <v/>
      </c>
      <c r="X104" s="150" t="str">
        <f>+CONCATENATE(IF(cadastro!C114="","","flh "),cadastro!C114,IF(OR(cadastro!C114="",cadastro!F114=""),""," - "),cadastro!F114)</f>
        <v/>
      </c>
      <c r="AG104" s="4"/>
      <c r="AH104" s="4"/>
      <c r="AI104" s="4"/>
    </row>
    <row r="105" spans="2:44" s="6" customFormat="1" ht="14.1" customHeight="1">
      <c r="B105" s="443" t="s">
        <v>89</v>
      </c>
      <c r="C105" s="443"/>
      <c r="D105" s="443"/>
      <c r="E105" s="50" t="str">
        <f>+IF(rascunho!CQ11="","",rascunho!CQ11)</f>
        <v/>
      </c>
      <c r="F105" s="51"/>
      <c r="G105" s="58" t="str">
        <f>+IF(rascunho!DL11="","",rascunho!DL11)</f>
        <v/>
      </c>
      <c r="H105" s="59" t="s">
        <v>5</v>
      </c>
      <c r="I105" s="60" t="str">
        <f>+IF(rascunho!DM11="","",rascunho!DM11)</f>
        <v/>
      </c>
      <c r="J105" s="61" t="str">
        <f>+IF(rascunho!DN11="","",rascunho!DN11)</f>
        <v/>
      </c>
      <c r="L105" s="461" t="str">
        <f>+rascunho!FJ16</f>
        <v>- Correção monetária pela variação mensal do: INPC(03/1991-11/1991), IPCA(12/1991), UFIR(01/1992-01/1996)</v>
      </c>
      <c r="M105" s="461"/>
      <c r="N105" s="461"/>
      <c r="O105" s="461"/>
      <c r="P105" s="461"/>
      <c r="Q105" s="461"/>
      <c r="R105" s="461"/>
      <c r="S105" s="461"/>
      <c r="U105" s="148" t="str">
        <f>+IF(cadastro!B115="","",cadastro!B115)</f>
        <v/>
      </c>
      <c r="V105" s="149" t="str">
        <f>+IF(cadastro!D115="","",cadastro!D115)</f>
        <v/>
      </c>
      <c r="W105" s="149" t="str">
        <f>+IF(cadastro!E115="","",cadastro!E115)</f>
        <v/>
      </c>
      <c r="X105" s="150" t="str">
        <f>+CONCATENATE(IF(cadastro!C115="","","flh "),cadastro!C115,IF(OR(cadastro!C115="",cadastro!F115=""),""," - "),cadastro!F115)</f>
        <v/>
      </c>
      <c r="AG105" s="4"/>
      <c r="AH105" s="4"/>
      <c r="AI105" s="4"/>
    </row>
    <row r="106" spans="2:44" s="6" customFormat="1" ht="14.1" customHeight="1">
      <c r="B106" s="443" t="s">
        <v>151</v>
      </c>
      <c r="C106" s="443"/>
      <c r="D106" s="443"/>
      <c r="E106" s="54" t="str">
        <f>+IF(rascunho!CS11="","",rascunho!CS11)</f>
        <v/>
      </c>
      <c r="F106" s="51"/>
      <c r="G106" s="62" t="str">
        <f>+IF(H106="","",rascunho!DO11)</f>
        <v/>
      </c>
      <c r="H106" s="63" t="str">
        <f>+IF(G105="","",G105-0.01)</f>
        <v/>
      </c>
      <c r="I106" s="64" t="str">
        <f>+IF(H106="","",rascunho!DP11)</f>
        <v/>
      </c>
      <c r="J106" s="65" t="str">
        <f>+IF(H106="","",rascunho!DQ11)</f>
        <v/>
      </c>
      <c r="L106" s="461"/>
      <c r="M106" s="461"/>
      <c r="N106" s="461"/>
      <c r="O106" s="461"/>
      <c r="P106" s="461"/>
      <c r="Q106" s="461"/>
      <c r="R106" s="461"/>
      <c r="S106" s="461"/>
      <c r="U106" s="148" t="str">
        <f>+IF(cadastro!B116="","",cadastro!B116)</f>
        <v/>
      </c>
      <c r="V106" s="149" t="str">
        <f>+IF(cadastro!D116="","",cadastro!D116)</f>
        <v/>
      </c>
      <c r="W106" s="149" t="str">
        <f>+IF(cadastro!E116="","",cadastro!E116)</f>
        <v/>
      </c>
      <c r="X106" s="150" t="str">
        <f>+CONCATENATE(IF(cadastro!C116="","","flh "),cadastro!C116,IF(OR(cadastro!C116="",cadastro!F116=""),""," - "),cadastro!F116)</f>
        <v/>
      </c>
      <c r="AG106" s="5"/>
      <c r="AH106" s="4"/>
      <c r="AI106" s="4"/>
    </row>
    <row r="107" spans="2:44" s="6" customFormat="1" ht="14.1" customHeight="1">
      <c r="B107" s="443" t="s">
        <v>142</v>
      </c>
      <c r="C107" s="443"/>
      <c r="D107" s="443" t="s">
        <v>25</v>
      </c>
      <c r="E107" s="50" t="str">
        <f>+IF(rascunho!CU11="","",rascunho!CU11)</f>
        <v/>
      </c>
      <c r="F107" s="51"/>
      <c r="G107" s="62" t="str">
        <f>+IF(H107="","",rascunho!DR11)</f>
        <v/>
      </c>
      <c r="H107" s="63" t="str">
        <f>+IF(G106="","",G106-0.01)</f>
        <v/>
      </c>
      <c r="I107" s="64" t="str">
        <f>+IF(H107="","",rascunho!DS11)</f>
        <v/>
      </c>
      <c r="J107" s="65" t="str">
        <f>+IF(H107="","",rascunho!DT11)</f>
        <v/>
      </c>
      <c r="L107" s="461" t="str">
        <f ca="1">+rascunho!FJ18</f>
        <v>- Juros de mora: 1% a.m. simples (03/1991-12/1995), SELIC(01/1996-08/2026)</v>
      </c>
      <c r="M107" s="461"/>
      <c r="N107" s="461"/>
      <c r="O107" s="461"/>
      <c r="P107" s="461"/>
      <c r="Q107" s="461"/>
      <c r="R107" s="461"/>
      <c r="S107" s="461"/>
      <c r="U107" s="148" t="str">
        <f>+IF(cadastro!B117="","",cadastro!B117)</f>
        <v/>
      </c>
      <c r="V107" s="149" t="str">
        <f>+IF(cadastro!D117="","",cadastro!D117)</f>
        <v/>
      </c>
      <c r="W107" s="149" t="str">
        <f>+IF(cadastro!E117="","",cadastro!E117)</f>
        <v/>
      </c>
      <c r="X107" s="150" t="str">
        <f>+CONCATENATE(IF(cadastro!C117="","","flh "),cadastro!C117,IF(OR(cadastro!C117="",cadastro!F117=""),""," - "),cadastro!F117)</f>
        <v/>
      </c>
      <c r="AH107" s="4"/>
      <c r="AI107" s="4"/>
    </row>
    <row r="108" spans="2:44" s="6" customFormat="1" ht="14.1" customHeight="1">
      <c r="B108" s="66"/>
      <c r="C108" s="67"/>
      <c r="D108" s="68" t="s">
        <v>163</v>
      </c>
      <c r="E108" s="69" t="str">
        <f>+IF(rascunho!CX11="","",rascunho!CX11)</f>
        <v/>
      </c>
      <c r="F108" s="51"/>
      <c r="G108" s="62" t="str">
        <f>+IF(H108="","",rascunho!DU11)</f>
        <v/>
      </c>
      <c r="H108" s="63" t="str">
        <f>+IF(OR(G107="",G107=0),"",G107-0.01)</f>
        <v/>
      </c>
      <c r="I108" s="64" t="str">
        <f>+IF(H108="","",rascunho!DV11)</f>
        <v/>
      </c>
      <c r="J108" s="65" t="str">
        <f>+IF(H108="","",rascunho!DW11)</f>
        <v/>
      </c>
      <c r="L108" s="461"/>
      <c r="M108" s="461"/>
      <c r="N108" s="461"/>
      <c r="O108" s="461"/>
      <c r="P108" s="461"/>
      <c r="Q108" s="461"/>
      <c r="R108" s="461"/>
      <c r="S108" s="461"/>
      <c r="U108" s="148" t="str">
        <f>+IF(cadastro!B118="","",cadastro!B118)</f>
        <v/>
      </c>
      <c r="V108" s="149" t="str">
        <f>+IF(cadastro!D118="","",cadastro!D118)</f>
        <v/>
      </c>
      <c r="W108" s="149" t="str">
        <f>+IF(cadastro!E118="","",cadastro!E118)</f>
        <v/>
      </c>
      <c r="X108" s="150" t="str">
        <f>+CONCATENATE(IF(cadastro!C118="","","flh "),cadastro!C118,IF(OR(cadastro!C118="",cadastro!F118=""),""," - "),cadastro!F118)</f>
        <v/>
      </c>
      <c r="AG108" s="4"/>
      <c r="AH108" s="5"/>
      <c r="AI108" s="5"/>
    </row>
    <row r="109" spans="2:44" s="6" customFormat="1" ht="14.1" customHeight="1">
      <c r="B109" s="66"/>
      <c r="C109" s="70"/>
      <c r="D109" s="71" t="s">
        <v>90</v>
      </c>
      <c r="E109" s="72" t="str">
        <f>+IF(rascunho!CY11="","",rascunho!CY11)</f>
        <v/>
      </c>
      <c r="F109" s="51"/>
      <c r="G109" s="62" t="str">
        <f>+IF(H109="","",rascunho!DX11)</f>
        <v/>
      </c>
      <c r="H109" s="63" t="str">
        <f>+IF(OR(G108="",G108=0),"",G108-0.01)</f>
        <v/>
      </c>
      <c r="I109" s="64" t="str">
        <f>+IF(H109="","",rascunho!DY11)</f>
        <v/>
      </c>
      <c r="J109" s="65" t="str">
        <f>+IF(H109="","",rascunho!DZ11)</f>
        <v/>
      </c>
      <c r="L109" s="479" t="str">
        <f>+rascunho!ET24</f>
        <v>- Data da distribuição: 1-ago-2001</v>
      </c>
      <c r="M109" s="479"/>
      <c r="N109" s="479"/>
      <c r="O109" s="479"/>
      <c r="P109" s="479"/>
      <c r="Q109" s="479"/>
      <c r="R109" s="479"/>
      <c r="S109" s="479"/>
      <c r="U109" s="148" t="str">
        <f>+IF(cadastro!B119="","",cadastro!B119)</f>
        <v/>
      </c>
      <c r="V109" s="149" t="str">
        <f>+IF(cadastro!D119="","",cadastro!D119)</f>
        <v/>
      </c>
      <c r="W109" s="149" t="str">
        <f>+IF(cadastro!E119="","",cadastro!E119)</f>
        <v/>
      </c>
      <c r="X109" s="150" t="str">
        <f>+CONCATENATE(IF(cadastro!C119="","","flh "),cadastro!C119,IF(OR(cadastro!C119="",cadastro!F119=""),""," - "),cadastro!F119)</f>
        <v/>
      </c>
      <c r="AG109" s="4"/>
      <c r="AH109" s="2"/>
      <c r="AI109" s="2"/>
    </row>
    <row r="110" spans="2:44" s="6" customFormat="1" ht="14.1" customHeight="1">
      <c r="B110" s="443" t="s">
        <v>152</v>
      </c>
      <c r="C110" s="443"/>
      <c r="D110" s="443"/>
      <c r="E110" s="50" t="str">
        <f>+IF(rascunho!CZ11="","",rascunho!CZ11)</f>
        <v/>
      </c>
      <c r="F110" s="51"/>
      <c r="G110" s="449" t="s">
        <v>91</v>
      </c>
      <c r="H110" s="450"/>
      <c r="I110" s="450"/>
      <c r="J110" s="451"/>
      <c r="L110" s="479" t="str">
        <f>+rascunho!ET20</f>
        <v/>
      </c>
      <c r="M110" s="479"/>
      <c r="N110" s="479"/>
      <c r="O110" s="479"/>
      <c r="P110" s="479"/>
      <c r="Q110" s="479"/>
      <c r="R110" s="479"/>
      <c r="S110" s="479"/>
      <c r="U110" s="148" t="str">
        <f>+IF(cadastro!B120="","",cadastro!B120)</f>
        <v/>
      </c>
      <c r="V110" s="149" t="str">
        <f>+IF(cadastro!D120="","",cadastro!D120)</f>
        <v/>
      </c>
      <c r="W110" s="149" t="str">
        <f>+IF(cadastro!E120="","",cadastro!E120)</f>
        <v/>
      </c>
      <c r="X110" s="150" t="str">
        <f>+CONCATENATE(IF(cadastro!C120="","","flh "),cadastro!C120,IF(OR(cadastro!C120="",cadastro!F120=""),""," - "),cadastro!F120)</f>
        <v/>
      </c>
      <c r="AG110" s="4"/>
      <c r="AH110" s="2"/>
      <c r="AI110" s="2"/>
      <c r="AL110" s="4"/>
      <c r="AM110" s="4"/>
      <c r="AN110" s="4"/>
      <c r="AO110" s="4"/>
      <c r="AP110" s="4"/>
      <c r="AQ110" s="4"/>
      <c r="AR110" s="4"/>
    </row>
    <row r="111" spans="2:44" s="6" customFormat="1" ht="14.1" customHeight="1">
      <c r="B111" s="443" t="s">
        <v>229</v>
      </c>
      <c r="C111" s="443"/>
      <c r="D111" s="443"/>
      <c r="E111" s="54" t="str">
        <f>+IF(rascunho!DA11="","",rascunho!DA11)</f>
        <v/>
      </c>
      <c r="F111" s="51"/>
      <c r="G111" s="53" t="s">
        <v>154</v>
      </c>
      <c r="H111" s="73"/>
      <c r="I111" s="73"/>
      <c r="J111" s="73"/>
      <c r="L111" s="44" t="s">
        <v>40</v>
      </c>
      <c r="M111" s="141"/>
      <c r="N111" s="141"/>
      <c r="O111" s="141"/>
      <c r="P111" s="141"/>
      <c r="Q111" s="141"/>
      <c r="R111" s="141"/>
      <c r="S111" s="142"/>
      <c r="U111" s="148" t="str">
        <f>+IF(cadastro!B121="","",cadastro!B121)</f>
        <v/>
      </c>
      <c r="V111" s="149" t="str">
        <f>+IF(cadastro!D121="","",cadastro!D121)</f>
        <v/>
      </c>
      <c r="W111" s="149" t="str">
        <f>+IF(cadastro!E121="","",cadastro!E121)</f>
        <v/>
      </c>
      <c r="X111" s="150" t="str">
        <f>+CONCATENATE(IF(cadastro!C121="","","flh "),cadastro!C121,IF(OR(cadastro!C121="",cadastro!F121=""),""," - "),cadastro!F121)</f>
        <v/>
      </c>
      <c r="Y111" s="2"/>
      <c r="AG111" s="4"/>
      <c r="AH111" s="4"/>
      <c r="AI111" s="4"/>
      <c r="AJ111" s="4"/>
      <c r="AL111" s="4"/>
      <c r="AM111" s="4"/>
      <c r="AN111" s="4"/>
      <c r="AO111" s="4"/>
      <c r="AP111" s="4"/>
      <c r="AQ111" s="4"/>
      <c r="AR111" s="4"/>
    </row>
    <row r="112" spans="2:44" s="6" customFormat="1" ht="14.1" customHeight="1">
      <c r="B112" s="443" t="s">
        <v>50</v>
      </c>
      <c r="C112" s="443"/>
      <c r="D112" s="443"/>
      <c r="E112" s="50" t="str">
        <f>+IF(rascunho!DC11="","",rascunho!DC11)</f>
        <v/>
      </c>
      <c r="F112" s="51"/>
      <c r="G112" s="53"/>
      <c r="H112" s="74"/>
      <c r="I112" s="74"/>
      <c r="J112" s="74"/>
      <c r="L112" s="461" t="str">
        <f>+IF(cadastro!I4="","",cadastro!I4)</f>
        <v/>
      </c>
      <c r="M112" s="461"/>
      <c r="N112" s="461"/>
      <c r="O112" s="461"/>
      <c r="P112" s="461"/>
      <c r="Q112" s="461"/>
      <c r="R112" s="461"/>
      <c r="S112" s="461"/>
      <c r="U112" s="148" t="str">
        <f>+IF(cadastro!B122="","",cadastro!B122)</f>
        <v/>
      </c>
      <c r="V112" s="149" t="str">
        <f>+IF(cadastro!D122="","",cadastro!D122)</f>
        <v/>
      </c>
      <c r="W112" s="149" t="str">
        <f>+IF(cadastro!E122="","",cadastro!E122)</f>
        <v/>
      </c>
      <c r="X112" s="150" t="str">
        <f>+CONCATENATE(IF(cadastro!C122="","","flh "),cadastro!C122,IF(OR(cadastro!C122="",cadastro!F122=""),""," - "),cadastro!F122)</f>
        <v/>
      </c>
      <c r="Y112" s="4"/>
      <c r="AG112" s="5"/>
      <c r="AH112" s="4"/>
      <c r="AI112" s="4"/>
      <c r="AJ112" s="4"/>
      <c r="AL112" s="4"/>
      <c r="AM112" s="4"/>
      <c r="AN112" s="4"/>
      <c r="AO112" s="4"/>
      <c r="AP112" s="4"/>
      <c r="AQ112" s="4"/>
      <c r="AR112" s="4"/>
    </row>
    <row r="113" spans="2:44" s="6" customFormat="1" ht="14.1" customHeight="1">
      <c r="B113" s="443" t="s">
        <v>153</v>
      </c>
      <c r="C113" s="443"/>
      <c r="D113" s="443"/>
      <c r="E113" s="54" t="str">
        <f>+IF(rascunho!DD11="","",rascunho!DD11)</f>
        <v/>
      </c>
      <c r="F113" s="51"/>
      <c r="G113" s="63"/>
      <c r="H113" s="63"/>
      <c r="I113" s="75"/>
      <c r="J113" s="76"/>
      <c r="L113" s="461"/>
      <c r="M113" s="461"/>
      <c r="N113" s="461"/>
      <c r="O113" s="461"/>
      <c r="P113" s="461"/>
      <c r="Q113" s="461"/>
      <c r="R113" s="461"/>
      <c r="S113" s="461"/>
      <c r="U113" s="148" t="str">
        <f>+IF(cadastro!B123="","",cadastro!B123)</f>
        <v/>
      </c>
      <c r="V113" s="149" t="str">
        <f>+IF(cadastro!D123="","",cadastro!D123)</f>
        <v/>
      </c>
      <c r="W113" s="149" t="str">
        <f>+IF(cadastro!E123="","",cadastro!E123)</f>
        <v/>
      </c>
      <c r="X113" s="150" t="str">
        <f>+CONCATENATE(IF(cadastro!C123="","","flh "),cadastro!C123,IF(OR(cadastro!C123="",cadastro!F123=""),""," - "),cadastro!F123)</f>
        <v/>
      </c>
      <c r="Y113" s="4"/>
      <c r="AG113" s="2"/>
      <c r="AH113" s="4"/>
      <c r="AI113" s="4"/>
      <c r="AJ113" s="4"/>
      <c r="AL113" s="4"/>
      <c r="AM113" s="4"/>
      <c r="AN113" s="4"/>
      <c r="AO113" s="4"/>
      <c r="AP113" s="4"/>
      <c r="AQ113" s="4"/>
      <c r="AR113" s="4"/>
    </row>
    <row r="114" spans="2:44" s="6" customFormat="1" ht="14.1" customHeight="1">
      <c r="B114" s="443" t="str">
        <f>+CONCATENATE("IMPOSTO A ",rascunho!DI11,"(=):")</f>
        <v>IMPOSTO A (=):</v>
      </c>
      <c r="C114" s="443"/>
      <c r="D114" s="443"/>
      <c r="E114" s="50" t="str">
        <f>+IF(rascunho!DH11="","",ABS(rascunho!DH11))</f>
        <v/>
      </c>
      <c r="F114" s="51"/>
      <c r="G114" s="74"/>
      <c r="H114" s="74"/>
      <c r="I114" s="74"/>
      <c r="J114" s="74"/>
      <c r="L114" s="461"/>
      <c r="M114" s="461"/>
      <c r="N114" s="461"/>
      <c r="O114" s="461"/>
      <c r="P114" s="461"/>
      <c r="Q114" s="461"/>
      <c r="R114" s="461"/>
      <c r="S114" s="461"/>
      <c r="U114" s="148" t="str">
        <f>+IF(cadastro!B124="","",cadastro!B124)</f>
        <v/>
      </c>
      <c r="V114" s="149" t="str">
        <f>+IF(cadastro!D124="","",cadastro!D124)</f>
        <v/>
      </c>
      <c r="W114" s="149" t="str">
        <f>+IF(cadastro!E124="","",cadastro!E124)</f>
        <v/>
      </c>
      <c r="X114" s="150" t="str">
        <f>+CONCATENATE(IF(cadastro!C124="","","flh "),cadastro!C124,IF(OR(cadastro!C124="",cadastro!F124=""),""," - "),cadastro!F124)</f>
        <v/>
      </c>
      <c r="Y114" s="4"/>
      <c r="Z114" s="4"/>
      <c r="AA114" s="4"/>
      <c r="AB114" s="4"/>
      <c r="AC114" s="4"/>
      <c r="AD114" s="4"/>
      <c r="AE114" s="4"/>
      <c r="AF114" s="4"/>
      <c r="AG114" s="2"/>
      <c r="AH114" s="4"/>
      <c r="AI114" s="4"/>
      <c r="AJ114" s="4"/>
      <c r="AL114" s="5"/>
      <c r="AM114" s="5"/>
      <c r="AN114" s="5"/>
      <c r="AO114" s="5"/>
      <c r="AP114" s="5"/>
      <c r="AQ114" s="5"/>
      <c r="AR114" s="5"/>
    </row>
    <row r="115" spans="2:44" s="6" customFormat="1" ht="14.1" customHeight="1">
      <c r="B115" s="443" t="str">
        <f>+CONCATENATE("(*)IMPOSTO A ",rascunho!DG11," EFETUADO:")</f>
        <v>(*)IMPOSTO A  EFETUADO:</v>
      </c>
      <c r="C115" s="443"/>
      <c r="D115" s="443"/>
      <c r="E115" s="54" t="str">
        <f>+IF(rascunho!DE11="","",ABS(rascunho!DE11))</f>
        <v/>
      </c>
      <c r="F115" s="51"/>
      <c r="G115" s="47"/>
      <c r="H115" s="43"/>
      <c r="I115" s="444" t="str">
        <f>+IF(AND(I102&gt;1991,I102&lt;1995),"(em moeda)","")</f>
        <v/>
      </c>
      <c r="J115" s="444"/>
      <c r="L115" s="461"/>
      <c r="M115" s="461"/>
      <c r="N115" s="461"/>
      <c r="O115" s="461"/>
      <c r="P115" s="461"/>
      <c r="Q115" s="461"/>
      <c r="R115" s="461"/>
      <c r="S115" s="461"/>
      <c r="U115" s="148" t="str">
        <f>+IF(cadastro!B125="","",cadastro!B125)</f>
        <v/>
      </c>
      <c r="V115" s="149" t="str">
        <f>+IF(cadastro!D125="","",cadastro!D125)</f>
        <v/>
      </c>
      <c r="W115" s="149" t="str">
        <f>+IF(cadastro!E125="","",cadastro!E125)</f>
        <v/>
      </c>
      <c r="X115" s="150" t="str">
        <f>+CONCATENATE(IF(cadastro!C125="","","flh "),cadastro!C125,IF(OR(cadastro!C125="",cadastro!F125=""),""," - "),cadastro!F125)</f>
        <v/>
      </c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5"/>
    </row>
    <row r="116" spans="2:44" s="6" customFormat="1" ht="14.1" customHeight="1">
      <c r="B116" s="455" t="s">
        <v>32</v>
      </c>
      <c r="C116" s="455"/>
      <c r="D116" s="455"/>
      <c r="E116" s="79" t="str">
        <f>+IF(rascunho!EC11="","",-rascunho!EC11)</f>
        <v/>
      </c>
      <c r="F116" s="80"/>
      <c r="G116" s="81" t="str">
        <f>+IF(AND(I102&gt;=1992,I102&lt;1995),"(em UFIR)","")</f>
        <v/>
      </c>
      <c r="H116" s="81"/>
      <c r="I116" s="445" t="str">
        <f>+IF(AND(I102&gt;1991,I102&lt;1995),ABS(rascunho!EF11),"")</f>
        <v/>
      </c>
      <c r="J116" s="445"/>
      <c r="L116" s="114"/>
      <c r="M116" s="114"/>
      <c r="N116" s="114"/>
      <c r="O116" s="114"/>
      <c r="P116" s="114"/>
      <c r="Q116" s="114"/>
      <c r="R116" s="114"/>
      <c r="S116" s="114"/>
      <c r="U116" s="151"/>
      <c r="V116" s="152"/>
      <c r="W116" s="152"/>
      <c r="X116" s="156"/>
      <c r="Y116" s="5"/>
      <c r="Z116" s="4"/>
      <c r="AA116" s="4"/>
      <c r="AB116" s="4"/>
      <c r="AC116" s="4"/>
      <c r="AD116" s="4"/>
      <c r="AE116" s="4"/>
      <c r="AF116" s="4"/>
      <c r="AG116" s="4"/>
      <c r="AH116" s="5"/>
      <c r="AI116" s="5"/>
      <c r="AL116" s="4"/>
      <c r="AM116" s="4"/>
      <c r="AN116" s="4"/>
      <c r="AO116" s="4"/>
      <c r="AP116" s="4"/>
      <c r="AQ116" s="4"/>
      <c r="AR116" s="4"/>
    </row>
    <row r="117" spans="2:44" s="6" customFormat="1" ht="9.9499999999999993" customHeight="1">
      <c r="B117" s="82"/>
      <c r="C117" s="82"/>
      <c r="D117" s="82"/>
      <c r="E117" s="82"/>
      <c r="F117" s="83"/>
      <c r="G117" s="482" t="str">
        <f>+CONCATENATE(B9," - PÁGINA 2 de ",calculo!AF16)</f>
        <v>CÁLCULO DA(S) DECLARAÇÃO(ÕES) - PÁGINA 2 de 1</v>
      </c>
      <c r="H117" s="482"/>
      <c r="I117" s="482"/>
      <c r="J117" s="482"/>
      <c r="L117" s="82"/>
      <c r="M117" s="82"/>
      <c r="N117" s="115"/>
      <c r="O117" s="116"/>
      <c r="P117" s="117"/>
      <c r="Q117" s="115"/>
      <c r="R117" s="115"/>
      <c r="S117" s="118" t="str">
        <f>+CONCATENATE("CÁLCULO DAS PARCELAS DEVIDAS"," - PAGINA 1 de 1")</f>
        <v>CÁLCULO DAS PARCELAS DEVIDAS - PAGINA 1 de 1</v>
      </c>
      <c r="U117" s="82"/>
      <c r="V117" s="82"/>
      <c r="W117" s="82"/>
      <c r="X117" s="118" t="str">
        <f>+CONCATENATE(U9," - PAGINA 2 de ",calculo!AK15)</f>
        <v>RELATÓRIO DOS VALORES ACRESCIDOS OU RETIRADOS DA BASE DE CÁLCULO - PAGINA 2 de 1</v>
      </c>
      <c r="Z117" s="4"/>
      <c r="AA117" s="4"/>
      <c r="AB117" s="4"/>
      <c r="AC117" s="4"/>
      <c r="AD117" s="4"/>
      <c r="AE117" s="4"/>
      <c r="AF117" s="4"/>
      <c r="AG117" s="4"/>
      <c r="AJ117" s="4"/>
      <c r="AL117" s="4"/>
      <c r="AM117" s="4"/>
      <c r="AN117" s="4"/>
      <c r="AO117" s="4"/>
      <c r="AP117" s="4"/>
      <c r="AQ117" s="4"/>
      <c r="AR117" s="4"/>
    </row>
    <row r="118" spans="2:44" s="6" customFormat="1" ht="9.9499999999999993" customHeight="1">
      <c r="B118" s="82" t="str">
        <f>+B59</f>
        <v>PCIRA - VERSÃO: 9.0.4.2007-2024</v>
      </c>
      <c r="C118" s="82"/>
      <c r="D118" s="82"/>
      <c r="E118" s="82"/>
      <c r="F118" s="83"/>
      <c r="G118" s="83"/>
      <c r="H118" s="84"/>
      <c r="I118" s="83"/>
      <c r="J118" s="85" t="str">
        <f ca="1">+CONCATENATE("EMITIDO EM: ",TEXT(NOW(),"d-mm-aaaa"))</f>
        <v>EMITIDO EM: 16-09-2026</v>
      </c>
      <c r="L118" s="82" t="str">
        <f>+B118</f>
        <v>PCIRA - VERSÃO: 9.0.4.2007-2024</v>
      </c>
      <c r="M118" s="82"/>
      <c r="N118" s="115"/>
      <c r="O118" s="82"/>
      <c r="P118" s="119"/>
      <c r="Q118" s="115"/>
      <c r="R118" s="115"/>
      <c r="S118" s="120" t="str">
        <f ca="1">+J118</f>
        <v>EMITIDO EM: 16-09-2026</v>
      </c>
      <c r="U118" s="82" t="str">
        <f>+L118</f>
        <v>PCIRA - VERSÃO: 9.0.4.2007-2024</v>
      </c>
      <c r="V118" s="82"/>
      <c r="W118" s="82"/>
      <c r="X118" s="120"/>
      <c r="Z118" s="5"/>
      <c r="AA118" s="5"/>
      <c r="AB118" s="5"/>
      <c r="AC118" s="5"/>
      <c r="AD118" s="5"/>
      <c r="AE118" s="5"/>
      <c r="AF118" s="5"/>
      <c r="AG118" s="4"/>
      <c r="AJ118" s="4"/>
      <c r="AL118" s="4"/>
      <c r="AM118" s="4"/>
      <c r="AN118" s="4"/>
      <c r="AO118" s="4"/>
      <c r="AP118" s="4"/>
      <c r="AQ118" s="4"/>
      <c r="AR118" s="4"/>
    </row>
    <row r="119" spans="2:44" s="6" customFormat="1" ht="9.9499999999999993" customHeight="1">
      <c r="B119" s="82" t="str">
        <f>+B60</f>
        <v>SJRJ - DCAL</v>
      </c>
      <c r="C119" s="82"/>
      <c r="D119" s="82"/>
      <c r="E119" s="82"/>
      <c r="F119" s="83"/>
      <c r="G119" s="83"/>
      <c r="H119" s="84"/>
      <c r="I119" s="83"/>
      <c r="J119" s="86"/>
      <c r="L119" s="82" t="str">
        <f>+B119</f>
        <v>SJRJ - DCAL</v>
      </c>
      <c r="M119" s="82"/>
      <c r="N119" s="115"/>
      <c r="O119" s="82"/>
      <c r="P119" s="119"/>
      <c r="Q119" s="115"/>
      <c r="R119" s="115"/>
      <c r="S119" s="120"/>
      <c r="U119" s="82" t="str">
        <f>+L119</f>
        <v>SJRJ - DCAL</v>
      </c>
      <c r="V119" s="82"/>
      <c r="W119" s="82"/>
      <c r="X119" s="115"/>
      <c r="AG119" s="4"/>
      <c r="AJ119" s="4"/>
      <c r="AL119" s="4"/>
      <c r="AM119" s="4"/>
      <c r="AN119" s="4"/>
      <c r="AO119" s="4"/>
      <c r="AP119" s="4"/>
      <c r="AQ119" s="4"/>
      <c r="AR119" s="4"/>
    </row>
    <row r="120" spans="2:44" s="6" customFormat="1" ht="9.9499999999999993" customHeight="1">
      <c r="B120" s="2"/>
      <c r="C120" s="2"/>
      <c r="D120" s="2"/>
      <c r="E120" s="2"/>
      <c r="F120" s="2"/>
      <c r="G120" s="2"/>
      <c r="H120" s="7"/>
      <c r="I120" s="2"/>
      <c r="J120" s="2"/>
      <c r="L120" s="2"/>
      <c r="M120" s="2"/>
      <c r="N120" s="2"/>
      <c r="O120" s="2"/>
      <c r="P120" s="2"/>
      <c r="Q120" s="7"/>
      <c r="R120" s="2"/>
      <c r="S120" s="2"/>
      <c r="U120" s="2"/>
      <c r="V120" s="2"/>
      <c r="W120" s="2"/>
      <c r="X120" s="2"/>
      <c r="Z120" s="4"/>
      <c r="AA120" s="4"/>
      <c r="AB120" s="4"/>
      <c r="AC120" s="4"/>
      <c r="AD120" s="4"/>
      <c r="AE120" s="4"/>
      <c r="AF120" s="4"/>
      <c r="AG120" s="5"/>
      <c r="AJ120" s="4"/>
      <c r="AL120" s="5"/>
      <c r="AM120" s="5"/>
      <c r="AN120" s="5"/>
      <c r="AO120" s="5"/>
      <c r="AP120" s="5"/>
      <c r="AQ120" s="5"/>
      <c r="AR120" s="5"/>
    </row>
    <row r="121" spans="2:44" s="4" customFormat="1" ht="18" customHeight="1">
      <c r="B121" s="348"/>
      <c r="C121" s="442" t="s">
        <v>250</v>
      </c>
      <c r="D121" s="442"/>
      <c r="E121" s="442"/>
      <c r="F121" s="442"/>
      <c r="G121" s="442"/>
      <c r="H121" s="442"/>
      <c r="I121" s="442"/>
      <c r="J121" s="442"/>
      <c r="M121" s="2"/>
      <c r="N121" s="2"/>
      <c r="O121" s="2"/>
      <c r="P121" s="2"/>
      <c r="Q121" s="2"/>
      <c r="R121" s="2"/>
      <c r="S121" s="2"/>
      <c r="T121" s="2"/>
      <c r="U121" s="434" t="s">
        <v>250</v>
      </c>
      <c r="V121" s="434"/>
      <c r="W121" s="434"/>
      <c r="X121" s="434"/>
      <c r="Y121" s="6"/>
      <c r="AG121" s="6"/>
      <c r="AH121" s="6"/>
      <c r="AI121" s="6"/>
      <c r="AJ121" s="5"/>
      <c r="AL121" s="2"/>
      <c r="AM121" s="2"/>
      <c r="AN121" s="2"/>
      <c r="AO121" s="2"/>
      <c r="AP121" s="2"/>
      <c r="AQ121" s="2"/>
      <c r="AR121" s="2"/>
    </row>
    <row r="122" spans="2:44" s="4" customFormat="1" ht="18" customHeight="1">
      <c r="B122" s="348"/>
      <c r="C122" s="442" t="s">
        <v>310</v>
      </c>
      <c r="D122" s="442"/>
      <c r="E122" s="442"/>
      <c r="F122" s="442"/>
      <c r="G122" s="442"/>
      <c r="H122" s="442"/>
      <c r="I122" s="442"/>
      <c r="J122" s="442"/>
      <c r="M122" s="2"/>
      <c r="N122" s="2"/>
      <c r="O122" s="2"/>
      <c r="P122" s="2"/>
      <c r="Q122" s="2"/>
      <c r="R122" s="2"/>
      <c r="S122" s="2"/>
      <c r="T122" s="2"/>
      <c r="U122" s="434" t="s">
        <v>310</v>
      </c>
      <c r="V122" s="434"/>
      <c r="W122" s="434"/>
      <c r="X122" s="434"/>
      <c r="Y122" s="6"/>
      <c r="Z122" s="5"/>
      <c r="AG122" s="6"/>
      <c r="AH122" s="6"/>
      <c r="AI122" s="6"/>
      <c r="AJ122" s="2"/>
      <c r="AL122" s="2"/>
      <c r="AM122" s="2"/>
      <c r="AN122" s="2"/>
      <c r="AO122" s="2"/>
      <c r="AP122" s="2"/>
      <c r="AQ122" s="2"/>
      <c r="AR122" s="2"/>
    </row>
    <row r="123" spans="2:44" s="4" customFormat="1" ht="18" customHeight="1">
      <c r="B123" s="348"/>
      <c r="C123" s="442" t="s">
        <v>252</v>
      </c>
      <c r="D123" s="442"/>
      <c r="E123" s="442"/>
      <c r="F123" s="442"/>
      <c r="G123" s="442"/>
      <c r="H123" s="442"/>
      <c r="I123" s="442"/>
      <c r="J123" s="442"/>
      <c r="L123" s="2"/>
      <c r="M123" s="2"/>
      <c r="N123" s="2"/>
      <c r="O123" s="2"/>
      <c r="P123" s="2"/>
      <c r="Q123" s="2"/>
      <c r="R123" s="2"/>
      <c r="S123" s="2"/>
      <c r="T123" s="2"/>
      <c r="U123" s="434" t="s">
        <v>252</v>
      </c>
      <c r="V123" s="434"/>
      <c r="W123" s="434"/>
      <c r="X123" s="434"/>
      <c r="Y123" s="6"/>
      <c r="Z123" s="2"/>
      <c r="AA123" s="5"/>
      <c r="AG123" s="6"/>
      <c r="AH123" s="6"/>
      <c r="AI123" s="6"/>
      <c r="AJ123" s="2"/>
    </row>
    <row r="124" spans="2:44" s="4" customFormat="1" ht="18" customHeight="1">
      <c r="B124" s="349"/>
      <c r="C124" s="446" t="s">
        <v>311</v>
      </c>
      <c r="D124" s="446"/>
      <c r="E124" s="446"/>
      <c r="F124" s="446"/>
      <c r="G124" s="446"/>
      <c r="H124" s="446"/>
      <c r="I124" s="446"/>
      <c r="J124" s="446"/>
      <c r="L124" s="2"/>
      <c r="M124" s="2"/>
      <c r="N124" s="2"/>
      <c r="O124" s="2"/>
      <c r="P124" s="2"/>
      <c r="Q124" s="2"/>
      <c r="R124" s="2"/>
      <c r="S124" s="2"/>
      <c r="T124" s="2"/>
      <c r="U124" s="435" t="s">
        <v>311</v>
      </c>
      <c r="V124" s="435"/>
      <c r="W124" s="435"/>
      <c r="X124" s="435"/>
      <c r="Y124" s="6"/>
      <c r="Z124" s="2"/>
      <c r="AA124" s="2"/>
      <c r="AB124" s="5"/>
      <c r="AC124" s="5"/>
      <c r="AD124" s="5"/>
      <c r="AE124" s="5"/>
      <c r="AF124" s="5"/>
      <c r="AG124" s="6"/>
      <c r="AH124" s="6"/>
      <c r="AI124" s="6"/>
    </row>
    <row r="125" spans="2:44" s="5" customFormat="1" ht="7.5" customHeight="1">
      <c r="B125" s="436" t="s">
        <v>0</v>
      </c>
      <c r="C125" s="438"/>
      <c r="D125" s="436" t="s">
        <v>1</v>
      </c>
      <c r="E125" s="437"/>
      <c r="F125" s="437"/>
      <c r="G125" s="437"/>
      <c r="H125" s="437"/>
      <c r="I125" s="437"/>
      <c r="J125" s="438"/>
      <c r="L125" s="2"/>
      <c r="M125" s="2"/>
      <c r="N125" s="2"/>
      <c r="O125" s="2"/>
      <c r="P125" s="2"/>
      <c r="Q125" s="2"/>
      <c r="R125" s="2"/>
      <c r="S125" s="2"/>
      <c r="T125" s="2"/>
      <c r="U125" s="143" t="s">
        <v>0</v>
      </c>
      <c r="V125" s="436" t="s">
        <v>1</v>
      </c>
      <c r="W125" s="437"/>
      <c r="X125" s="438"/>
      <c r="Y125" s="6"/>
      <c r="Z125" s="4"/>
      <c r="AA125" s="2"/>
      <c r="AB125" s="2"/>
      <c r="AC125" s="2"/>
      <c r="AD125" s="2"/>
      <c r="AE125" s="2"/>
      <c r="AF125" s="2"/>
      <c r="AG125" s="6"/>
      <c r="AH125" s="6"/>
      <c r="AI125" s="6"/>
      <c r="AJ125" s="4"/>
      <c r="AL125" s="4"/>
      <c r="AM125" s="4"/>
      <c r="AN125" s="4"/>
      <c r="AO125" s="4"/>
      <c r="AP125" s="4"/>
      <c r="AQ125" s="4"/>
      <c r="AR125" s="4"/>
    </row>
    <row r="126" spans="2:44" s="6" customFormat="1" ht="14.1" customHeight="1">
      <c r="B126" s="452" t="str">
        <f>+B8</f>
        <v/>
      </c>
      <c r="C126" s="453"/>
      <c r="D126" s="439" t="str">
        <f>+D8</f>
        <v/>
      </c>
      <c r="E126" s="440"/>
      <c r="F126" s="440"/>
      <c r="G126" s="440"/>
      <c r="H126" s="440"/>
      <c r="I126" s="440"/>
      <c r="J126" s="441"/>
      <c r="L126" s="2"/>
      <c r="M126" s="2"/>
      <c r="N126" s="2"/>
      <c r="O126" s="2"/>
      <c r="P126" s="2"/>
      <c r="Q126" s="2"/>
      <c r="R126" s="2"/>
      <c r="S126" s="2"/>
      <c r="T126" s="2"/>
      <c r="U126" s="144" t="str">
        <f>+B8</f>
        <v/>
      </c>
      <c r="V126" s="439">
        <f>+V67</f>
        <v>0</v>
      </c>
      <c r="W126" s="440"/>
      <c r="X126" s="441"/>
      <c r="Z126" s="4"/>
      <c r="AA126" s="4"/>
      <c r="AB126" s="2"/>
      <c r="AC126" s="2"/>
      <c r="AD126" s="2"/>
      <c r="AE126" s="2"/>
      <c r="AF126" s="2"/>
      <c r="AJ126" s="4"/>
      <c r="AL126" s="4"/>
      <c r="AM126" s="4"/>
      <c r="AN126" s="4"/>
      <c r="AO126" s="4"/>
      <c r="AP126" s="4"/>
      <c r="AQ126" s="4"/>
      <c r="AR126" s="4"/>
    </row>
    <row r="127" spans="2:44" s="4" customFormat="1" ht="14.1" customHeight="1">
      <c r="B127" s="44" t="s">
        <v>194</v>
      </c>
      <c r="C127" s="45"/>
      <c r="D127" s="45"/>
      <c r="E127" s="45"/>
      <c r="F127" s="45"/>
      <c r="G127" s="45"/>
      <c r="H127" s="45"/>
      <c r="I127" s="45"/>
      <c r="J127" s="45"/>
      <c r="K127" s="5"/>
      <c r="L127" s="2"/>
      <c r="M127" s="2"/>
      <c r="N127" s="2"/>
      <c r="O127" s="2"/>
      <c r="P127" s="2"/>
      <c r="Q127" s="2"/>
      <c r="R127" s="2"/>
      <c r="S127" s="2"/>
      <c r="T127" s="2"/>
      <c r="U127" s="157" t="s">
        <v>155</v>
      </c>
      <c r="V127" s="146"/>
      <c r="W127" s="146"/>
      <c r="X127" s="147"/>
      <c r="Y127" s="6"/>
      <c r="AG127" s="6"/>
      <c r="AH127" s="6"/>
      <c r="AI127" s="6"/>
    </row>
    <row r="128" spans="2:44" s="4" customFormat="1" ht="14.1" customHeight="1">
      <c r="B128" s="46"/>
      <c r="C128" s="46"/>
      <c r="D128" s="45"/>
      <c r="E128" s="47"/>
      <c r="F128" s="47"/>
      <c r="G128" s="47"/>
      <c r="H128" s="48"/>
      <c r="I128" s="49"/>
      <c r="J128" s="49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432" t="s">
        <v>16</v>
      </c>
      <c r="V128" s="460" t="s">
        <v>157</v>
      </c>
      <c r="W128" s="460" t="s">
        <v>156</v>
      </c>
      <c r="X128" s="432" t="s">
        <v>30</v>
      </c>
      <c r="Y128" s="6"/>
      <c r="AG128" s="6"/>
      <c r="AH128" s="6"/>
      <c r="AI128" s="6"/>
      <c r="AL128" s="5"/>
      <c r="AM128" s="5"/>
      <c r="AN128" s="5"/>
      <c r="AO128" s="5"/>
      <c r="AP128" s="5"/>
      <c r="AQ128" s="5"/>
      <c r="AR128" s="5"/>
    </row>
    <row r="129" spans="1:44" s="4" customFormat="1" ht="14.1" customHeight="1">
      <c r="A129" s="2"/>
      <c r="B129" s="443" t="s">
        <v>150</v>
      </c>
      <c r="C129" s="443"/>
      <c r="D129" s="443"/>
      <c r="E129" s="50" t="str">
        <f>+IF(rascunho!CM12="","",rascunho!CM12)</f>
        <v/>
      </c>
      <c r="F129" s="51"/>
      <c r="G129" s="448" t="s">
        <v>23</v>
      </c>
      <c r="H129" s="448"/>
      <c r="I129" s="52" t="str">
        <f>+IF(rascunho!CJ12="","",rascunho!CJ12)</f>
        <v/>
      </c>
      <c r="J129" s="53"/>
      <c r="K129" s="6"/>
      <c r="L129" s="2"/>
      <c r="M129" s="2"/>
      <c r="N129" s="2"/>
      <c r="O129" s="2"/>
      <c r="P129" s="2"/>
      <c r="Q129" s="2"/>
      <c r="R129" s="2"/>
      <c r="S129" s="2"/>
      <c r="T129" s="2"/>
      <c r="U129" s="433"/>
      <c r="V129" s="433"/>
      <c r="W129" s="433"/>
      <c r="X129" s="433"/>
      <c r="Y129" s="6"/>
      <c r="AG129" s="6"/>
      <c r="AH129" s="6"/>
      <c r="AI129" s="6"/>
      <c r="AJ129" s="5"/>
      <c r="AL129" s="6"/>
      <c r="AM129" s="6"/>
      <c r="AN129" s="6"/>
      <c r="AO129" s="6"/>
      <c r="AP129" s="6"/>
      <c r="AQ129" s="6"/>
      <c r="AR129" s="6"/>
    </row>
    <row r="130" spans="1:44" s="4" customFormat="1" ht="14.1" customHeight="1">
      <c r="A130" s="5"/>
      <c r="B130" s="443" t="s">
        <v>87</v>
      </c>
      <c r="C130" s="443"/>
      <c r="D130" s="443" t="s">
        <v>24</v>
      </c>
      <c r="E130" s="50" t="str">
        <f>+IF(rascunho!CN12="","",rascunho!CN12)</f>
        <v/>
      </c>
      <c r="F130" s="51"/>
      <c r="G130" s="456" t="str">
        <f>+CONCATENATE("TIPO DE DECLARAÇÃO: ",rascunho!CL12)</f>
        <v xml:space="preserve">TIPO DE DECLARAÇÃO: </v>
      </c>
      <c r="H130" s="456"/>
      <c r="I130" s="456"/>
      <c r="J130" s="456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148" t="str">
        <f>+IF(cadastro!B126="","",cadastro!B126)</f>
        <v/>
      </c>
      <c r="V130" s="149" t="str">
        <f>+IF(cadastro!D126="","",cadastro!D126)</f>
        <v/>
      </c>
      <c r="W130" s="149" t="str">
        <f>+IF(cadastro!E126="","",cadastro!E126)</f>
        <v/>
      </c>
      <c r="X130" s="150" t="str">
        <f>+CONCATENATE(IF(cadastro!C126="","","flh "),cadastro!C126,IF(OR(cadastro!C126="",cadastro!F126=""),""," - "),cadastro!F126)</f>
        <v/>
      </c>
      <c r="Y130" s="6"/>
      <c r="Z130" s="5"/>
      <c r="AG130" s="6"/>
      <c r="AH130" s="6"/>
      <c r="AI130" s="6"/>
      <c r="AJ130" s="6"/>
      <c r="AL130" s="6"/>
      <c r="AM130" s="6"/>
      <c r="AN130" s="6"/>
      <c r="AO130" s="6"/>
      <c r="AP130" s="6"/>
      <c r="AQ130" s="6"/>
      <c r="AR130" s="6"/>
    </row>
    <row r="131" spans="1:44" s="5" customFormat="1" ht="14.1" customHeight="1">
      <c r="A131" s="4"/>
      <c r="B131" s="443" t="s">
        <v>86</v>
      </c>
      <c r="C131" s="443"/>
      <c r="D131" s="443" t="s">
        <v>24</v>
      </c>
      <c r="E131" s="54" t="str">
        <f>+IF(rascunho!CO12="","",rascunho!CO12)</f>
        <v/>
      </c>
      <c r="F131" s="51"/>
      <c r="G131" s="55" t="s">
        <v>2</v>
      </c>
      <c r="H131" s="56" t="s">
        <v>3</v>
      </c>
      <c r="I131" s="56" t="s">
        <v>14</v>
      </c>
      <c r="J131" s="57" t="s">
        <v>4</v>
      </c>
      <c r="K131" s="4"/>
      <c r="L131" s="2"/>
      <c r="M131" s="2"/>
      <c r="N131" s="2"/>
      <c r="O131" s="2"/>
      <c r="P131" s="2"/>
      <c r="Q131" s="2"/>
      <c r="R131" s="2"/>
      <c r="S131" s="2"/>
      <c r="T131" s="2"/>
      <c r="U131" s="148" t="str">
        <f>+IF(cadastro!B127="","",cadastro!B127)</f>
        <v/>
      </c>
      <c r="V131" s="149" t="str">
        <f>+IF(cadastro!D127="","",cadastro!D127)</f>
        <v/>
      </c>
      <c r="W131" s="149" t="str">
        <f>+IF(cadastro!E127="","",cadastro!E127)</f>
        <v/>
      </c>
      <c r="X131" s="150" t="str">
        <f>+CONCATENATE(IF(cadastro!C127="","","flh "),cadastro!C127,IF(OR(cadastro!C127="",cadastro!F127=""),""," - "),cadastro!F127)</f>
        <v/>
      </c>
      <c r="Y131" s="6"/>
      <c r="Z131" s="6"/>
      <c r="AB131" s="4"/>
      <c r="AC131" s="4"/>
      <c r="AD131" s="4"/>
      <c r="AE131" s="4"/>
      <c r="AF131" s="4"/>
      <c r="AG131" s="6"/>
      <c r="AH131" s="6"/>
      <c r="AI131" s="6"/>
      <c r="AJ131" s="6"/>
      <c r="AL131" s="6"/>
      <c r="AM131" s="6"/>
      <c r="AN131" s="6"/>
      <c r="AO131" s="6"/>
      <c r="AP131" s="6"/>
      <c r="AQ131" s="6"/>
      <c r="AR131" s="6"/>
    </row>
    <row r="132" spans="1:44" ht="14.1" customHeight="1">
      <c r="A132" s="6"/>
      <c r="B132" s="443" t="s">
        <v>89</v>
      </c>
      <c r="C132" s="443"/>
      <c r="D132" s="443"/>
      <c r="E132" s="50" t="str">
        <f>+IF(rascunho!CQ12="","",rascunho!CQ12)</f>
        <v/>
      </c>
      <c r="F132" s="51"/>
      <c r="G132" s="58" t="str">
        <f>+IF(rascunho!DL12="","",rascunho!DL12)</f>
        <v/>
      </c>
      <c r="H132" s="59" t="s">
        <v>5</v>
      </c>
      <c r="I132" s="60" t="str">
        <f>+IF(rascunho!DM12="","",rascunho!DM12)</f>
        <v/>
      </c>
      <c r="J132" s="61" t="str">
        <f>+IF(rascunho!DN12="","",rascunho!DN12)</f>
        <v/>
      </c>
      <c r="K132" s="4"/>
      <c r="U132" s="148" t="str">
        <f>+IF(cadastro!B128="","",cadastro!B128)</f>
        <v/>
      </c>
      <c r="V132" s="149" t="str">
        <f>+IF(cadastro!D128="","",cadastro!D128)</f>
        <v/>
      </c>
      <c r="W132" s="149" t="str">
        <f>+IF(cadastro!E128="","",cadastro!E128)</f>
        <v/>
      </c>
      <c r="X132" s="150" t="str">
        <f>+CONCATENATE(IF(cadastro!C128="","","flh "),cadastro!C128,IF(OR(cadastro!C128="",cadastro!F128=""),""," - "),cadastro!F128)</f>
        <v/>
      </c>
      <c r="Y132" s="6"/>
      <c r="Z132" s="6"/>
      <c r="AA132" s="6"/>
      <c r="AB132" s="5"/>
      <c r="AC132" s="5"/>
      <c r="AD132" s="5"/>
      <c r="AE132" s="5"/>
      <c r="AF132" s="5"/>
      <c r="AG132" s="6"/>
      <c r="AH132" s="6"/>
      <c r="AI132" s="6"/>
      <c r="AJ132" s="6"/>
      <c r="AL132" s="6"/>
      <c r="AM132" s="6"/>
      <c r="AN132" s="6"/>
      <c r="AO132" s="6"/>
      <c r="AP132" s="6"/>
      <c r="AQ132" s="6"/>
      <c r="AR132" s="6"/>
    </row>
    <row r="133" spans="1:44" ht="14.1" customHeight="1">
      <c r="A133" s="5"/>
      <c r="B133" s="443" t="s">
        <v>151</v>
      </c>
      <c r="C133" s="443"/>
      <c r="D133" s="443"/>
      <c r="E133" s="54" t="str">
        <f>+IF(rascunho!CS12="","",rascunho!CS12)</f>
        <v/>
      </c>
      <c r="F133" s="51"/>
      <c r="G133" s="62" t="str">
        <f>+IF(H133="","",rascunho!DO12)</f>
        <v/>
      </c>
      <c r="H133" s="63" t="str">
        <f>+IF(G132="","",G132-0.01)</f>
        <v/>
      </c>
      <c r="I133" s="64" t="str">
        <f>+IF(H133="","",rascunho!DP12)</f>
        <v/>
      </c>
      <c r="J133" s="65" t="str">
        <f>+IF(H133="","",rascunho!DQ12)</f>
        <v/>
      </c>
      <c r="K133" s="4"/>
      <c r="U133" s="148" t="str">
        <f>+IF(cadastro!B129="","",cadastro!B129)</f>
        <v/>
      </c>
      <c r="V133" s="149" t="str">
        <f>+IF(cadastro!D129="","",cadastro!D129)</f>
        <v/>
      </c>
      <c r="W133" s="149" t="str">
        <f>+IF(cadastro!E129="","",cadastro!E129)</f>
        <v/>
      </c>
      <c r="X133" s="150" t="str">
        <f>+CONCATENATE(IF(cadastro!C129="","","flh "),cadastro!C129,IF(OR(cadastro!C129="",cadastro!F129=""),""," - "),cadastro!F129)</f>
        <v/>
      </c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L133" s="6"/>
      <c r="AM133" s="6"/>
      <c r="AN133" s="6"/>
      <c r="AO133" s="6"/>
      <c r="AP133" s="6"/>
      <c r="AQ133" s="6"/>
      <c r="AR133" s="6"/>
    </row>
    <row r="134" spans="1:44" s="4" customFormat="1" ht="14.1" customHeight="1">
      <c r="A134" s="6"/>
      <c r="B134" s="443" t="s">
        <v>142</v>
      </c>
      <c r="C134" s="443"/>
      <c r="D134" s="443" t="s">
        <v>25</v>
      </c>
      <c r="E134" s="50" t="str">
        <f>+IF(rascunho!CU12="","",rascunho!CU12)</f>
        <v/>
      </c>
      <c r="F134" s="51"/>
      <c r="G134" s="62" t="str">
        <f>+IF(H134="","",rascunho!DR12)</f>
        <v/>
      </c>
      <c r="H134" s="63" t="str">
        <f>+IF(G133="","",G133-0.01)</f>
        <v/>
      </c>
      <c r="I134" s="64" t="str">
        <f>+IF(H134="","",rascunho!DS12)</f>
        <v/>
      </c>
      <c r="J134" s="65" t="str">
        <f>+IF(H134="","",rascunho!DT12)</f>
        <v/>
      </c>
      <c r="L134" s="2"/>
      <c r="M134" s="2"/>
      <c r="N134" s="2"/>
      <c r="O134" s="2"/>
      <c r="P134" s="2"/>
      <c r="Q134" s="2"/>
      <c r="R134" s="2"/>
      <c r="S134" s="2"/>
      <c r="T134" s="2"/>
      <c r="U134" s="148" t="str">
        <f>+IF(cadastro!B130="","",cadastro!B130)</f>
        <v/>
      </c>
      <c r="V134" s="149" t="str">
        <f>+IF(cadastro!D130="","",cadastro!D130)</f>
        <v/>
      </c>
      <c r="W134" s="149" t="str">
        <f>+IF(cadastro!E130="","",cadastro!E130)</f>
        <v/>
      </c>
      <c r="X134" s="150" t="str">
        <f>+CONCATENATE(IF(cadastro!C130="","","flh "),cadastro!C130,IF(OR(cadastro!C130="",cadastro!F130=""),""," - "),cadastro!F130)</f>
        <v/>
      </c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L134" s="6"/>
      <c r="AM134" s="6"/>
      <c r="AN134" s="6"/>
      <c r="AO134" s="6"/>
      <c r="AP134" s="6"/>
      <c r="AQ134" s="6"/>
      <c r="AR134" s="6"/>
    </row>
    <row r="135" spans="1:44" s="4" customFormat="1" ht="14.1" customHeight="1">
      <c r="A135" s="6"/>
      <c r="B135" s="66"/>
      <c r="C135" s="67"/>
      <c r="D135" s="68" t="s">
        <v>163</v>
      </c>
      <c r="E135" s="69" t="str">
        <f>+IF(rascunho!CX12="","",rascunho!CX12)</f>
        <v/>
      </c>
      <c r="F135" s="51"/>
      <c r="G135" s="62" t="str">
        <f>+IF(H135="","",rascunho!DU12)</f>
        <v/>
      </c>
      <c r="H135" s="63" t="str">
        <f>+IF(OR(G134="",G134=0),"",G134-0.01)</f>
        <v/>
      </c>
      <c r="I135" s="64" t="str">
        <f>+IF(H135="","",rascunho!DV12)</f>
        <v/>
      </c>
      <c r="J135" s="65" t="str">
        <f>+IF(H135="","",rascunho!DW12)</f>
        <v/>
      </c>
      <c r="L135" s="2"/>
      <c r="M135" s="2"/>
      <c r="N135" s="2"/>
      <c r="O135" s="2"/>
      <c r="P135" s="2"/>
      <c r="Q135" s="2"/>
      <c r="R135" s="2"/>
      <c r="S135" s="2"/>
      <c r="T135" s="2"/>
      <c r="U135" s="148" t="str">
        <f>+IF(cadastro!B131="","",cadastro!B131)</f>
        <v/>
      </c>
      <c r="V135" s="149" t="str">
        <f>+IF(cadastro!D131="","",cadastro!D131)</f>
        <v/>
      </c>
      <c r="W135" s="149" t="str">
        <f>+IF(cadastro!E131="","",cadastro!E131)</f>
        <v/>
      </c>
      <c r="X135" s="150" t="str">
        <f>+CONCATENATE(IF(cadastro!C131="","","flh "),cadastro!C131,IF(OR(cadastro!C131="",cadastro!F131=""),""," - "),cadastro!F131)</f>
        <v/>
      </c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L135" s="6"/>
      <c r="AM135" s="6"/>
      <c r="AN135" s="6"/>
      <c r="AO135" s="6"/>
      <c r="AP135" s="6"/>
      <c r="AQ135" s="6"/>
      <c r="AR135" s="6"/>
    </row>
    <row r="136" spans="1:44" s="4" customFormat="1" ht="14.1" customHeight="1">
      <c r="A136" s="6"/>
      <c r="B136" s="66"/>
      <c r="C136" s="70"/>
      <c r="D136" s="71" t="s">
        <v>90</v>
      </c>
      <c r="E136" s="72" t="str">
        <f>+IF(rascunho!CY12="","",rascunho!CY12)</f>
        <v/>
      </c>
      <c r="F136" s="51"/>
      <c r="G136" s="62" t="str">
        <f>+IF(H136="","",rascunho!DX12)</f>
        <v/>
      </c>
      <c r="H136" s="63" t="str">
        <f>+IF(OR(G135="",G135=0),"",G135-0.01)</f>
        <v/>
      </c>
      <c r="I136" s="64" t="str">
        <f>+IF(H136="","",rascunho!DY12)</f>
        <v/>
      </c>
      <c r="J136" s="65" t="str">
        <f>+IF(H136="","",rascunho!DZ12)</f>
        <v/>
      </c>
      <c r="K136" s="5"/>
      <c r="L136" s="2"/>
      <c r="M136" s="2"/>
      <c r="N136" s="2"/>
      <c r="O136" s="2"/>
      <c r="P136" s="2"/>
      <c r="Q136" s="2"/>
      <c r="R136" s="2"/>
      <c r="S136" s="2"/>
      <c r="T136" s="2"/>
      <c r="U136" s="148" t="str">
        <f>+IF(cadastro!B132="","",cadastro!B132)</f>
        <v/>
      </c>
      <c r="V136" s="149" t="str">
        <f>+IF(cadastro!D132="","",cadastro!D132)</f>
        <v/>
      </c>
      <c r="W136" s="149" t="str">
        <f>+IF(cadastro!E132="","",cadastro!E132)</f>
        <v/>
      </c>
      <c r="X136" s="150" t="str">
        <f>+CONCATENATE(IF(cadastro!C132="","","flh "),cadastro!C132,IF(OR(cadastro!C132="",cadastro!F132=""),""," - "),cadastro!F132)</f>
        <v/>
      </c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L136" s="6"/>
      <c r="AM136" s="6"/>
      <c r="AN136" s="6"/>
      <c r="AO136" s="6"/>
      <c r="AP136" s="6"/>
      <c r="AQ136" s="6"/>
      <c r="AR136" s="6"/>
    </row>
    <row r="137" spans="1:44" s="4" customFormat="1" ht="14.1" customHeight="1">
      <c r="A137" s="6"/>
      <c r="B137" s="443" t="s">
        <v>152</v>
      </c>
      <c r="C137" s="443"/>
      <c r="D137" s="443"/>
      <c r="E137" s="87" t="str">
        <f>+IF(rascunho!CZ12="","",rascunho!CZ12)</f>
        <v/>
      </c>
      <c r="F137" s="51"/>
      <c r="G137" s="449" t="s">
        <v>91</v>
      </c>
      <c r="H137" s="450"/>
      <c r="I137" s="450"/>
      <c r="J137" s="451"/>
      <c r="K137" s="6"/>
      <c r="L137" s="2"/>
      <c r="M137" s="2"/>
      <c r="N137" s="2"/>
      <c r="O137" s="2"/>
      <c r="P137" s="2"/>
      <c r="Q137" s="2"/>
      <c r="R137" s="2"/>
      <c r="S137" s="2"/>
      <c r="T137" s="2"/>
      <c r="U137" s="148" t="str">
        <f>+IF(cadastro!B133="","",cadastro!B133)</f>
        <v/>
      </c>
      <c r="V137" s="149" t="str">
        <f>+IF(cadastro!D133="","",cadastro!D133)</f>
        <v/>
      </c>
      <c r="W137" s="149" t="str">
        <f>+IF(cadastro!E133="","",cadastro!E133)</f>
        <v/>
      </c>
      <c r="X137" s="150" t="str">
        <f>+CONCATENATE(IF(cadastro!C133="","","flh "),cadastro!C133,IF(OR(cadastro!C133="",cadastro!F133=""),""," - "),cadastro!F133)</f>
        <v/>
      </c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L137" s="6"/>
      <c r="AM137" s="6"/>
      <c r="AN137" s="6"/>
      <c r="AO137" s="6"/>
      <c r="AP137" s="6"/>
      <c r="AQ137" s="6"/>
      <c r="AR137" s="6"/>
    </row>
    <row r="138" spans="1:44" s="4" customFormat="1" ht="14.1" customHeight="1">
      <c r="A138" s="6"/>
      <c r="B138" s="443" t="s">
        <v>229</v>
      </c>
      <c r="C138" s="443"/>
      <c r="D138" s="443"/>
      <c r="E138" s="54" t="str">
        <f>+IF(rascunho!DA12="","",rascunho!DA12)</f>
        <v/>
      </c>
      <c r="F138" s="51"/>
      <c r="G138" s="53" t="s">
        <v>154</v>
      </c>
      <c r="H138" s="73"/>
      <c r="I138" s="73"/>
      <c r="J138" s="73"/>
      <c r="K138" s="6"/>
      <c r="L138" s="2"/>
      <c r="M138" s="2"/>
      <c r="N138" s="2"/>
      <c r="O138" s="2"/>
      <c r="P138" s="2"/>
      <c r="Q138" s="2"/>
      <c r="R138" s="2"/>
      <c r="S138" s="2"/>
      <c r="T138" s="2"/>
      <c r="U138" s="148" t="str">
        <f>+IF(cadastro!B134="","",cadastro!B134)</f>
        <v/>
      </c>
      <c r="V138" s="149" t="str">
        <f>+IF(cadastro!D134="","",cadastro!D134)</f>
        <v/>
      </c>
      <c r="W138" s="149" t="str">
        <f>+IF(cadastro!E134="","",cadastro!E134)</f>
        <v/>
      </c>
      <c r="X138" s="150" t="str">
        <f>+CONCATENATE(IF(cadastro!C134="","","flh "),cadastro!C134,IF(OR(cadastro!C134="",cadastro!F134=""),""," - "),cadastro!F134)</f>
        <v/>
      </c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L138" s="6"/>
      <c r="AM138" s="6"/>
      <c r="AN138" s="6"/>
      <c r="AO138" s="6"/>
      <c r="AP138" s="6"/>
      <c r="AQ138" s="6"/>
      <c r="AR138" s="6"/>
    </row>
    <row r="139" spans="1:44" s="5" customFormat="1" ht="14.1" customHeight="1">
      <c r="A139" s="6"/>
      <c r="B139" s="443" t="s">
        <v>50</v>
      </c>
      <c r="C139" s="443"/>
      <c r="D139" s="443"/>
      <c r="E139" s="50" t="str">
        <f>+IF(rascunho!DC12="","",rascunho!DC12)</f>
        <v/>
      </c>
      <c r="F139" s="51"/>
      <c r="G139" s="63"/>
      <c r="H139" s="74"/>
      <c r="I139" s="74"/>
      <c r="J139" s="74"/>
      <c r="K139" s="6"/>
      <c r="L139" s="2"/>
      <c r="M139" s="2"/>
      <c r="N139" s="2"/>
      <c r="O139" s="2"/>
      <c r="P139" s="2"/>
      <c r="Q139" s="2"/>
      <c r="R139" s="2"/>
      <c r="S139" s="2"/>
      <c r="T139" s="2"/>
      <c r="U139" s="148" t="str">
        <f>+IF(cadastro!B135="","",cadastro!B135)</f>
        <v/>
      </c>
      <c r="V139" s="149" t="str">
        <f>+IF(cadastro!D135="","",cadastro!D135)</f>
        <v/>
      </c>
      <c r="W139" s="149" t="str">
        <f>+IF(cadastro!E135="","",cadastro!E135)</f>
        <v/>
      </c>
      <c r="X139" s="150" t="str">
        <f>+CONCATENATE(IF(cadastro!C135="","","flh "),cadastro!C135,IF(OR(cadastro!C135="",cadastro!F135=""),""," - "),cadastro!F135)</f>
        <v/>
      </c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L139" s="6"/>
      <c r="AM139" s="6"/>
      <c r="AN139" s="6"/>
      <c r="AO139" s="6"/>
      <c r="AP139" s="6"/>
      <c r="AQ139" s="6"/>
      <c r="AR139" s="6"/>
    </row>
    <row r="140" spans="1:44" s="6" customFormat="1" ht="14.1" customHeight="1">
      <c r="B140" s="443" t="s">
        <v>153</v>
      </c>
      <c r="C140" s="443"/>
      <c r="D140" s="443"/>
      <c r="E140" s="54" t="str">
        <f>+IF(rascunho!DD12="","",rascunho!DD12)</f>
        <v/>
      </c>
      <c r="F140" s="51"/>
      <c r="G140" s="63"/>
      <c r="H140" s="63"/>
      <c r="I140" s="75"/>
      <c r="J140" s="76"/>
      <c r="L140" s="2"/>
      <c r="M140" s="2"/>
      <c r="N140" s="2"/>
      <c r="O140" s="2"/>
      <c r="P140" s="2"/>
      <c r="Q140" s="2"/>
      <c r="R140" s="2"/>
      <c r="S140" s="2"/>
      <c r="T140" s="2"/>
      <c r="U140" s="148" t="str">
        <f>+IF(cadastro!B136="","",cadastro!B136)</f>
        <v/>
      </c>
      <c r="V140" s="149" t="str">
        <f>+IF(cadastro!D136="","",cadastro!D136)</f>
        <v/>
      </c>
      <c r="W140" s="149" t="str">
        <f>+IF(cadastro!E136="","",cadastro!E136)</f>
        <v/>
      </c>
      <c r="X140" s="150" t="str">
        <f>+CONCATENATE(IF(cadastro!C136="","","flh "),cadastro!C136,IF(OR(cadastro!C136="",cadastro!F136=""),""," - "),cadastro!F136)</f>
        <v/>
      </c>
    </row>
    <row r="141" spans="1:44" s="6" customFormat="1" ht="14.1" customHeight="1">
      <c r="B141" s="443" t="str">
        <f>+CONCATENATE("IMPOSTO A ",rascunho!DI12,"(=):")</f>
        <v>IMPOSTO A (=):</v>
      </c>
      <c r="C141" s="443"/>
      <c r="D141" s="443"/>
      <c r="E141" s="50" t="str">
        <f>+IF(rascunho!DH12="","",ABS(rascunho!DH12))</f>
        <v/>
      </c>
      <c r="F141" s="51"/>
      <c r="G141" s="74"/>
      <c r="H141" s="74"/>
      <c r="I141" s="74"/>
      <c r="J141" s="74"/>
      <c r="L141" s="2"/>
      <c r="M141" s="2"/>
      <c r="N141" s="2"/>
      <c r="O141" s="2"/>
      <c r="P141" s="2"/>
      <c r="Q141" s="2"/>
      <c r="R141" s="2"/>
      <c r="S141" s="2"/>
      <c r="T141" s="2"/>
      <c r="U141" s="148" t="str">
        <f>+IF(cadastro!B137="","",cadastro!B137)</f>
        <v/>
      </c>
      <c r="V141" s="149" t="str">
        <f>+IF(cadastro!D137="","",cadastro!D137)</f>
        <v/>
      </c>
      <c r="W141" s="149" t="str">
        <f>+IF(cadastro!E137="","",cadastro!E137)</f>
        <v/>
      </c>
      <c r="X141" s="150" t="str">
        <f>+CONCATENATE(IF(cadastro!C137="","","flh "),cadastro!C137,IF(OR(cadastro!C137="",cadastro!F137=""),""," - "),cadastro!F137)</f>
        <v/>
      </c>
    </row>
    <row r="142" spans="1:44" s="6" customFormat="1" ht="14.1" customHeight="1">
      <c r="B142" s="443" t="str">
        <f>+CONCATENATE("(*)IMPOSTO A ",rascunho!DG12," EFETUADO:")</f>
        <v>(*)IMPOSTO A  EFETUADO:</v>
      </c>
      <c r="C142" s="443"/>
      <c r="D142" s="443"/>
      <c r="E142" s="54" t="str">
        <f>+IF(rascunho!DE12="","",ABS(rascunho!DE12))</f>
        <v/>
      </c>
      <c r="F142" s="51"/>
      <c r="G142" s="47"/>
      <c r="H142" s="43"/>
      <c r="I142" s="444" t="str">
        <f>+IF(AND(I129&gt;1991,I129&lt;1995),"(em moeda)","")</f>
        <v/>
      </c>
      <c r="J142" s="444"/>
      <c r="L142" s="2"/>
      <c r="M142" s="2"/>
      <c r="N142" s="2"/>
      <c r="O142" s="2"/>
      <c r="P142" s="2"/>
      <c r="Q142" s="2"/>
      <c r="R142" s="2"/>
      <c r="S142" s="2"/>
      <c r="T142" s="2"/>
      <c r="U142" s="148" t="str">
        <f>+IF(cadastro!B138="","",cadastro!B138)</f>
        <v/>
      </c>
      <c r="V142" s="149" t="str">
        <f>+IF(cadastro!D138="","",cadastro!D138)</f>
        <v/>
      </c>
      <c r="W142" s="149" t="str">
        <f>+IF(cadastro!E138="","",cadastro!E138)</f>
        <v/>
      </c>
      <c r="X142" s="150" t="str">
        <f>+CONCATENATE(IF(cadastro!C138="","","flh "),cadastro!C138,IF(OR(cadastro!C138="",cadastro!F138=""),""," - "),cadastro!F138)</f>
        <v/>
      </c>
    </row>
    <row r="143" spans="1:44" s="6" customFormat="1" ht="14.1" customHeight="1">
      <c r="B143" s="447" t="s">
        <v>32</v>
      </c>
      <c r="C143" s="447"/>
      <c r="D143" s="447"/>
      <c r="E143" s="77" t="str">
        <f>+IF(rascunho!EC12="","",-rascunho!EC12)</f>
        <v/>
      </c>
      <c r="F143" s="51"/>
      <c r="G143" s="78" t="str">
        <f>+IF(AND(I129&gt;=1992,I129&lt;1995),"(em UFIR)","")</f>
        <v/>
      </c>
      <c r="H143" s="78"/>
      <c r="I143" s="454" t="str">
        <f>+IF(AND(I129&gt;1991,I129&lt;1995),ABS(rascunho!EF12),"")</f>
        <v/>
      </c>
      <c r="J143" s="454"/>
      <c r="L143" s="2"/>
      <c r="M143" s="2"/>
      <c r="N143" s="2"/>
      <c r="O143" s="2"/>
      <c r="P143" s="2"/>
      <c r="Q143" s="2"/>
      <c r="R143" s="2"/>
      <c r="S143" s="2"/>
      <c r="T143" s="2"/>
      <c r="U143" s="148" t="str">
        <f>+IF(cadastro!B139="","",cadastro!B139)</f>
        <v/>
      </c>
      <c r="V143" s="149" t="str">
        <f>+IF(cadastro!D139="","",cadastro!D139)</f>
        <v/>
      </c>
      <c r="W143" s="149" t="str">
        <f>+IF(cadastro!E139="","",cadastro!E139)</f>
        <v/>
      </c>
      <c r="X143" s="150" t="str">
        <f>+CONCATENATE(IF(cadastro!C139="","","flh "),cadastro!C139,IF(OR(cadastro!C139="",cadastro!F139=""),""," - "),cadastro!F139)</f>
        <v/>
      </c>
    </row>
    <row r="144" spans="1:44" s="6" customFormat="1" ht="14.1" customHeight="1">
      <c r="B144" s="46"/>
      <c r="C144" s="46"/>
      <c r="D144" s="45"/>
      <c r="E144" s="47"/>
      <c r="F144" s="47"/>
      <c r="G144" s="47"/>
      <c r="H144" s="48"/>
      <c r="I144" s="49"/>
      <c r="J144" s="49"/>
      <c r="L144" s="2"/>
      <c r="M144" s="2"/>
      <c r="N144" s="2"/>
      <c r="O144" s="2"/>
      <c r="P144" s="2"/>
      <c r="Q144" s="2"/>
      <c r="R144" s="2"/>
      <c r="S144" s="2"/>
      <c r="T144" s="2"/>
      <c r="U144" s="148" t="str">
        <f>+IF(cadastro!B140="","",cadastro!B140)</f>
        <v/>
      </c>
      <c r="V144" s="149" t="str">
        <f>+IF(cadastro!D140="","",cadastro!D140)</f>
        <v/>
      </c>
      <c r="W144" s="149" t="str">
        <f>+IF(cadastro!E140="","",cadastro!E140)</f>
        <v/>
      </c>
      <c r="X144" s="150" t="str">
        <f>+CONCATENATE(IF(cadastro!C140="","","flh "),cadastro!C140,IF(OR(cadastro!C140="",cadastro!F140=""),""," - "),cadastro!F140)</f>
        <v/>
      </c>
    </row>
    <row r="145" spans="2:35" s="6" customFormat="1" ht="14.1" customHeight="1">
      <c r="B145" s="443" t="s">
        <v>150</v>
      </c>
      <c r="C145" s="443"/>
      <c r="D145" s="443"/>
      <c r="E145" s="50" t="str">
        <f>+IF(rascunho!CM13="","",rascunho!CM13)</f>
        <v/>
      </c>
      <c r="F145" s="51"/>
      <c r="G145" s="448" t="s">
        <v>23</v>
      </c>
      <c r="H145" s="448"/>
      <c r="I145" s="52" t="str">
        <f>+IF(rascunho!CJ13="","",rascunho!CJ13)</f>
        <v/>
      </c>
      <c r="J145" s="53"/>
      <c r="L145" s="2"/>
      <c r="M145" s="2"/>
      <c r="N145" s="2"/>
      <c r="O145" s="2"/>
      <c r="P145" s="2"/>
      <c r="Q145" s="2"/>
      <c r="R145" s="2"/>
      <c r="S145" s="2"/>
      <c r="T145" s="2"/>
      <c r="U145" s="148" t="str">
        <f>+IF(cadastro!B141="","",cadastro!B141)</f>
        <v/>
      </c>
      <c r="V145" s="149" t="str">
        <f>+IF(cadastro!D141="","",cadastro!D141)</f>
        <v/>
      </c>
      <c r="W145" s="149" t="str">
        <f>+IF(cadastro!E141="","",cadastro!E141)</f>
        <v/>
      </c>
      <c r="X145" s="150" t="str">
        <f>+CONCATENATE(IF(cadastro!C141="","","flh "),cadastro!C141,IF(OR(cadastro!C141="",cadastro!F141=""),""," - "),cadastro!F141)</f>
        <v/>
      </c>
    </row>
    <row r="146" spans="2:35" s="6" customFormat="1" ht="14.1" customHeight="1">
      <c r="B146" s="443" t="s">
        <v>87</v>
      </c>
      <c r="C146" s="443"/>
      <c r="D146" s="443" t="s">
        <v>24</v>
      </c>
      <c r="E146" s="50" t="str">
        <f>+IF(rascunho!CN13="","",rascunho!CN13)</f>
        <v/>
      </c>
      <c r="F146" s="51"/>
      <c r="G146" s="456" t="str">
        <f>+CONCATENATE("TIPO DE DECLARAÇÃO: ",rascunho!CL13)</f>
        <v xml:space="preserve">TIPO DE DECLARAÇÃO: </v>
      </c>
      <c r="H146" s="456"/>
      <c r="I146" s="456"/>
      <c r="J146" s="456"/>
      <c r="L146" s="2"/>
      <c r="M146" s="2"/>
      <c r="N146" s="2"/>
      <c r="O146" s="2"/>
      <c r="P146" s="2"/>
      <c r="Q146" s="2"/>
      <c r="R146" s="2"/>
      <c r="S146" s="2"/>
      <c r="T146" s="2"/>
      <c r="U146" s="148" t="str">
        <f>+IF(cadastro!B142="","",cadastro!B142)</f>
        <v/>
      </c>
      <c r="V146" s="149" t="str">
        <f>+IF(cadastro!D142="","",cadastro!D142)</f>
        <v/>
      </c>
      <c r="W146" s="149" t="str">
        <f>+IF(cadastro!E142="","",cadastro!E142)</f>
        <v/>
      </c>
      <c r="X146" s="150" t="str">
        <f>+CONCATENATE(IF(cadastro!C142="","","flh "),cadastro!C142,IF(OR(cadastro!C142="",cadastro!F142=""),""," - "),cadastro!F142)</f>
        <v/>
      </c>
    </row>
    <row r="147" spans="2:35" s="6" customFormat="1" ht="14.1" customHeight="1">
      <c r="B147" s="443" t="s">
        <v>86</v>
      </c>
      <c r="C147" s="443"/>
      <c r="D147" s="443" t="s">
        <v>24</v>
      </c>
      <c r="E147" s="54" t="str">
        <f>+IF(rascunho!CO13="","",rascunho!CO13)</f>
        <v/>
      </c>
      <c r="F147" s="51"/>
      <c r="G147" s="55" t="s">
        <v>2</v>
      </c>
      <c r="H147" s="56" t="s">
        <v>3</v>
      </c>
      <c r="I147" s="56" t="s">
        <v>14</v>
      </c>
      <c r="J147" s="57" t="s">
        <v>4</v>
      </c>
      <c r="L147" s="2"/>
      <c r="M147" s="2"/>
      <c r="N147" s="2"/>
      <c r="O147" s="2"/>
      <c r="P147" s="2"/>
      <c r="Q147" s="2"/>
      <c r="R147" s="2"/>
      <c r="S147" s="2"/>
      <c r="T147" s="2"/>
      <c r="U147" s="148" t="str">
        <f>+IF(cadastro!B143="","",cadastro!B143)</f>
        <v/>
      </c>
      <c r="V147" s="149" t="str">
        <f>+IF(cadastro!D143="","",cadastro!D143)</f>
        <v/>
      </c>
      <c r="W147" s="149" t="str">
        <f>+IF(cadastro!E143="","",cadastro!E143)</f>
        <v/>
      </c>
      <c r="X147" s="150" t="str">
        <f>+CONCATENATE(IF(cadastro!C143="","","flh "),cadastro!C143,IF(OR(cadastro!C143="",cadastro!F143=""),""," - "),cadastro!F143)</f>
        <v/>
      </c>
    </row>
    <row r="148" spans="2:35" s="6" customFormat="1" ht="14.1" customHeight="1">
      <c r="B148" s="443" t="s">
        <v>89</v>
      </c>
      <c r="C148" s="443"/>
      <c r="D148" s="443"/>
      <c r="E148" s="50" t="str">
        <f>+IF(rascunho!CQ13="","",rascunho!CQ13)</f>
        <v/>
      </c>
      <c r="F148" s="51"/>
      <c r="G148" s="58" t="str">
        <f>+IF(rascunho!DL13="","",rascunho!DL13)</f>
        <v/>
      </c>
      <c r="H148" s="59" t="s">
        <v>5</v>
      </c>
      <c r="I148" s="60" t="str">
        <f>+IF(rascunho!DM13="","",rascunho!DM13)</f>
        <v/>
      </c>
      <c r="J148" s="61" t="str">
        <f>+IF(rascunho!DN13="","",rascunho!DN13)</f>
        <v/>
      </c>
      <c r="L148" s="2"/>
      <c r="M148" s="2"/>
      <c r="N148" s="2"/>
      <c r="O148" s="2"/>
      <c r="P148" s="2"/>
      <c r="Q148" s="2"/>
      <c r="R148" s="2"/>
      <c r="S148" s="2"/>
      <c r="T148" s="2"/>
      <c r="U148" s="148" t="str">
        <f>+IF(cadastro!B144="","",cadastro!B144)</f>
        <v/>
      </c>
      <c r="V148" s="149" t="str">
        <f>+IF(cadastro!D144="","",cadastro!D144)</f>
        <v/>
      </c>
      <c r="W148" s="149" t="str">
        <f>+IF(cadastro!E144="","",cadastro!E144)</f>
        <v/>
      </c>
      <c r="X148" s="150" t="str">
        <f>+CONCATENATE(IF(cadastro!C144="","","flh "),cadastro!C144,IF(OR(cadastro!C144="",cadastro!F144=""),""," - "),cadastro!F144)</f>
        <v/>
      </c>
    </row>
    <row r="149" spans="2:35" s="6" customFormat="1" ht="14.1" customHeight="1">
      <c r="B149" s="443" t="s">
        <v>151</v>
      </c>
      <c r="C149" s="443"/>
      <c r="D149" s="443"/>
      <c r="E149" s="54" t="str">
        <f>+IF(rascunho!CS13="","",rascunho!CS13)</f>
        <v/>
      </c>
      <c r="F149" s="51"/>
      <c r="G149" s="62" t="str">
        <f>+IF(H149="","",rascunho!DO13)</f>
        <v/>
      </c>
      <c r="H149" s="63" t="str">
        <f>+IF(G148="","",G148-0.01)</f>
        <v/>
      </c>
      <c r="I149" s="64" t="str">
        <f>+IF(H149="","",rascunho!DP13)</f>
        <v/>
      </c>
      <c r="J149" s="65" t="str">
        <f>+IF(H149="","",rascunho!DQ13)</f>
        <v/>
      </c>
      <c r="L149" s="2"/>
      <c r="M149" s="2"/>
      <c r="N149" s="2"/>
      <c r="O149" s="2"/>
      <c r="P149" s="2"/>
      <c r="Q149" s="2"/>
      <c r="R149" s="2"/>
      <c r="S149" s="2"/>
      <c r="T149" s="2"/>
      <c r="U149" s="148"/>
      <c r="V149" s="149"/>
      <c r="W149" s="149"/>
      <c r="X149" s="150"/>
    </row>
    <row r="150" spans="2:35" s="6" customFormat="1" ht="14.1" customHeight="1">
      <c r="B150" s="443" t="s">
        <v>142</v>
      </c>
      <c r="C150" s="443"/>
      <c r="D150" s="443" t="s">
        <v>25</v>
      </c>
      <c r="E150" s="50" t="str">
        <f>+IF(rascunho!CU13="","",rascunho!CU13)</f>
        <v/>
      </c>
      <c r="F150" s="51"/>
      <c r="G150" s="62" t="str">
        <f>+IF(H150="","",rascunho!DR13)</f>
        <v/>
      </c>
      <c r="H150" s="63" t="str">
        <f>+IF(G149="","",G149-0.01)</f>
        <v/>
      </c>
      <c r="I150" s="64" t="str">
        <f>+IF(H150="","",rascunho!DS13)</f>
        <v/>
      </c>
      <c r="J150" s="65" t="str">
        <f>+IF(H150="","",rascunho!DT13)</f>
        <v/>
      </c>
      <c r="L150" s="2"/>
      <c r="M150" s="2"/>
      <c r="N150" s="2"/>
      <c r="O150" s="2"/>
      <c r="P150" s="2"/>
      <c r="Q150" s="2"/>
      <c r="R150" s="2"/>
      <c r="S150" s="2"/>
      <c r="T150" s="2"/>
      <c r="U150" s="148"/>
      <c r="V150" s="149"/>
      <c r="W150" s="149"/>
      <c r="X150" s="150"/>
    </row>
    <row r="151" spans="2:35" s="6" customFormat="1" ht="14.1" customHeight="1">
      <c r="B151" s="66"/>
      <c r="C151" s="67"/>
      <c r="D151" s="68" t="s">
        <v>163</v>
      </c>
      <c r="E151" s="69" t="str">
        <f>+IF(rascunho!CX13="","",rascunho!CX13)</f>
        <v/>
      </c>
      <c r="F151" s="51"/>
      <c r="G151" s="62" t="str">
        <f>+IF(H151="","",rascunho!DU13)</f>
        <v/>
      </c>
      <c r="H151" s="63" t="str">
        <f>+IF(OR(G150="",G150=0),"",G150-0.01)</f>
        <v/>
      </c>
      <c r="I151" s="64" t="str">
        <f>+IF(H151="","",rascunho!DV13)</f>
        <v/>
      </c>
      <c r="J151" s="65" t="str">
        <f>+IF(H151="","",rascunho!DW13)</f>
        <v/>
      </c>
      <c r="L151" s="2"/>
      <c r="M151" s="2"/>
      <c r="N151" s="2"/>
      <c r="O151" s="2"/>
      <c r="P151" s="2"/>
      <c r="Q151" s="2"/>
      <c r="R151" s="2"/>
      <c r="S151" s="2"/>
      <c r="T151" s="2"/>
      <c r="U151" s="148"/>
      <c r="V151" s="149"/>
      <c r="W151" s="149"/>
      <c r="X151" s="150"/>
    </row>
    <row r="152" spans="2:35" s="6" customFormat="1" ht="14.1" customHeight="1">
      <c r="B152" s="66"/>
      <c r="C152" s="70"/>
      <c r="D152" s="71" t="s">
        <v>90</v>
      </c>
      <c r="E152" s="72" t="str">
        <f>+IF(rascunho!CY13="","",rascunho!CY13)</f>
        <v/>
      </c>
      <c r="F152" s="51"/>
      <c r="G152" s="62" t="str">
        <f>+IF(H152="","",rascunho!DX13)</f>
        <v/>
      </c>
      <c r="H152" s="63" t="str">
        <f>+IF(OR(G151="",G151=0),"",G151-0.01)</f>
        <v/>
      </c>
      <c r="I152" s="64" t="str">
        <f>+IF(H152="","",rascunho!DY13)</f>
        <v/>
      </c>
      <c r="J152" s="65" t="str">
        <f>+IF(H152="","",rascunho!DZ13)</f>
        <v/>
      </c>
      <c r="L152" s="2"/>
      <c r="M152" s="2"/>
      <c r="N152" s="2"/>
      <c r="O152" s="2"/>
      <c r="P152" s="2"/>
      <c r="Q152" s="2"/>
      <c r="R152" s="2"/>
      <c r="S152" s="2"/>
      <c r="T152" s="2"/>
      <c r="U152" s="148"/>
      <c r="V152" s="149"/>
      <c r="W152" s="149"/>
      <c r="X152" s="150"/>
    </row>
    <row r="153" spans="2:35" s="6" customFormat="1" ht="14.1" customHeight="1">
      <c r="B153" s="443" t="s">
        <v>152</v>
      </c>
      <c r="C153" s="443"/>
      <c r="D153" s="443"/>
      <c r="E153" s="50" t="str">
        <f>+IF(rascunho!CZ13="","",rascunho!CZ13)</f>
        <v/>
      </c>
      <c r="F153" s="51"/>
      <c r="G153" s="449" t="s">
        <v>91</v>
      </c>
      <c r="H153" s="450"/>
      <c r="I153" s="450"/>
      <c r="J153" s="451"/>
      <c r="L153" s="2"/>
      <c r="M153" s="2"/>
      <c r="N153" s="2"/>
      <c r="O153" s="2"/>
      <c r="P153" s="2"/>
      <c r="Q153" s="2"/>
      <c r="R153" s="2"/>
      <c r="S153" s="2"/>
      <c r="T153" s="2"/>
      <c r="U153" s="148"/>
      <c r="V153" s="149"/>
      <c r="W153" s="149"/>
      <c r="X153" s="150"/>
    </row>
    <row r="154" spans="2:35" s="6" customFormat="1" ht="14.1" customHeight="1">
      <c r="B154" s="443" t="s">
        <v>229</v>
      </c>
      <c r="C154" s="443"/>
      <c r="D154" s="443"/>
      <c r="E154" s="54" t="str">
        <f>+IF(rascunho!DA13="","",rascunho!DA13)</f>
        <v/>
      </c>
      <c r="F154" s="51"/>
      <c r="G154" s="53" t="s">
        <v>154</v>
      </c>
      <c r="H154" s="73"/>
      <c r="I154" s="73"/>
      <c r="J154" s="73"/>
      <c r="L154" s="2"/>
      <c r="M154" s="2"/>
      <c r="N154" s="2"/>
      <c r="O154" s="2"/>
      <c r="P154" s="2"/>
      <c r="Q154" s="2"/>
      <c r="R154" s="2"/>
      <c r="S154" s="2"/>
      <c r="T154" s="2"/>
      <c r="U154" s="148"/>
      <c r="V154" s="149"/>
      <c r="W154" s="149"/>
      <c r="X154" s="150"/>
    </row>
    <row r="155" spans="2:35" s="6" customFormat="1" ht="14.1" customHeight="1">
      <c r="B155" s="443" t="s">
        <v>50</v>
      </c>
      <c r="C155" s="443"/>
      <c r="D155" s="443"/>
      <c r="E155" s="50" t="str">
        <f>+IF(rascunho!DC13="","",rascunho!DC13)</f>
        <v/>
      </c>
      <c r="F155" s="51"/>
      <c r="G155" s="53"/>
      <c r="H155" s="74"/>
      <c r="I155" s="74"/>
      <c r="J155" s="74"/>
      <c r="L155" s="2"/>
      <c r="M155" s="2"/>
      <c r="N155" s="2"/>
      <c r="O155" s="2"/>
      <c r="P155" s="2"/>
      <c r="Q155" s="2"/>
      <c r="R155" s="2"/>
      <c r="S155" s="2"/>
      <c r="T155" s="2"/>
      <c r="U155" s="148"/>
      <c r="V155" s="149"/>
      <c r="W155" s="149"/>
      <c r="X155" s="150"/>
    </row>
    <row r="156" spans="2:35" s="6" customFormat="1" ht="14.1" customHeight="1">
      <c r="B156" s="443" t="s">
        <v>153</v>
      </c>
      <c r="C156" s="443"/>
      <c r="D156" s="443"/>
      <c r="E156" s="54" t="str">
        <f>+IF(rascunho!DD13="","",rascunho!DD13)</f>
        <v/>
      </c>
      <c r="F156" s="51"/>
      <c r="G156" s="63"/>
      <c r="H156" s="63"/>
      <c r="I156" s="75"/>
      <c r="J156" s="76"/>
      <c r="L156" s="2"/>
      <c r="M156" s="2"/>
      <c r="N156" s="2"/>
      <c r="O156" s="2"/>
      <c r="P156" s="2"/>
      <c r="Q156" s="2"/>
      <c r="R156" s="2"/>
      <c r="S156" s="2"/>
      <c r="T156" s="2"/>
      <c r="U156" s="148"/>
      <c r="V156" s="149"/>
      <c r="W156" s="149"/>
      <c r="X156" s="150"/>
    </row>
    <row r="157" spans="2:35" s="6" customFormat="1" ht="14.1" customHeight="1">
      <c r="B157" s="443" t="str">
        <f>+CONCATENATE("IMPOSTO A ",rascunho!DI13,"(=):")</f>
        <v>IMPOSTO A (=):</v>
      </c>
      <c r="C157" s="443"/>
      <c r="D157" s="443"/>
      <c r="E157" s="50" t="str">
        <f>+IF(rascunho!DH13="","",ABS(rascunho!DH13))</f>
        <v/>
      </c>
      <c r="F157" s="51"/>
      <c r="G157" s="74"/>
      <c r="H157" s="74"/>
      <c r="I157" s="74"/>
      <c r="J157" s="74"/>
      <c r="L157" s="2"/>
      <c r="M157" s="2"/>
      <c r="N157" s="2"/>
      <c r="O157" s="2"/>
      <c r="P157" s="2"/>
      <c r="Q157" s="2"/>
      <c r="R157" s="2"/>
      <c r="S157" s="2"/>
      <c r="T157" s="2"/>
      <c r="U157" s="148"/>
      <c r="V157" s="149"/>
      <c r="W157" s="149"/>
      <c r="X157" s="150"/>
      <c r="AH157" s="4"/>
      <c r="AI157" s="4"/>
    </row>
    <row r="158" spans="2:35" s="6" customFormat="1" ht="14.1" customHeight="1">
      <c r="B158" s="443" t="str">
        <f>+CONCATENATE("(*)IMPOSTO A ",rascunho!DG13," EFETUADO:")</f>
        <v>(*)IMPOSTO A  EFETUADO:</v>
      </c>
      <c r="C158" s="443"/>
      <c r="D158" s="443"/>
      <c r="E158" s="54" t="str">
        <f>+IF(rascunho!DE13="","",ABS(rascunho!DE13))</f>
        <v/>
      </c>
      <c r="F158" s="51"/>
      <c r="G158" s="47"/>
      <c r="H158" s="43"/>
      <c r="I158" s="444" t="str">
        <f>+IF(AND(I145&gt;1991,I145&lt;1995),"(em moeda)","")</f>
        <v/>
      </c>
      <c r="J158" s="444"/>
      <c r="L158" s="2"/>
      <c r="M158" s="2"/>
      <c r="N158" s="2"/>
      <c r="O158" s="2"/>
      <c r="P158" s="2"/>
      <c r="Q158" s="2"/>
      <c r="R158" s="2"/>
      <c r="S158" s="2"/>
      <c r="T158" s="2"/>
      <c r="U158" s="148"/>
      <c r="V158" s="149"/>
      <c r="W158" s="149"/>
      <c r="X158" s="150"/>
      <c r="AH158" s="4"/>
      <c r="AI158" s="4"/>
    </row>
    <row r="159" spans="2:35" s="6" customFormat="1" ht="14.1" customHeight="1">
      <c r="B159" s="447" t="s">
        <v>32</v>
      </c>
      <c r="C159" s="447"/>
      <c r="D159" s="447"/>
      <c r="E159" s="77" t="str">
        <f>+IF(rascunho!EC13="","",-rascunho!EC13)</f>
        <v/>
      </c>
      <c r="F159" s="51"/>
      <c r="G159" s="78" t="str">
        <f>+IF(AND(I145&gt;=1992,I145&lt;1995),"(em UFIR)","")</f>
        <v/>
      </c>
      <c r="H159" s="78"/>
      <c r="I159" s="454" t="str">
        <f>+IF(AND(I145&gt;1991,I145&lt;1995),ABS(rascunho!EF13),"")</f>
        <v/>
      </c>
      <c r="J159" s="454"/>
      <c r="L159" s="2"/>
      <c r="M159" s="2"/>
      <c r="N159" s="2"/>
      <c r="O159" s="2"/>
      <c r="P159" s="2"/>
      <c r="Q159" s="2"/>
      <c r="R159" s="2"/>
      <c r="S159" s="2"/>
      <c r="T159" s="2"/>
      <c r="U159" s="148"/>
      <c r="V159" s="149"/>
      <c r="W159" s="149"/>
      <c r="X159" s="150"/>
      <c r="AH159" s="4"/>
      <c r="AI159" s="4"/>
    </row>
    <row r="160" spans="2:35" s="6" customFormat="1" ht="14.1" customHeight="1">
      <c r="B160" s="46"/>
      <c r="C160" s="46"/>
      <c r="D160" s="45"/>
      <c r="E160" s="47"/>
      <c r="F160" s="47"/>
      <c r="G160" s="47"/>
      <c r="H160" s="48"/>
      <c r="I160" s="49"/>
      <c r="J160" s="49"/>
      <c r="L160" s="2"/>
      <c r="M160" s="2"/>
      <c r="N160" s="2"/>
      <c r="O160" s="2"/>
      <c r="P160" s="2"/>
      <c r="Q160" s="2"/>
      <c r="R160" s="2"/>
      <c r="S160" s="2"/>
      <c r="T160" s="2"/>
      <c r="U160" s="148"/>
      <c r="V160" s="149"/>
      <c r="W160" s="149"/>
      <c r="X160" s="150"/>
      <c r="AH160" s="4"/>
      <c r="AI160" s="4"/>
    </row>
    <row r="161" spans="2:44" s="6" customFormat="1" ht="14.1" customHeight="1">
      <c r="B161" s="443" t="s">
        <v>150</v>
      </c>
      <c r="C161" s="443"/>
      <c r="D161" s="443"/>
      <c r="E161" s="50" t="str">
        <f>+IF(rascunho!CM14="","",rascunho!CM14)</f>
        <v/>
      </c>
      <c r="F161" s="51"/>
      <c r="G161" s="448" t="s">
        <v>23</v>
      </c>
      <c r="H161" s="448"/>
      <c r="I161" s="52" t="str">
        <f>+IF(rascunho!CJ14="","",rascunho!CJ14)</f>
        <v/>
      </c>
      <c r="J161" s="53"/>
      <c r="L161" s="2"/>
      <c r="M161" s="2"/>
      <c r="N161" s="2"/>
      <c r="O161" s="2"/>
      <c r="P161" s="2"/>
      <c r="Q161" s="2"/>
      <c r="R161" s="2"/>
      <c r="S161" s="2"/>
      <c r="T161" s="2"/>
      <c r="U161" s="148"/>
      <c r="V161" s="149"/>
      <c r="W161" s="149"/>
      <c r="X161" s="150"/>
      <c r="AG161" s="4"/>
      <c r="AH161" s="5"/>
      <c r="AI161" s="5"/>
    </row>
    <row r="162" spans="2:44" s="6" customFormat="1" ht="14.1" customHeight="1">
      <c r="B162" s="443" t="s">
        <v>87</v>
      </c>
      <c r="C162" s="443"/>
      <c r="D162" s="443" t="s">
        <v>24</v>
      </c>
      <c r="E162" s="50" t="str">
        <f>+IF(rascunho!CN14="","",rascunho!CN14)</f>
        <v/>
      </c>
      <c r="F162" s="51"/>
      <c r="G162" s="456" t="str">
        <f>+CONCATENATE("TIPO DE DECLARAÇÃO: ",rascunho!CL14)</f>
        <v xml:space="preserve">TIPO DE DECLARAÇÃO: </v>
      </c>
      <c r="H162" s="456"/>
      <c r="I162" s="456"/>
      <c r="J162" s="456"/>
      <c r="L162" s="2"/>
      <c r="M162" s="2"/>
      <c r="N162" s="2"/>
      <c r="O162" s="2"/>
      <c r="P162" s="2"/>
      <c r="Q162" s="2"/>
      <c r="R162" s="2"/>
      <c r="S162" s="2"/>
      <c r="T162" s="2"/>
      <c r="U162" s="148"/>
      <c r="V162" s="149"/>
      <c r="W162" s="149"/>
      <c r="X162" s="150"/>
      <c r="AG162" s="4"/>
    </row>
    <row r="163" spans="2:44" s="6" customFormat="1" ht="14.1" customHeight="1">
      <c r="B163" s="443" t="s">
        <v>86</v>
      </c>
      <c r="C163" s="443"/>
      <c r="D163" s="443" t="s">
        <v>24</v>
      </c>
      <c r="E163" s="54" t="str">
        <f>+IF(rascunho!CO14="","",rascunho!CO14)</f>
        <v/>
      </c>
      <c r="F163" s="51"/>
      <c r="G163" s="55" t="s">
        <v>2</v>
      </c>
      <c r="H163" s="56" t="s">
        <v>3</v>
      </c>
      <c r="I163" s="56" t="s">
        <v>14</v>
      </c>
      <c r="J163" s="57" t="s">
        <v>4</v>
      </c>
      <c r="L163" s="2"/>
      <c r="M163" s="2"/>
      <c r="N163" s="2"/>
      <c r="O163" s="2"/>
      <c r="P163" s="2"/>
      <c r="Q163" s="2"/>
      <c r="R163" s="2"/>
      <c r="S163" s="2"/>
      <c r="T163" s="2"/>
      <c r="U163" s="148"/>
      <c r="V163" s="149"/>
      <c r="W163" s="149"/>
      <c r="X163" s="150"/>
      <c r="AG163" s="4"/>
      <c r="AH163" s="2"/>
      <c r="AI163" s="2"/>
    </row>
    <row r="164" spans="2:44" s="6" customFormat="1" ht="14.1" customHeight="1">
      <c r="B164" s="443" t="s">
        <v>89</v>
      </c>
      <c r="C164" s="443"/>
      <c r="D164" s="443"/>
      <c r="E164" s="50" t="str">
        <f>+IF(rascunho!CQ14="","",rascunho!CQ14)</f>
        <v/>
      </c>
      <c r="F164" s="51"/>
      <c r="G164" s="58" t="str">
        <f>+IF(rascunho!DL14="","",rascunho!DL14)</f>
        <v/>
      </c>
      <c r="H164" s="59" t="s">
        <v>5</v>
      </c>
      <c r="I164" s="60" t="str">
        <f>+IF(rascunho!DM14="","",rascunho!DM14)</f>
        <v/>
      </c>
      <c r="J164" s="61" t="str">
        <f>+IF(rascunho!DN14="","",rascunho!DN14)</f>
        <v/>
      </c>
      <c r="L164" s="2"/>
      <c r="M164" s="2"/>
      <c r="N164" s="2"/>
      <c r="O164" s="2"/>
      <c r="P164" s="2"/>
      <c r="Q164" s="2"/>
      <c r="R164" s="2"/>
      <c r="S164" s="2"/>
      <c r="T164" s="2"/>
      <c r="U164" s="148"/>
      <c r="V164" s="149"/>
      <c r="W164" s="149"/>
      <c r="X164" s="150"/>
      <c r="AG164" s="4"/>
      <c r="AH164" s="2"/>
      <c r="AI164" s="2"/>
    </row>
    <row r="165" spans="2:44" s="6" customFormat="1" ht="14.1" customHeight="1">
      <c r="B165" s="443" t="s">
        <v>151</v>
      </c>
      <c r="C165" s="443"/>
      <c r="D165" s="443"/>
      <c r="E165" s="54" t="str">
        <f>+IF(rascunho!CS14="","",rascunho!CS14)</f>
        <v/>
      </c>
      <c r="F165" s="51"/>
      <c r="G165" s="62" t="str">
        <f>+IF(H165="","",rascunho!DO14)</f>
        <v/>
      </c>
      <c r="H165" s="63" t="str">
        <f>+IF(G164="","",G164-0.01)</f>
        <v/>
      </c>
      <c r="I165" s="64" t="str">
        <f>+IF(H165="","",rascunho!DP14)</f>
        <v/>
      </c>
      <c r="J165" s="65" t="str">
        <f>+IF(H165="","",rascunho!DQ14)</f>
        <v/>
      </c>
      <c r="L165" s="2"/>
      <c r="M165" s="2"/>
      <c r="N165" s="2"/>
      <c r="O165" s="2"/>
      <c r="P165" s="2"/>
      <c r="Q165" s="2"/>
      <c r="R165" s="2"/>
      <c r="S165" s="2"/>
      <c r="T165" s="2"/>
      <c r="U165" s="148"/>
      <c r="V165" s="149"/>
      <c r="W165" s="149"/>
      <c r="X165" s="150"/>
      <c r="AG165" s="5"/>
      <c r="AH165" s="4"/>
      <c r="AI165" s="4"/>
    </row>
    <row r="166" spans="2:44" s="6" customFormat="1" ht="14.1" customHeight="1">
      <c r="B166" s="443" t="s">
        <v>142</v>
      </c>
      <c r="C166" s="443"/>
      <c r="D166" s="443" t="s">
        <v>25</v>
      </c>
      <c r="E166" s="50" t="str">
        <f>+IF(rascunho!CU14="","",rascunho!CU14)</f>
        <v/>
      </c>
      <c r="F166" s="51"/>
      <c r="G166" s="62" t="str">
        <f>+IF(H166="","",rascunho!DR14)</f>
        <v/>
      </c>
      <c r="H166" s="63" t="str">
        <f>+IF(G165="","",G165-0.01)</f>
        <v/>
      </c>
      <c r="I166" s="64" t="str">
        <f>+IF(H166="","",rascunho!DS14)</f>
        <v/>
      </c>
      <c r="J166" s="65" t="str">
        <f>+IF(H166="","",rascunho!DT14)</f>
        <v/>
      </c>
      <c r="L166" s="2"/>
      <c r="M166" s="2"/>
      <c r="N166" s="2"/>
      <c r="O166" s="2"/>
      <c r="P166" s="2"/>
      <c r="Q166" s="2"/>
      <c r="R166" s="2"/>
      <c r="S166" s="2"/>
      <c r="T166" s="2"/>
      <c r="U166" s="148"/>
      <c r="V166" s="149"/>
      <c r="W166" s="149"/>
      <c r="X166" s="150"/>
      <c r="AH166" s="4"/>
      <c r="AI166" s="4"/>
    </row>
    <row r="167" spans="2:44" s="6" customFormat="1" ht="14.1" customHeight="1">
      <c r="B167" s="66"/>
      <c r="C167" s="67"/>
      <c r="D167" s="68" t="s">
        <v>163</v>
      </c>
      <c r="E167" s="69" t="str">
        <f>+IF(rascunho!CX14="","",rascunho!CX14)</f>
        <v/>
      </c>
      <c r="F167" s="51"/>
      <c r="G167" s="62" t="str">
        <f>+IF(H167="","",rascunho!DU14)</f>
        <v/>
      </c>
      <c r="H167" s="63" t="str">
        <f>+IF(OR(G166="",G166=0),"",G166-0.01)</f>
        <v/>
      </c>
      <c r="I167" s="64" t="str">
        <f>+IF(H167="","",rascunho!DV14)</f>
        <v/>
      </c>
      <c r="J167" s="65" t="str">
        <f>+IF(H167="","",rascunho!DW14)</f>
        <v/>
      </c>
      <c r="L167" s="2"/>
      <c r="M167" s="2"/>
      <c r="N167" s="2"/>
      <c r="O167" s="2"/>
      <c r="P167" s="2"/>
      <c r="Q167" s="2"/>
      <c r="R167" s="2"/>
      <c r="S167" s="2"/>
      <c r="T167" s="2"/>
      <c r="U167" s="148"/>
      <c r="V167" s="149"/>
      <c r="W167" s="149"/>
      <c r="X167" s="150"/>
      <c r="AG167" s="2"/>
      <c r="AH167" s="4"/>
      <c r="AI167" s="4"/>
    </row>
    <row r="168" spans="2:44" s="6" customFormat="1" ht="14.1" customHeight="1">
      <c r="B168" s="66"/>
      <c r="C168" s="70"/>
      <c r="D168" s="71" t="s">
        <v>90</v>
      </c>
      <c r="E168" s="72" t="str">
        <f>+IF(rascunho!CY14="","",rascunho!CY14)</f>
        <v/>
      </c>
      <c r="F168" s="51"/>
      <c r="G168" s="62" t="str">
        <f>+IF(H168="","",rascunho!DX14)</f>
        <v/>
      </c>
      <c r="H168" s="63" t="str">
        <f>+IF(OR(G167="",G167=0),"",G167-0.01)</f>
        <v/>
      </c>
      <c r="I168" s="64" t="str">
        <f>+IF(H168="","",rascunho!DY14)</f>
        <v/>
      </c>
      <c r="J168" s="65" t="str">
        <f>+IF(H168="","",rascunho!DZ14)</f>
        <v/>
      </c>
      <c r="L168" s="2"/>
      <c r="M168" s="2"/>
      <c r="N168" s="2"/>
      <c r="O168" s="2"/>
      <c r="P168" s="2"/>
      <c r="Q168" s="2"/>
      <c r="R168" s="2"/>
      <c r="S168" s="2"/>
      <c r="T168" s="2"/>
      <c r="U168" s="148"/>
      <c r="V168" s="149"/>
      <c r="W168" s="149"/>
      <c r="X168" s="150"/>
      <c r="AG168" s="2"/>
      <c r="AH168" s="4"/>
      <c r="AI168" s="4"/>
    </row>
    <row r="169" spans="2:44" s="6" customFormat="1" ht="14.1" customHeight="1">
      <c r="B169" s="443" t="s">
        <v>152</v>
      </c>
      <c r="C169" s="443"/>
      <c r="D169" s="443"/>
      <c r="E169" s="50" t="str">
        <f>+IF(rascunho!CZ14="","",rascunho!CZ14)</f>
        <v/>
      </c>
      <c r="F169" s="51"/>
      <c r="G169" s="449" t="s">
        <v>91</v>
      </c>
      <c r="H169" s="450"/>
      <c r="I169" s="450"/>
      <c r="J169" s="451"/>
      <c r="L169" s="2"/>
      <c r="M169" s="2"/>
      <c r="N169" s="2"/>
      <c r="O169" s="2"/>
      <c r="P169" s="2"/>
      <c r="Q169" s="2"/>
      <c r="R169" s="2"/>
      <c r="S169" s="2"/>
      <c r="T169" s="2"/>
      <c r="U169" s="148"/>
      <c r="V169" s="149"/>
      <c r="W169" s="149"/>
      <c r="X169" s="150"/>
      <c r="AG169" s="4"/>
      <c r="AH169" s="4"/>
      <c r="AI169" s="4"/>
      <c r="AL169" s="4"/>
      <c r="AM169" s="4"/>
      <c r="AN169" s="4"/>
      <c r="AO169" s="4"/>
      <c r="AP169" s="4"/>
      <c r="AQ169" s="4"/>
      <c r="AR169" s="4"/>
    </row>
    <row r="170" spans="2:44" s="6" customFormat="1" ht="14.1" customHeight="1">
      <c r="B170" s="443" t="s">
        <v>229</v>
      </c>
      <c r="C170" s="443"/>
      <c r="D170" s="443"/>
      <c r="E170" s="54" t="str">
        <f>+IF(rascunho!DA14="","",rascunho!DA14)</f>
        <v/>
      </c>
      <c r="F170" s="51"/>
      <c r="G170" s="53" t="s">
        <v>154</v>
      </c>
      <c r="H170" s="73"/>
      <c r="I170" s="73"/>
      <c r="J170" s="73"/>
      <c r="L170" s="2"/>
      <c r="M170" s="2"/>
      <c r="N170" s="2"/>
      <c r="O170" s="2"/>
      <c r="P170" s="2"/>
      <c r="Q170" s="2"/>
      <c r="R170" s="2"/>
      <c r="S170" s="2"/>
      <c r="T170" s="2"/>
      <c r="U170" s="148"/>
      <c r="V170" s="149"/>
      <c r="W170" s="149"/>
      <c r="X170" s="150"/>
      <c r="AG170" s="4"/>
      <c r="AH170" s="5"/>
      <c r="AI170" s="5"/>
      <c r="AJ170" s="4"/>
      <c r="AL170" s="4"/>
      <c r="AM170" s="4"/>
      <c r="AN170" s="4"/>
      <c r="AO170" s="4"/>
      <c r="AP170" s="4"/>
      <c r="AQ170" s="4"/>
      <c r="AR170" s="4"/>
    </row>
    <row r="171" spans="2:44" s="6" customFormat="1" ht="14.1" customHeight="1">
      <c r="B171" s="443" t="s">
        <v>50</v>
      </c>
      <c r="C171" s="443"/>
      <c r="D171" s="443"/>
      <c r="E171" s="50" t="str">
        <f>+IF(rascunho!DC14="","",rascunho!DC14)</f>
        <v/>
      </c>
      <c r="F171" s="51"/>
      <c r="G171" s="53"/>
      <c r="H171" s="74"/>
      <c r="I171" s="74"/>
      <c r="J171" s="74"/>
      <c r="L171" s="2"/>
      <c r="M171" s="2"/>
      <c r="N171" s="2"/>
      <c r="O171" s="2"/>
      <c r="P171" s="2"/>
      <c r="Q171" s="2"/>
      <c r="R171" s="2"/>
      <c r="S171" s="2"/>
      <c r="T171" s="2"/>
      <c r="U171" s="148"/>
      <c r="V171" s="149"/>
      <c r="W171" s="149"/>
      <c r="X171" s="150"/>
      <c r="Y171" s="4"/>
      <c r="AG171" s="4"/>
      <c r="AH171" s="2"/>
      <c r="AI171" s="2"/>
      <c r="AJ171" s="4"/>
      <c r="AL171" s="4"/>
      <c r="AM171" s="4"/>
      <c r="AN171" s="4"/>
      <c r="AO171" s="4"/>
      <c r="AP171" s="4"/>
      <c r="AQ171" s="4"/>
      <c r="AR171" s="4"/>
    </row>
    <row r="172" spans="2:44" s="6" customFormat="1" ht="14.1" customHeight="1">
      <c r="B172" s="443" t="s">
        <v>153</v>
      </c>
      <c r="C172" s="443"/>
      <c r="D172" s="443"/>
      <c r="E172" s="54" t="str">
        <f>+IF(rascunho!DD14="","",rascunho!DD14)</f>
        <v/>
      </c>
      <c r="F172" s="51"/>
      <c r="G172" s="63"/>
      <c r="H172" s="63"/>
      <c r="I172" s="75"/>
      <c r="J172" s="76"/>
      <c r="L172" s="2"/>
      <c r="M172" s="2"/>
      <c r="N172" s="2"/>
      <c r="O172" s="2"/>
      <c r="P172" s="2"/>
      <c r="Q172" s="2"/>
      <c r="R172" s="2"/>
      <c r="S172" s="2"/>
      <c r="T172" s="2"/>
      <c r="U172" s="148"/>
      <c r="V172" s="149"/>
      <c r="W172" s="149"/>
      <c r="X172" s="150"/>
      <c r="Y172" s="4"/>
      <c r="AG172" s="4"/>
      <c r="AJ172" s="4"/>
      <c r="AL172" s="4"/>
      <c r="AM172" s="4"/>
      <c r="AN172" s="4"/>
      <c r="AO172" s="4"/>
      <c r="AP172" s="4"/>
      <c r="AQ172" s="4"/>
      <c r="AR172" s="4"/>
    </row>
    <row r="173" spans="2:44" s="6" customFormat="1" ht="14.1" customHeight="1">
      <c r="B173" s="443" t="str">
        <f>+CONCATENATE("IMPOSTO A ",rascunho!DI14,"(=):")</f>
        <v>IMPOSTO A (=):</v>
      </c>
      <c r="C173" s="443"/>
      <c r="D173" s="443"/>
      <c r="E173" s="50" t="str">
        <f>+IF(rascunho!DH14="","",ABS(rascunho!DH14))</f>
        <v/>
      </c>
      <c r="F173" s="51"/>
      <c r="G173" s="74"/>
      <c r="H173" s="74"/>
      <c r="I173" s="74"/>
      <c r="J173" s="74"/>
      <c r="L173" s="2"/>
      <c r="M173" s="2"/>
      <c r="N173" s="2"/>
      <c r="O173" s="2"/>
      <c r="P173" s="2"/>
      <c r="Q173" s="2"/>
      <c r="R173" s="2"/>
      <c r="S173" s="2"/>
      <c r="T173" s="2"/>
      <c r="U173" s="148"/>
      <c r="V173" s="149"/>
      <c r="W173" s="149"/>
      <c r="X173" s="150"/>
      <c r="Y173" s="4"/>
      <c r="Z173" s="4"/>
      <c r="AA173" s="4"/>
      <c r="AB173" s="4"/>
      <c r="AC173" s="4"/>
      <c r="AD173" s="4"/>
      <c r="AE173" s="4"/>
      <c r="AF173" s="4"/>
      <c r="AG173" s="4"/>
      <c r="AJ173" s="4"/>
      <c r="AL173" s="5"/>
      <c r="AM173" s="5"/>
      <c r="AN173" s="5"/>
      <c r="AO173" s="5"/>
      <c r="AP173" s="5"/>
      <c r="AQ173" s="5"/>
      <c r="AR173" s="5"/>
    </row>
    <row r="174" spans="2:44" s="6" customFormat="1" ht="14.1" customHeight="1">
      <c r="B174" s="443" t="str">
        <f>+CONCATENATE("(*)IMPOSTO A ",rascunho!DG14," EFETUADO:")</f>
        <v>(*)IMPOSTO A  EFETUADO:</v>
      </c>
      <c r="C174" s="443"/>
      <c r="D174" s="443"/>
      <c r="E174" s="54" t="str">
        <f>+IF(rascunho!DE14="","",ABS(rascunho!DE14))</f>
        <v/>
      </c>
      <c r="F174" s="51"/>
      <c r="G174" s="47"/>
      <c r="H174" s="43"/>
      <c r="I174" s="444" t="str">
        <f>+IF(AND(I161&gt;1991,I161&lt;1995),"(em moeda)","")</f>
        <v/>
      </c>
      <c r="J174" s="444"/>
      <c r="L174" s="2"/>
      <c r="M174" s="2"/>
      <c r="N174" s="2"/>
      <c r="O174" s="2"/>
      <c r="P174" s="2"/>
      <c r="Q174" s="2"/>
      <c r="R174" s="2"/>
      <c r="S174" s="2"/>
      <c r="T174" s="2"/>
      <c r="U174" s="148"/>
      <c r="V174" s="149"/>
      <c r="W174" s="149"/>
      <c r="X174" s="150"/>
      <c r="Y174" s="4"/>
      <c r="Z174" s="4"/>
      <c r="AA174" s="4"/>
      <c r="AB174" s="4"/>
      <c r="AC174" s="4"/>
      <c r="AD174" s="4"/>
      <c r="AE174" s="4"/>
      <c r="AF174" s="4"/>
      <c r="AG174" s="5"/>
      <c r="AH174" s="2"/>
      <c r="AI174" s="2"/>
      <c r="AJ174" s="5"/>
    </row>
    <row r="175" spans="2:44" s="6" customFormat="1" ht="14.1" customHeight="1">
      <c r="B175" s="455" t="s">
        <v>32</v>
      </c>
      <c r="C175" s="455"/>
      <c r="D175" s="455"/>
      <c r="E175" s="79" t="str">
        <f>+IF(rascunho!EC14="","",-rascunho!EC14)</f>
        <v/>
      </c>
      <c r="F175" s="80"/>
      <c r="G175" s="81" t="str">
        <f>+IF(AND(I161&gt;=1992,I161&lt;1995),"(em UFIR)","")</f>
        <v/>
      </c>
      <c r="H175" s="81"/>
      <c r="I175" s="445" t="str">
        <f>+IF(AND(I161&gt;1991,I161&lt;1995),ABS(rascunho!EF14),"")</f>
        <v/>
      </c>
      <c r="J175" s="445"/>
      <c r="L175" s="2"/>
      <c r="M175" s="2"/>
      <c r="N175" s="2"/>
      <c r="O175" s="2"/>
      <c r="P175" s="2"/>
      <c r="Q175" s="2"/>
      <c r="R175" s="2"/>
      <c r="S175" s="2"/>
      <c r="T175" s="2"/>
      <c r="U175" s="151"/>
      <c r="V175" s="152"/>
      <c r="W175" s="152"/>
      <c r="X175" s="156"/>
      <c r="Y175" s="4"/>
      <c r="Z175" s="4"/>
      <c r="AA175" s="4"/>
      <c r="AB175" s="4"/>
      <c r="AC175" s="4"/>
      <c r="AD175" s="4"/>
      <c r="AE175" s="4"/>
      <c r="AF175" s="4"/>
      <c r="AG175" s="2"/>
      <c r="AH175" s="2"/>
      <c r="AI175" s="2"/>
      <c r="AL175" s="2"/>
      <c r="AM175" s="2"/>
      <c r="AN175" s="2"/>
      <c r="AO175" s="2"/>
      <c r="AP175" s="2"/>
      <c r="AQ175" s="2"/>
      <c r="AR175" s="2"/>
    </row>
    <row r="176" spans="2:44" s="6" customFormat="1" ht="9.9499999999999993" customHeight="1">
      <c r="B176" s="82"/>
      <c r="C176" s="82"/>
      <c r="D176" s="82"/>
      <c r="E176" s="82"/>
      <c r="F176" s="83"/>
      <c r="G176" s="482" t="str">
        <f>+CONCATENATE(B9," - PÁGINA 3 de ",calculo!AF16)</f>
        <v>CÁLCULO DA(S) DECLARAÇÃO(ÕES) - PÁGINA 3 de 1</v>
      </c>
      <c r="H176" s="482"/>
      <c r="I176" s="482"/>
      <c r="J176" s="482"/>
      <c r="L176" s="2"/>
      <c r="M176" s="2"/>
      <c r="N176" s="2"/>
      <c r="O176" s="2"/>
      <c r="P176" s="2"/>
      <c r="Q176" s="2"/>
      <c r="R176" s="2"/>
      <c r="S176" s="2"/>
      <c r="T176" s="2"/>
      <c r="U176" s="82"/>
      <c r="V176" s="82"/>
      <c r="W176" s="82"/>
      <c r="X176" s="118" t="str">
        <f>+CONCATENATE(U9," - PAGINA 3 de ",calculo!AK15)</f>
        <v>RELATÓRIO DOS VALORES ACRESCIDOS OU RETIRADOS DA BASE DE CÁLCULO - PAGINA 3 de 1</v>
      </c>
      <c r="Y176" s="4"/>
      <c r="Z176" s="4"/>
      <c r="AA176" s="4"/>
      <c r="AB176" s="4"/>
      <c r="AC176" s="4"/>
      <c r="AD176" s="4"/>
      <c r="AE176" s="4"/>
      <c r="AF176" s="4"/>
      <c r="AH176" s="4"/>
      <c r="AI176" s="4"/>
      <c r="AJ176" s="2"/>
      <c r="AL176" s="2"/>
      <c r="AM176" s="2"/>
      <c r="AN176" s="2"/>
      <c r="AO176" s="2"/>
      <c r="AP176" s="2"/>
      <c r="AQ176" s="2"/>
      <c r="AR176" s="2"/>
    </row>
    <row r="177" spans="1:44" s="6" customFormat="1" ht="9.9499999999999993" customHeight="1">
      <c r="B177" s="82" t="str">
        <f>+B118</f>
        <v>PCIRA - VERSÃO: 9.0.4.2007-2024</v>
      </c>
      <c r="C177" s="82"/>
      <c r="D177" s="82"/>
      <c r="E177" s="82"/>
      <c r="F177" s="83"/>
      <c r="G177" s="83"/>
      <c r="H177" s="84"/>
      <c r="I177" s="83"/>
      <c r="J177" s="85" t="str">
        <f ca="1">+CONCATENATE("EMITIDO EM: ",TEXT(NOW(),"d-mm-aaaa"))</f>
        <v>EMITIDO EM: 16-09-2026</v>
      </c>
      <c r="L177" s="2"/>
      <c r="M177" s="2"/>
      <c r="N177" s="2"/>
      <c r="O177" s="2"/>
      <c r="P177" s="2"/>
      <c r="Q177" s="2"/>
      <c r="R177" s="2"/>
      <c r="S177" s="2"/>
      <c r="T177" s="2"/>
      <c r="U177" s="82" t="str">
        <f>+U118</f>
        <v>PCIRA - VERSÃO: 9.0.4.2007-2024</v>
      </c>
      <c r="V177" s="82"/>
      <c r="W177" s="82"/>
      <c r="X177" s="120"/>
      <c r="Y177" s="4"/>
      <c r="Z177" s="5"/>
      <c r="AA177" s="5"/>
      <c r="AB177" s="5"/>
      <c r="AC177" s="5"/>
      <c r="AD177" s="5"/>
      <c r="AE177" s="5"/>
      <c r="AF177" s="5"/>
      <c r="AH177" s="4"/>
      <c r="AI177" s="4"/>
      <c r="AJ177" s="2"/>
      <c r="AL177" s="4"/>
      <c r="AM177" s="4"/>
      <c r="AN177" s="4"/>
      <c r="AO177" s="4"/>
      <c r="AP177" s="4"/>
      <c r="AQ177" s="4"/>
      <c r="AR177" s="4"/>
    </row>
    <row r="178" spans="1:44" s="6" customFormat="1" ht="9.9499999999999993" customHeight="1">
      <c r="B178" s="82" t="str">
        <f>+B119</f>
        <v>SJRJ - DCAL</v>
      </c>
      <c r="C178" s="82"/>
      <c r="D178" s="82"/>
      <c r="E178" s="82"/>
      <c r="F178" s="83"/>
      <c r="G178" s="83"/>
      <c r="H178" s="84"/>
      <c r="I178" s="83"/>
      <c r="J178" s="86"/>
      <c r="L178" s="2"/>
      <c r="M178" s="2"/>
      <c r="N178" s="2"/>
      <c r="O178" s="2"/>
      <c r="P178" s="2"/>
      <c r="Q178" s="2"/>
      <c r="R178" s="2"/>
      <c r="S178" s="2"/>
      <c r="T178" s="2"/>
      <c r="U178" s="82" t="str">
        <f>+U119</f>
        <v>SJRJ - DCAL</v>
      </c>
      <c r="V178" s="82"/>
      <c r="W178" s="82"/>
      <c r="X178" s="115"/>
      <c r="Y178" s="4"/>
      <c r="AG178" s="2"/>
      <c r="AH178" s="4"/>
      <c r="AI178" s="4"/>
      <c r="AJ178" s="4"/>
      <c r="AL178" s="4"/>
      <c r="AM178" s="4"/>
      <c r="AN178" s="4"/>
      <c r="AO178" s="4"/>
      <c r="AP178" s="4"/>
      <c r="AQ178" s="4"/>
      <c r="AR178" s="4"/>
    </row>
    <row r="179" spans="1:44" s="6" customFormat="1" ht="9.9499999999999993" customHeight="1">
      <c r="B179" s="2"/>
      <c r="C179" s="2"/>
      <c r="D179" s="2"/>
      <c r="E179" s="2"/>
      <c r="F179" s="2"/>
      <c r="G179" s="2"/>
      <c r="H179" s="7"/>
      <c r="I179" s="2"/>
      <c r="J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4"/>
      <c r="Z179" s="4"/>
      <c r="AA179" s="2"/>
      <c r="AB179" s="2"/>
      <c r="AC179" s="2"/>
      <c r="AE179" s="2"/>
      <c r="AF179" s="2"/>
      <c r="AG179" s="2"/>
      <c r="AH179" s="4"/>
      <c r="AI179" s="4"/>
      <c r="AJ179" s="4"/>
      <c r="AL179" s="4"/>
      <c r="AM179" s="4"/>
      <c r="AN179" s="4"/>
      <c r="AO179" s="4"/>
      <c r="AP179" s="4"/>
      <c r="AQ179" s="4"/>
      <c r="AR179" s="4"/>
    </row>
    <row r="180" spans="1:44" s="4" customFormat="1" ht="18" customHeight="1">
      <c r="B180" s="348"/>
      <c r="C180" s="442" t="s">
        <v>250</v>
      </c>
      <c r="D180" s="442"/>
      <c r="E180" s="442"/>
      <c r="F180" s="442"/>
      <c r="G180" s="442"/>
      <c r="H180" s="442"/>
      <c r="I180" s="442"/>
      <c r="J180" s="442"/>
      <c r="L180" s="2"/>
      <c r="M180" s="2"/>
      <c r="N180" s="2"/>
      <c r="O180" s="2"/>
      <c r="P180" s="2"/>
      <c r="Q180" s="2"/>
      <c r="R180" s="2"/>
      <c r="S180" s="2"/>
      <c r="T180" s="2"/>
      <c r="AB180" s="2"/>
      <c r="AC180" s="2"/>
      <c r="AD180" s="2"/>
      <c r="AE180" s="2"/>
      <c r="AF180" s="2"/>
      <c r="AH180" s="5"/>
      <c r="AI180" s="5"/>
    </row>
    <row r="181" spans="1:44" s="4" customFormat="1" ht="18" customHeight="1">
      <c r="B181" s="348"/>
      <c r="C181" s="442" t="s">
        <v>310</v>
      </c>
      <c r="D181" s="442"/>
      <c r="E181" s="442"/>
      <c r="F181" s="442"/>
      <c r="G181" s="442"/>
      <c r="H181" s="442"/>
      <c r="I181" s="442"/>
      <c r="J181" s="442"/>
      <c r="L181" s="2"/>
      <c r="M181" s="2"/>
      <c r="N181" s="2"/>
      <c r="O181" s="2"/>
      <c r="P181" s="2"/>
      <c r="Q181" s="2"/>
      <c r="R181" s="2"/>
      <c r="S181" s="2"/>
      <c r="T181" s="2"/>
      <c r="AH181" s="6"/>
      <c r="AI181" s="6"/>
    </row>
    <row r="182" spans="1:44" s="4" customFormat="1" ht="18" customHeight="1">
      <c r="B182" s="348"/>
      <c r="C182" s="442" t="s">
        <v>252</v>
      </c>
      <c r="D182" s="442"/>
      <c r="E182" s="442"/>
      <c r="F182" s="442"/>
      <c r="G182" s="442"/>
      <c r="H182" s="442"/>
      <c r="I182" s="442"/>
      <c r="J182" s="442"/>
      <c r="L182" s="2"/>
      <c r="M182" s="2"/>
      <c r="N182" s="2"/>
      <c r="O182" s="2"/>
      <c r="P182" s="2"/>
      <c r="Q182" s="2"/>
      <c r="R182" s="2"/>
      <c r="S182" s="2"/>
      <c r="T182" s="2"/>
      <c r="AH182" s="6"/>
      <c r="AI182" s="6"/>
      <c r="AL182" s="5"/>
      <c r="AM182" s="5"/>
      <c r="AN182" s="5"/>
      <c r="AO182" s="5"/>
      <c r="AP182" s="5"/>
      <c r="AQ182" s="5"/>
      <c r="AR182" s="5"/>
    </row>
    <row r="183" spans="1:44" s="4" customFormat="1" ht="18" customHeight="1">
      <c r="B183" s="349"/>
      <c r="C183" s="446" t="s">
        <v>311</v>
      </c>
      <c r="D183" s="446"/>
      <c r="E183" s="446"/>
      <c r="F183" s="446"/>
      <c r="G183" s="446"/>
      <c r="H183" s="446"/>
      <c r="I183" s="446"/>
      <c r="J183" s="446"/>
      <c r="L183" s="2"/>
      <c r="M183" s="2"/>
      <c r="N183" s="2"/>
      <c r="O183" s="2"/>
      <c r="P183" s="2"/>
      <c r="Q183" s="2"/>
      <c r="R183" s="2"/>
      <c r="S183" s="2"/>
      <c r="T183" s="2"/>
      <c r="AH183" s="6"/>
      <c r="AI183" s="6"/>
      <c r="AJ183" s="5"/>
      <c r="AL183" s="2"/>
      <c r="AM183" s="2"/>
      <c r="AN183" s="2"/>
      <c r="AO183" s="2"/>
      <c r="AP183" s="2"/>
      <c r="AQ183" s="2"/>
      <c r="AR183" s="2"/>
    </row>
    <row r="184" spans="1:44" s="5" customFormat="1" ht="7.5" customHeight="1">
      <c r="B184" s="436" t="s">
        <v>0</v>
      </c>
      <c r="C184" s="438"/>
      <c r="D184" s="436" t="s">
        <v>1</v>
      </c>
      <c r="E184" s="437"/>
      <c r="F184" s="437"/>
      <c r="G184" s="437"/>
      <c r="H184" s="437"/>
      <c r="I184" s="437"/>
      <c r="J184" s="438"/>
      <c r="L184" s="2"/>
      <c r="M184" s="2"/>
      <c r="N184" s="2"/>
      <c r="O184" s="2"/>
      <c r="P184" s="2"/>
      <c r="Q184" s="2"/>
      <c r="R184" s="2"/>
      <c r="S184" s="2"/>
      <c r="T184" s="2"/>
      <c r="U184" s="4"/>
      <c r="V184" s="4"/>
      <c r="W184" s="4"/>
      <c r="X184" s="4"/>
      <c r="Y184" s="4"/>
      <c r="AA184" s="4"/>
      <c r="AB184" s="4"/>
      <c r="AC184" s="4"/>
      <c r="AD184" s="4"/>
      <c r="AE184" s="4"/>
      <c r="AF184" s="4"/>
      <c r="AH184" s="6"/>
      <c r="AI184" s="6"/>
      <c r="AJ184" s="2"/>
      <c r="AL184" s="6"/>
      <c r="AM184" s="6"/>
      <c r="AN184" s="6"/>
      <c r="AO184" s="6"/>
      <c r="AP184" s="6"/>
      <c r="AQ184" s="6"/>
      <c r="AR184" s="6"/>
    </row>
    <row r="185" spans="1:44" s="6" customFormat="1" ht="14.1" customHeight="1">
      <c r="B185" s="452" t="str">
        <f>+B8</f>
        <v/>
      </c>
      <c r="C185" s="453"/>
      <c r="D185" s="439" t="str">
        <f>+D8</f>
        <v/>
      </c>
      <c r="E185" s="440"/>
      <c r="F185" s="440"/>
      <c r="G185" s="440"/>
      <c r="H185" s="440"/>
      <c r="I185" s="440"/>
      <c r="J185" s="441"/>
      <c r="L185" s="2"/>
      <c r="M185" s="2"/>
      <c r="N185" s="2"/>
      <c r="O185" s="2"/>
      <c r="P185" s="2"/>
      <c r="Q185" s="2"/>
      <c r="R185" s="2"/>
      <c r="S185" s="2"/>
      <c r="T185" s="2"/>
      <c r="U185" s="4"/>
      <c r="V185" s="4"/>
      <c r="W185" s="4"/>
      <c r="X185" s="4"/>
      <c r="Y185" s="4"/>
      <c r="Z185" s="2"/>
      <c r="AA185" s="5"/>
      <c r="AB185" s="4"/>
      <c r="AC185" s="4"/>
      <c r="AD185" s="4"/>
      <c r="AE185" s="4"/>
      <c r="AF185" s="4"/>
    </row>
    <row r="186" spans="1:44" ht="14.1" customHeight="1">
      <c r="B186" s="44" t="s">
        <v>194</v>
      </c>
      <c r="C186" s="45"/>
      <c r="D186" s="45"/>
      <c r="E186" s="45"/>
      <c r="F186" s="45"/>
      <c r="G186" s="45"/>
      <c r="H186" s="45"/>
      <c r="I186" s="45"/>
      <c r="J186" s="45"/>
      <c r="K186" s="5"/>
      <c r="U186" s="4"/>
      <c r="V186" s="4"/>
      <c r="W186" s="4"/>
      <c r="X186" s="4"/>
      <c r="Y186" s="4"/>
      <c r="Z186" s="6"/>
      <c r="AB186" s="5"/>
      <c r="AC186" s="5"/>
      <c r="AD186" s="5"/>
      <c r="AE186" s="5"/>
      <c r="AF186" s="5"/>
      <c r="AG186" s="6"/>
      <c r="AH186" s="6"/>
      <c r="AI186" s="6"/>
      <c r="AJ186" s="6"/>
    </row>
    <row r="187" spans="1:44" ht="14.1" customHeight="1">
      <c r="A187" s="4"/>
      <c r="B187" s="46"/>
      <c r="C187" s="46"/>
      <c r="D187" s="45"/>
      <c r="E187" s="47"/>
      <c r="F187" s="47"/>
      <c r="G187" s="47"/>
      <c r="H187" s="48"/>
      <c r="I187" s="49"/>
      <c r="J187" s="49"/>
      <c r="V187" s="4"/>
      <c r="W187" s="4"/>
      <c r="X187" s="4"/>
      <c r="Y187" s="4"/>
      <c r="Z187" s="6"/>
      <c r="AA187" s="6"/>
      <c r="AG187" s="6"/>
      <c r="AH187" s="6"/>
      <c r="AI187" s="6"/>
    </row>
    <row r="188" spans="1:44" s="4" customFormat="1" ht="14.1" customHeight="1">
      <c r="B188" s="443" t="s">
        <v>150</v>
      </c>
      <c r="C188" s="443"/>
      <c r="D188" s="443"/>
      <c r="E188" s="50" t="str">
        <f>+IF(rascunho!CM15="","",rascunho!CM15)</f>
        <v/>
      </c>
      <c r="F188" s="51"/>
      <c r="G188" s="448" t="s">
        <v>23</v>
      </c>
      <c r="H188" s="448"/>
      <c r="I188" s="52" t="str">
        <f>+IF(rascunho!CJ15="","",rascunho!CJ15)</f>
        <v/>
      </c>
      <c r="J188" s="53"/>
      <c r="K188" s="6"/>
      <c r="L188" s="2"/>
      <c r="M188" s="2"/>
      <c r="N188" s="2"/>
      <c r="O188" s="2"/>
      <c r="P188" s="2"/>
      <c r="Q188" s="2"/>
      <c r="R188" s="2"/>
      <c r="S188" s="2"/>
      <c r="T188" s="2"/>
      <c r="U188" s="2"/>
      <c r="Z188" s="2"/>
      <c r="AA188" s="6"/>
      <c r="AB188" s="6"/>
      <c r="AC188" s="6"/>
      <c r="AD188" s="6"/>
      <c r="AE188" s="6"/>
      <c r="AF188" s="6"/>
      <c r="AG188" s="6"/>
      <c r="AH188" s="6"/>
      <c r="AI188" s="6"/>
      <c r="AJ188" s="2"/>
    </row>
    <row r="189" spans="1:44" s="4" customFormat="1" ht="14.1" customHeight="1">
      <c r="B189" s="443" t="s">
        <v>87</v>
      </c>
      <c r="C189" s="443"/>
      <c r="D189" s="443" t="s">
        <v>24</v>
      </c>
      <c r="E189" s="50" t="str">
        <f>+IF(rascunho!CN15="","",rascunho!CN15)</f>
        <v/>
      </c>
      <c r="F189" s="51"/>
      <c r="G189" s="456" t="str">
        <f>+CONCATENATE("TIPO DE DECLARAÇÃO: ",rascunho!CL15)</f>
        <v xml:space="preserve">TIPO DE DECLARAÇÃO: </v>
      </c>
      <c r="H189" s="456"/>
      <c r="I189" s="456"/>
      <c r="J189" s="456"/>
      <c r="K189" s="6"/>
      <c r="L189" s="2"/>
      <c r="M189" s="2"/>
      <c r="N189" s="2"/>
      <c r="O189" s="2"/>
      <c r="P189" s="2"/>
      <c r="Q189" s="2"/>
      <c r="R189" s="2"/>
      <c r="S189" s="2"/>
      <c r="T189" s="2"/>
      <c r="U189" s="2"/>
      <c r="Z189" s="2"/>
      <c r="AA189" s="2"/>
      <c r="AB189" s="6"/>
      <c r="AC189" s="6"/>
      <c r="AD189" s="6"/>
      <c r="AE189" s="6"/>
      <c r="AF189" s="6"/>
      <c r="AG189" s="6"/>
      <c r="AH189" s="6"/>
      <c r="AI189" s="6"/>
    </row>
    <row r="190" spans="1:44" s="4" customFormat="1" ht="14.1" customHeight="1">
      <c r="B190" s="443" t="s">
        <v>86</v>
      </c>
      <c r="C190" s="443"/>
      <c r="D190" s="443" t="s">
        <v>24</v>
      </c>
      <c r="E190" s="54" t="str">
        <f>+IF(rascunho!CO15="","",rascunho!CO15)</f>
        <v/>
      </c>
      <c r="F190" s="51"/>
      <c r="G190" s="55" t="s">
        <v>2</v>
      </c>
      <c r="H190" s="56" t="s">
        <v>3</v>
      </c>
      <c r="I190" s="56" t="s">
        <v>14</v>
      </c>
      <c r="J190" s="57" t="s">
        <v>4</v>
      </c>
      <c r="K190" s="6"/>
      <c r="L190" s="2"/>
      <c r="M190" s="2"/>
      <c r="N190" s="2"/>
      <c r="O190" s="2"/>
      <c r="P190" s="2"/>
      <c r="Q190" s="2"/>
      <c r="R190" s="2"/>
      <c r="S190" s="2"/>
      <c r="T190" s="2"/>
      <c r="U190" s="2"/>
      <c r="AA190" s="2"/>
      <c r="AB190" s="2"/>
      <c r="AC190" s="2"/>
      <c r="AD190" s="2"/>
      <c r="AE190" s="2"/>
      <c r="AF190" s="2"/>
      <c r="AG190" s="6"/>
      <c r="AH190" s="6"/>
      <c r="AI190" s="6"/>
    </row>
    <row r="191" spans="1:44" s="4" customFormat="1" ht="14.1" customHeight="1">
      <c r="B191" s="443" t="s">
        <v>89</v>
      </c>
      <c r="C191" s="443"/>
      <c r="D191" s="443"/>
      <c r="E191" s="50" t="str">
        <f>+IF(rascunho!CQ15="","",rascunho!CQ15)</f>
        <v/>
      </c>
      <c r="F191" s="51"/>
      <c r="G191" s="58" t="str">
        <f>+IF(rascunho!DL15="","",rascunho!DL15)</f>
        <v/>
      </c>
      <c r="H191" s="59" t="s">
        <v>5</v>
      </c>
      <c r="I191" s="60" t="str">
        <f>+IF(rascunho!DM15="","",rascunho!DM15)</f>
        <v/>
      </c>
      <c r="J191" s="61" t="str">
        <f>+IF(rascunho!DN15="","",rascunho!DN15)</f>
        <v/>
      </c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AB191" s="2"/>
      <c r="AC191" s="2"/>
      <c r="AD191" s="2"/>
      <c r="AE191" s="2"/>
      <c r="AF191" s="2"/>
      <c r="AG191" s="6"/>
      <c r="AH191" s="6"/>
      <c r="AI191" s="6"/>
    </row>
    <row r="192" spans="1:44" s="4" customFormat="1" ht="14.1" customHeight="1">
      <c r="A192" s="5"/>
      <c r="B192" s="443" t="s">
        <v>151</v>
      </c>
      <c r="C192" s="443"/>
      <c r="D192" s="443"/>
      <c r="E192" s="54" t="str">
        <f>+IF(rascunho!CS15="","",rascunho!CS15)</f>
        <v/>
      </c>
      <c r="F192" s="51"/>
      <c r="G192" s="62" t="str">
        <f>+IF(H192="","",rascunho!DO15)</f>
        <v/>
      </c>
      <c r="H192" s="63" t="str">
        <f>+IF(G191="","",G191-0.01)</f>
        <v/>
      </c>
      <c r="I192" s="64" t="str">
        <f>+IF(H192="","",rascunho!DP15)</f>
        <v/>
      </c>
      <c r="J192" s="65" t="str">
        <f>+IF(H192="","",rascunho!DQ15)</f>
        <v/>
      </c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AG192" s="6"/>
      <c r="AH192" s="6"/>
      <c r="AI192" s="6"/>
      <c r="AL192" s="5"/>
      <c r="AM192" s="5"/>
      <c r="AN192" s="5"/>
      <c r="AO192" s="5"/>
      <c r="AP192" s="5"/>
      <c r="AQ192" s="5"/>
      <c r="AR192" s="5"/>
    </row>
    <row r="193" spans="1:44" s="5" customFormat="1" ht="14.1" customHeight="1">
      <c r="A193" s="4"/>
      <c r="B193" s="443" t="s">
        <v>142</v>
      </c>
      <c r="C193" s="443"/>
      <c r="D193" s="443" t="s">
        <v>25</v>
      </c>
      <c r="E193" s="50" t="str">
        <f>+IF(rascunho!CU15="","",rascunho!CU15)</f>
        <v/>
      </c>
      <c r="F193" s="51"/>
      <c r="G193" s="62" t="str">
        <f>+IF(H193="","",rascunho!DR15)</f>
        <v/>
      </c>
      <c r="H193" s="63" t="str">
        <f>+IF(G192="","",G192-0.01)</f>
        <v/>
      </c>
      <c r="I193" s="64" t="str">
        <f>+IF(H193="","",rascunho!DS15)</f>
        <v/>
      </c>
      <c r="J193" s="65" t="str">
        <f>+IF(H193="","",rascunho!DT15)</f>
        <v/>
      </c>
      <c r="K193" s="4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6"/>
      <c r="AH193" s="6"/>
      <c r="AI193" s="6"/>
      <c r="AL193" s="6"/>
      <c r="AM193" s="6"/>
      <c r="AN193" s="6"/>
      <c r="AO193" s="6"/>
      <c r="AP193" s="6"/>
      <c r="AQ193" s="6"/>
      <c r="AR193" s="6"/>
    </row>
    <row r="194" spans="1:44" ht="14.1" customHeight="1">
      <c r="A194" s="6"/>
      <c r="B194" s="66"/>
      <c r="C194" s="67"/>
      <c r="D194" s="68" t="s">
        <v>163</v>
      </c>
      <c r="E194" s="69" t="str">
        <f>+IF(rascunho!CX15="","",rascunho!CX15)</f>
        <v/>
      </c>
      <c r="F194" s="51"/>
      <c r="G194" s="62" t="str">
        <f>+IF(H194="","",rascunho!DU15)</f>
        <v/>
      </c>
      <c r="H194" s="63" t="str">
        <f>+IF(OR(G193="",G193=0),"",G193-0.01)</f>
        <v/>
      </c>
      <c r="I194" s="64" t="str">
        <f>+IF(H194="","",rascunho!DV15)</f>
        <v/>
      </c>
      <c r="J194" s="65" t="str">
        <f>+IF(H194="","",rascunho!DW15)</f>
        <v/>
      </c>
      <c r="K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6"/>
      <c r="AH194" s="6"/>
      <c r="AI194" s="6"/>
      <c r="AJ194" s="6"/>
      <c r="AL194" s="6"/>
      <c r="AM194" s="6"/>
      <c r="AN194" s="6"/>
      <c r="AO194" s="6"/>
      <c r="AP194" s="6"/>
      <c r="AQ194" s="6"/>
      <c r="AR194" s="6"/>
    </row>
    <row r="195" spans="1:44" s="6" customFormat="1" ht="14.1" customHeight="1">
      <c r="A195" s="5"/>
      <c r="B195" s="66"/>
      <c r="C195" s="70"/>
      <c r="D195" s="71" t="s">
        <v>90</v>
      </c>
      <c r="E195" s="72" t="str">
        <f>+IF(rascunho!CY15="","",rascunho!CY15)</f>
        <v/>
      </c>
      <c r="F195" s="51"/>
      <c r="G195" s="62" t="str">
        <f>+IF(H195="","",rascunho!DX15)</f>
        <v/>
      </c>
      <c r="H195" s="63" t="str">
        <f>+IF(OR(G194="",G194=0),"",G194-0.01)</f>
        <v/>
      </c>
      <c r="I195" s="64" t="str">
        <f>+IF(H195="","",rascunho!DY15)</f>
        <v/>
      </c>
      <c r="J195" s="65" t="str">
        <f>+IF(H195="","",rascunho!DZ15)</f>
        <v/>
      </c>
      <c r="K195" s="4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4"/>
      <c r="W195" s="4"/>
      <c r="X195" s="4"/>
      <c r="Y195" s="4"/>
      <c r="Z195" s="5"/>
      <c r="AA195" s="4"/>
      <c r="AB195" s="4"/>
      <c r="AC195" s="4"/>
      <c r="AD195" s="4"/>
      <c r="AE195" s="4"/>
      <c r="AF195" s="4"/>
    </row>
    <row r="196" spans="1:44" s="6" customFormat="1" ht="14.1" customHeight="1">
      <c r="B196" s="443" t="s">
        <v>152</v>
      </c>
      <c r="C196" s="443"/>
      <c r="D196" s="443"/>
      <c r="E196" s="87" t="str">
        <f>+IF(rascunho!CZ15="","",rascunho!CZ15)</f>
        <v/>
      </c>
      <c r="F196" s="51"/>
      <c r="G196" s="449" t="s">
        <v>91</v>
      </c>
      <c r="H196" s="450"/>
      <c r="I196" s="450"/>
      <c r="J196" s="451"/>
      <c r="K196" s="4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4"/>
      <c r="W196" s="4"/>
      <c r="X196" s="4"/>
      <c r="Y196" s="4"/>
      <c r="AB196" s="5"/>
      <c r="AC196" s="5"/>
      <c r="AD196" s="5"/>
      <c r="AE196" s="5"/>
      <c r="AF196" s="5"/>
    </row>
    <row r="197" spans="1:44" ht="14.1" customHeight="1">
      <c r="A197" s="6"/>
      <c r="B197" s="443" t="s">
        <v>229</v>
      </c>
      <c r="C197" s="443"/>
      <c r="D197" s="443"/>
      <c r="E197" s="54" t="str">
        <f>+IF(rascunho!DA15="","",rascunho!DA15)</f>
        <v/>
      </c>
      <c r="F197" s="51"/>
      <c r="G197" s="53" t="s">
        <v>154</v>
      </c>
      <c r="H197" s="73"/>
      <c r="I197" s="73"/>
      <c r="J197" s="73"/>
      <c r="K197" s="4"/>
      <c r="V197" s="4"/>
      <c r="W197" s="4"/>
      <c r="X197" s="4"/>
      <c r="Y197" s="4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L197" s="6"/>
      <c r="AM197" s="6"/>
      <c r="AN197" s="6"/>
      <c r="AO197" s="6"/>
      <c r="AP197" s="6"/>
      <c r="AQ197" s="6"/>
      <c r="AR197" s="6"/>
    </row>
    <row r="198" spans="1:44" ht="14.1" customHeight="1">
      <c r="A198" s="6"/>
      <c r="B198" s="443" t="s">
        <v>50</v>
      </c>
      <c r="C198" s="443"/>
      <c r="D198" s="443"/>
      <c r="E198" s="50" t="str">
        <f>+IF(rascunho!DC15="","",rascunho!DC15)</f>
        <v/>
      </c>
      <c r="F198" s="51"/>
      <c r="G198" s="63"/>
      <c r="H198" s="74"/>
      <c r="I198" s="74"/>
      <c r="J198" s="74"/>
      <c r="K198" s="6"/>
      <c r="V198" s="4"/>
      <c r="W198" s="4"/>
      <c r="X198" s="4"/>
      <c r="Y198" s="4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L198" s="6"/>
      <c r="AM198" s="6"/>
      <c r="AN198" s="6"/>
      <c r="AO198" s="6"/>
      <c r="AP198" s="6"/>
      <c r="AQ198" s="6"/>
      <c r="AR198" s="6"/>
    </row>
    <row r="199" spans="1:44" s="4" customFormat="1" ht="14.1" customHeight="1">
      <c r="A199" s="6"/>
      <c r="B199" s="443" t="s">
        <v>153</v>
      </c>
      <c r="C199" s="443"/>
      <c r="D199" s="443"/>
      <c r="E199" s="54" t="str">
        <f>+IF(rascunho!DD15="","",rascunho!DD15)</f>
        <v/>
      </c>
      <c r="F199" s="51"/>
      <c r="G199" s="63"/>
      <c r="H199" s="63"/>
      <c r="I199" s="75"/>
      <c r="J199" s="76"/>
      <c r="K199" s="6"/>
      <c r="L199" s="2"/>
      <c r="M199" s="2"/>
      <c r="N199" s="2"/>
      <c r="O199" s="2"/>
      <c r="P199" s="2"/>
      <c r="Q199" s="2"/>
      <c r="R199" s="2"/>
      <c r="S199" s="2"/>
      <c r="T199" s="2"/>
      <c r="U199" s="2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L199" s="6"/>
      <c r="AM199" s="6"/>
      <c r="AN199" s="6"/>
      <c r="AO199" s="6"/>
      <c r="AP199" s="6"/>
      <c r="AQ199" s="6"/>
      <c r="AR199" s="6"/>
    </row>
    <row r="200" spans="1:44" s="4" customFormat="1" ht="14.1" customHeight="1">
      <c r="A200" s="6"/>
      <c r="B200" s="443" t="str">
        <f>+CONCATENATE("IMPOSTO A ",rascunho!DI15,"(=):")</f>
        <v>IMPOSTO A (=):</v>
      </c>
      <c r="C200" s="443"/>
      <c r="D200" s="443"/>
      <c r="E200" s="50" t="str">
        <f>+IF(rascunho!DH15="","",ABS(rascunho!DH15))</f>
        <v/>
      </c>
      <c r="F200" s="51"/>
      <c r="G200" s="74"/>
      <c r="H200" s="74"/>
      <c r="I200" s="74"/>
      <c r="J200" s="74"/>
      <c r="K200" s="6"/>
      <c r="L200" s="2"/>
      <c r="M200" s="2"/>
      <c r="N200" s="2"/>
      <c r="O200" s="2"/>
      <c r="P200" s="2"/>
      <c r="Q200" s="2"/>
      <c r="R200" s="2"/>
      <c r="S200" s="2"/>
      <c r="T200" s="2"/>
      <c r="U200" s="2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L200" s="6"/>
      <c r="AM200" s="6"/>
      <c r="AN200" s="6"/>
      <c r="AO200" s="6"/>
      <c r="AP200" s="6"/>
      <c r="AQ200" s="6"/>
      <c r="AR200" s="6"/>
    </row>
    <row r="201" spans="1:44" s="4" customFormat="1" ht="14.1" customHeight="1">
      <c r="A201" s="6"/>
      <c r="B201" s="443" t="str">
        <f>+CONCATENATE("(*)IMPOSTO A ",rascunho!DG15," EFETUADO:")</f>
        <v>(*)IMPOSTO A  EFETUADO:</v>
      </c>
      <c r="C201" s="443"/>
      <c r="D201" s="443"/>
      <c r="E201" s="54" t="str">
        <f>+IF(rascunho!DE15="","",ABS(rascunho!DE15))</f>
        <v/>
      </c>
      <c r="F201" s="51"/>
      <c r="G201" s="47"/>
      <c r="H201" s="43"/>
      <c r="I201" s="444" t="str">
        <f>+IF(AND(I188&gt;1991,I188&lt;1995),"(em moeda)","")</f>
        <v/>
      </c>
      <c r="J201" s="444"/>
      <c r="K201" s="6"/>
      <c r="L201" s="2"/>
      <c r="M201" s="2"/>
      <c r="N201" s="2"/>
      <c r="O201" s="2"/>
      <c r="P201" s="2"/>
      <c r="Q201" s="2"/>
      <c r="R201" s="2"/>
      <c r="S201" s="2"/>
      <c r="T201" s="2"/>
      <c r="U201" s="2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L201" s="6"/>
      <c r="AM201" s="6"/>
      <c r="AN201" s="6"/>
      <c r="AO201" s="6"/>
      <c r="AP201" s="6"/>
      <c r="AQ201" s="6"/>
      <c r="AR201" s="6"/>
    </row>
    <row r="202" spans="1:44" s="4" customFormat="1" ht="14.1" customHeight="1">
      <c r="A202" s="6"/>
      <c r="B202" s="447" t="s">
        <v>32</v>
      </c>
      <c r="C202" s="447"/>
      <c r="D202" s="447"/>
      <c r="E202" s="77" t="str">
        <f>+IF(rascunho!EC15="","",-rascunho!EC15)</f>
        <v/>
      </c>
      <c r="F202" s="51"/>
      <c r="G202" s="78" t="str">
        <f>+IF(AND(I188&gt;=1992,I188&lt;1995),"(em UFIR)","")</f>
        <v/>
      </c>
      <c r="H202" s="78"/>
      <c r="I202" s="454" t="str">
        <f>+IF(AND(I188&gt;1991,I188&lt;1995),ABS(rascunho!EF15),"")</f>
        <v/>
      </c>
      <c r="J202" s="454"/>
      <c r="K202" s="6"/>
      <c r="L202" s="2"/>
      <c r="M202" s="2"/>
      <c r="N202" s="2"/>
      <c r="O202" s="2"/>
      <c r="P202" s="2"/>
      <c r="Q202" s="2"/>
      <c r="R202" s="2"/>
      <c r="S202" s="2"/>
      <c r="T202" s="2"/>
      <c r="U202" s="2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L202" s="6"/>
      <c r="AM202" s="6"/>
      <c r="AN202" s="6"/>
      <c r="AO202" s="6"/>
      <c r="AP202" s="6"/>
      <c r="AQ202" s="6"/>
      <c r="AR202" s="6"/>
    </row>
    <row r="203" spans="1:44" s="5" customFormat="1" ht="14.1" customHeight="1">
      <c r="A203" s="6"/>
      <c r="B203" s="46"/>
      <c r="C203" s="46"/>
      <c r="D203" s="45"/>
      <c r="E203" s="47"/>
      <c r="F203" s="47"/>
      <c r="G203" s="47"/>
      <c r="H203" s="48"/>
      <c r="I203" s="49"/>
      <c r="J203" s="49"/>
      <c r="K203" s="6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4"/>
      <c r="W203" s="4"/>
      <c r="X203" s="4"/>
      <c r="Y203" s="4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L203" s="6"/>
      <c r="AM203" s="6"/>
      <c r="AN203" s="6"/>
      <c r="AO203" s="6"/>
      <c r="AP203" s="6"/>
      <c r="AQ203" s="6"/>
      <c r="AR203" s="6"/>
    </row>
    <row r="204" spans="1:44" s="6" customFormat="1" ht="14.1" customHeight="1">
      <c r="B204" s="443" t="s">
        <v>150</v>
      </c>
      <c r="C204" s="443"/>
      <c r="D204" s="443"/>
      <c r="E204" s="50" t="str">
        <f>+IF(rascunho!CM16="","",rascunho!CM16)</f>
        <v/>
      </c>
      <c r="F204" s="51"/>
      <c r="G204" s="448" t="s">
        <v>23</v>
      </c>
      <c r="H204" s="448"/>
      <c r="I204" s="52" t="str">
        <f>+IF(rascunho!CJ16="","",rascunho!CJ16)</f>
        <v/>
      </c>
      <c r="J204" s="53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4"/>
      <c r="W204" s="4"/>
      <c r="X204" s="4"/>
      <c r="Y204" s="4"/>
    </row>
    <row r="205" spans="1:44" s="6" customFormat="1" ht="14.1" customHeight="1">
      <c r="B205" s="443" t="s">
        <v>87</v>
      </c>
      <c r="C205" s="443"/>
      <c r="D205" s="443" t="s">
        <v>24</v>
      </c>
      <c r="E205" s="50" t="str">
        <f>+IF(rascunho!CN16="","",rascunho!CN16)</f>
        <v/>
      </c>
      <c r="F205" s="51"/>
      <c r="G205" s="456" t="str">
        <f>+CONCATENATE("TIPO DE DECLARAÇÃO: ",rascunho!CL16)</f>
        <v xml:space="preserve">TIPO DE DECLARAÇÃO: </v>
      </c>
      <c r="H205" s="456"/>
      <c r="I205" s="456"/>
      <c r="J205" s="456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4"/>
      <c r="W205" s="4"/>
      <c r="X205" s="4"/>
      <c r="Y205" s="4"/>
    </row>
    <row r="206" spans="1:44" s="6" customFormat="1" ht="14.1" customHeight="1">
      <c r="B206" s="443" t="s">
        <v>86</v>
      </c>
      <c r="C206" s="443"/>
      <c r="D206" s="443" t="s">
        <v>24</v>
      </c>
      <c r="E206" s="54" t="str">
        <f>+IF(rascunho!CO16="","",rascunho!CO16)</f>
        <v/>
      </c>
      <c r="F206" s="51"/>
      <c r="G206" s="55" t="s">
        <v>2</v>
      </c>
      <c r="H206" s="56" t="s">
        <v>3</v>
      </c>
      <c r="I206" s="56" t="s">
        <v>14</v>
      </c>
      <c r="J206" s="57" t="s">
        <v>4</v>
      </c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4"/>
      <c r="W206" s="4"/>
      <c r="X206" s="4"/>
      <c r="Y206" s="4"/>
    </row>
    <row r="207" spans="1:44" s="6" customFormat="1" ht="14.1" customHeight="1">
      <c r="B207" s="443" t="s">
        <v>89</v>
      </c>
      <c r="C207" s="443"/>
      <c r="D207" s="443"/>
      <c r="E207" s="50" t="str">
        <f>+IF(rascunho!CQ16="","",rascunho!CQ16)</f>
        <v/>
      </c>
      <c r="F207" s="51"/>
      <c r="G207" s="58" t="str">
        <f>+IF(rascunho!DL16="","",rascunho!DL16)</f>
        <v/>
      </c>
      <c r="H207" s="59" t="s">
        <v>5</v>
      </c>
      <c r="I207" s="60" t="str">
        <f>+IF(rascunho!DM16="","",rascunho!DM16)</f>
        <v/>
      </c>
      <c r="J207" s="61" t="str">
        <f>+IF(rascunho!DN16="","",rascunho!DN16)</f>
        <v/>
      </c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4"/>
      <c r="W207" s="4"/>
      <c r="X207" s="4"/>
      <c r="Y207" s="4"/>
    </row>
    <row r="208" spans="1:44" s="6" customFormat="1" ht="14.1" customHeight="1">
      <c r="B208" s="443" t="s">
        <v>151</v>
      </c>
      <c r="C208" s="443"/>
      <c r="D208" s="443"/>
      <c r="E208" s="54" t="str">
        <f>+IF(rascunho!CS16="","",rascunho!CS16)</f>
        <v/>
      </c>
      <c r="F208" s="51"/>
      <c r="G208" s="62" t="str">
        <f>+IF(H208="","",rascunho!DO16)</f>
        <v/>
      </c>
      <c r="H208" s="63" t="str">
        <f>+IF(G207="","",G207-0.01)</f>
        <v/>
      </c>
      <c r="I208" s="64" t="str">
        <f>+IF(H208="","",rascunho!DP16)</f>
        <v/>
      </c>
      <c r="J208" s="65" t="str">
        <f>+IF(H208="","",rascunho!DQ16)</f>
        <v/>
      </c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4"/>
      <c r="W208" s="4"/>
      <c r="X208" s="4"/>
      <c r="Y208" s="4"/>
    </row>
    <row r="209" spans="2:35" s="6" customFormat="1" ht="14.1" customHeight="1">
      <c r="B209" s="443" t="s">
        <v>142</v>
      </c>
      <c r="C209" s="443"/>
      <c r="D209" s="443" t="s">
        <v>25</v>
      </c>
      <c r="E209" s="50" t="str">
        <f>+IF(rascunho!CU16="","",rascunho!CU16)</f>
        <v/>
      </c>
      <c r="F209" s="51"/>
      <c r="G209" s="62" t="str">
        <f>+IF(H209="","",rascunho!DR16)</f>
        <v/>
      </c>
      <c r="H209" s="63" t="str">
        <f>+IF(G208="","",G208-0.01)</f>
        <v/>
      </c>
      <c r="I209" s="64" t="str">
        <f>+IF(H209="","",rascunho!DS16)</f>
        <v/>
      </c>
      <c r="J209" s="65" t="str">
        <f>+IF(H209="","",rascunho!DT16)</f>
        <v/>
      </c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4"/>
      <c r="W209" s="4"/>
      <c r="X209" s="4"/>
      <c r="Y209" s="4"/>
    </row>
    <row r="210" spans="2:35" s="6" customFormat="1" ht="14.1" customHeight="1">
      <c r="B210" s="66"/>
      <c r="C210" s="67"/>
      <c r="D210" s="68" t="s">
        <v>163</v>
      </c>
      <c r="E210" s="69" t="str">
        <f>+IF(rascunho!CX16="","",rascunho!CX16)</f>
        <v/>
      </c>
      <c r="F210" s="51"/>
      <c r="G210" s="62" t="str">
        <f>+IF(H210="","",rascunho!DU16)</f>
        <v/>
      </c>
      <c r="H210" s="63" t="str">
        <f>+IF(OR(G209="",G209=0),"",G209-0.01)</f>
        <v/>
      </c>
      <c r="I210" s="64" t="str">
        <f>+IF(H210="","",rascunho!DV16)</f>
        <v/>
      </c>
      <c r="J210" s="65" t="str">
        <f>+IF(H210="","",rascunho!DW16)</f>
        <v/>
      </c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4"/>
      <c r="W210" s="4"/>
      <c r="X210" s="4"/>
      <c r="Y210" s="4"/>
    </row>
    <row r="211" spans="2:35" s="6" customFormat="1" ht="14.1" customHeight="1">
      <c r="B211" s="66"/>
      <c r="C211" s="70"/>
      <c r="D211" s="71" t="s">
        <v>90</v>
      </c>
      <c r="E211" s="72" t="str">
        <f>+IF(rascunho!CY16="","",rascunho!CY16)</f>
        <v/>
      </c>
      <c r="F211" s="51"/>
      <c r="G211" s="62" t="str">
        <f>+IF(H211="","",rascunho!DX16)</f>
        <v/>
      </c>
      <c r="H211" s="63" t="str">
        <f>+IF(OR(G210="",G210=0),"",G210-0.01)</f>
        <v/>
      </c>
      <c r="I211" s="64" t="str">
        <f>+IF(H211="","",rascunho!DY16)</f>
        <v/>
      </c>
      <c r="J211" s="65" t="str">
        <f>+IF(H211="","",rascunho!DZ16)</f>
        <v/>
      </c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4"/>
      <c r="W211" s="4"/>
      <c r="X211" s="4"/>
      <c r="Y211" s="4"/>
    </row>
    <row r="212" spans="2:35" s="6" customFormat="1" ht="14.1" customHeight="1">
      <c r="B212" s="443" t="s">
        <v>152</v>
      </c>
      <c r="C212" s="443"/>
      <c r="D212" s="443"/>
      <c r="E212" s="50" t="str">
        <f>+IF(rascunho!CZ16="","",rascunho!CZ16)</f>
        <v/>
      </c>
      <c r="F212" s="51"/>
      <c r="G212" s="449" t="s">
        <v>91</v>
      </c>
      <c r="H212" s="450"/>
      <c r="I212" s="450"/>
      <c r="J212" s="451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4"/>
      <c r="W212" s="4"/>
      <c r="X212" s="4"/>
      <c r="Y212" s="4"/>
    </row>
    <row r="213" spans="2:35" s="6" customFormat="1" ht="14.1" customHeight="1">
      <c r="B213" s="443" t="s">
        <v>229</v>
      </c>
      <c r="C213" s="443"/>
      <c r="D213" s="443"/>
      <c r="E213" s="54" t="str">
        <f>+IF(rascunho!DA16="","",rascunho!DA16)</f>
        <v/>
      </c>
      <c r="F213" s="51"/>
      <c r="G213" s="53" t="s">
        <v>154</v>
      </c>
      <c r="H213" s="73"/>
      <c r="I213" s="73"/>
      <c r="J213" s="73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4"/>
      <c r="W213" s="4"/>
      <c r="X213" s="4"/>
      <c r="Y213" s="4"/>
    </row>
    <row r="214" spans="2:35" s="6" customFormat="1" ht="14.1" customHeight="1">
      <c r="B214" s="443" t="s">
        <v>50</v>
      </c>
      <c r="C214" s="443"/>
      <c r="D214" s="443"/>
      <c r="E214" s="50" t="str">
        <f>+IF(rascunho!DC16="","",rascunho!DC16)</f>
        <v/>
      </c>
      <c r="F214" s="51"/>
      <c r="G214" s="53"/>
      <c r="H214" s="74"/>
      <c r="I214" s="74"/>
      <c r="J214" s="74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4"/>
      <c r="W214" s="4"/>
      <c r="X214" s="4"/>
      <c r="Y214" s="4"/>
    </row>
    <row r="215" spans="2:35" s="6" customFormat="1" ht="14.1" customHeight="1">
      <c r="B215" s="443" t="s">
        <v>153</v>
      </c>
      <c r="C215" s="443"/>
      <c r="D215" s="443"/>
      <c r="E215" s="54" t="str">
        <f>+IF(rascunho!DD16="","",rascunho!DD16)</f>
        <v/>
      </c>
      <c r="F215" s="51"/>
      <c r="G215" s="63"/>
      <c r="H215" s="63"/>
      <c r="I215" s="75"/>
      <c r="J215" s="76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4"/>
      <c r="W215" s="4"/>
      <c r="X215" s="4"/>
      <c r="Y215" s="4"/>
    </row>
    <row r="216" spans="2:35" s="6" customFormat="1" ht="14.1" customHeight="1">
      <c r="B216" s="443" t="str">
        <f>+CONCATENATE("IMPOSTO A ",rascunho!DI16,"(=):")</f>
        <v>IMPOSTO A (=):</v>
      </c>
      <c r="C216" s="443"/>
      <c r="D216" s="443"/>
      <c r="E216" s="50" t="str">
        <f>+IF(rascunho!DH16="","",ABS(rascunho!DH16))</f>
        <v/>
      </c>
      <c r="F216" s="51"/>
      <c r="G216" s="74"/>
      <c r="H216" s="74"/>
      <c r="I216" s="74"/>
      <c r="J216" s="74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4"/>
      <c r="W216" s="4"/>
      <c r="X216" s="4"/>
      <c r="Y216" s="4"/>
      <c r="AH216" s="4"/>
      <c r="AI216" s="4"/>
    </row>
    <row r="217" spans="2:35" s="6" customFormat="1" ht="14.1" customHeight="1">
      <c r="B217" s="443" t="str">
        <f>+CONCATENATE("(*)IMPOSTO A ",rascunho!DG16," EFETUADO:")</f>
        <v>(*)IMPOSTO A  EFETUADO:</v>
      </c>
      <c r="C217" s="443"/>
      <c r="D217" s="443"/>
      <c r="E217" s="54" t="str">
        <f>+IF(rascunho!DE16="","",ABS(rascunho!DE16))</f>
        <v/>
      </c>
      <c r="F217" s="51"/>
      <c r="G217" s="47"/>
      <c r="H217" s="43"/>
      <c r="I217" s="444" t="str">
        <f>+IF(AND(I204&gt;1991,I204&lt;1995),"(em moeda)","")</f>
        <v/>
      </c>
      <c r="J217" s="444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4"/>
      <c r="W217" s="4"/>
      <c r="X217" s="4"/>
      <c r="Y217" s="4"/>
      <c r="AH217" s="4"/>
      <c r="AI217" s="4"/>
    </row>
    <row r="218" spans="2:35" s="6" customFormat="1" ht="14.1" customHeight="1">
      <c r="B218" s="447" t="s">
        <v>32</v>
      </c>
      <c r="C218" s="447"/>
      <c r="D218" s="447"/>
      <c r="E218" s="77" t="str">
        <f>+IF(rascunho!EC16="","",-rascunho!EC16)</f>
        <v/>
      </c>
      <c r="F218" s="51"/>
      <c r="G218" s="78" t="str">
        <f>+IF(AND(I204&gt;=1992,I204&lt;1995),"(em UFIR)","")</f>
        <v/>
      </c>
      <c r="H218" s="78"/>
      <c r="I218" s="454" t="str">
        <f>+IF(AND(I204&gt;1991,I204&lt;1995),ABS(rascunho!EF16),"")</f>
        <v/>
      </c>
      <c r="J218" s="454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4"/>
      <c r="W218" s="4"/>
      <c r="X218" s="4"/>
      <c r="Y218" s="4"/>
      <c r="AH218" s="4"/>
      <c r="AI218" s="4"/>
    </row>
    <row r="219" spans="2:35" s="6" customFormat="1" ht="14.1" customHeight="1">
      <c r="B219" s="46"/>
      <c r="C219" s="46"/>
      <c r="D219" s="45"/>
      <c r="E219" s="47"/>
      <c r="F219" s="47"/>
      <c r="G219" s="47"/>
      <c r="H219" s="48"/>
      <c r="I219" s="49"/>
      <c r="J219" s="49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4"/>
      <c r="W219" s="4"/>
      <c r="X219" s="4"/>
      <c r="Y219" s="4"/>
      <c r="AH219" s="4"/>
      <c r="AI219" s="4"/>
    </row>
    <row r="220" spans="2:35" s="6" customFormat="1" ht="14.1" customHeight="1">
      <c r="B220" s="443" t="s">
        <v>150</v>
      </c>
      <c r="C220" s="443"/>
      <c r="D220" s="443"/>
      <c r="E220" s="50" t="str">
        <f>+IF(rascunho!CM17="","",rascunho!CM17)</f>
        <v/>
      </c>
      <c r="F220" s="51"/>
      <c r="G220" s="448" t="s">
        <v>23</v>
      </c>
      <c r="H220" s="448"/>
      <c r="I220" s="52" t="str">
        <f>+IF(rascunho!CJ17="","",rascunho!CJ17)</f>
        <v/>
      </c>
      <c r="J220" s="53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4"/>
      <c r="W220" s="4"/>
      <c r="X220" s="4"/>
      <c r="Y220" s="4"/>
      <c r="AG220" s="4"/>
      <c r="AH220" s="5"/>
      <c r="AI220" s="5"/>
    </row>
    <row r="221" spans="2:35" s="6" customFormat="1" ht="14.1" customHeight="1">
      <c r="B221" s="443" t="s">
        <v>87</v>
      </c>
      <c r="C221" s="443"/>
      <c r="D221" s="443" t="s">
        <v>24</v>
      </c>
      <c r="E221" s="50" t="str">
        <f>+IF(rascunho!CN17="","",rascunho!CN17)</f>
        <v/>
      </c>
      <c r="F221" s="51"/>
      <c r="G221" s="456" t="str">
        <f>+CONCATENATE("TIPO DE DECLARAÇÃO: ",rascunho!CL17)</f>
        <v xml:space="preserve">TIPO DE DECLARAÇÃO: </v>
      </c>
      <c r="H221" s="456"/>
      <c r="I221" s="456"/>
      <c r="J221" s="456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4"/>
      <c r="W221" s="4"/>
      <c r="X221" s="4"/>
      <c r="Y221" s="4"/>
      <c r="AG221" s="4"/>
    </row>
    <row r="222" spans="2:35" s="6" customFormat="1" ht="14.1" customHeight="1">
      <c r="B222" s="443" t="s">
        <v>86</v>
      </c>
      <c r="C222" s="443"/>
      <c r="D222" s="443" t="s">
        <v>24</v>
      </c>
      <c r="E222" s="54" t="str">
        <f>+IF(rascunho!CO17="","",rascunho!CO17)</f>
        <v/>
      </c>
      <c r="F222" s="51"/>
      <c r="G222" s="55" t="s">
        <v>2</v>
      </c>
      <c r="H222" s="56" t="s">
        <v>3</v>
      </c>
      <c r="I222" s="56" t="s">
        <v>14</v>
      </c>
      <c r="J222" s="57" t="s">
        <v>4</v>
      </c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4"/>
      <c r="W222" s="4"/>
      <c r="X222" s="4"/>
      <c r="Y222" s="4"/>
      <c r="AG222" s="4"/>
      <c r="AH222" s="2"/>
      <c r="AI222" s="2"/>
    </row>
    <row r="223" spans="2:35" s="6" customFormat="1" ht="14.1" customHeight="1">
      <c r="B223" s="443" t="s">
        <v>89</v>
      </c>
      <c r="C223" s="443"/>
      <c r="D223" s="443"/>
      <c r="E223" s="50" t="str">
        <f>+IF(rascunho!CQ17="","",rascunho!CQ17)</f>
        <v/>
      </c>
      <c r="F223" s="51"/>
      <c r="G223" s="58" t="str">
        <f>+IF(rascunho!DL17="","",rascunho!DL17)</f>
        <v/>
      </c>
      <c r="H223" s="59" t="s">
        <v>5</v>
      </c>
      <c r="I223" s="60" t="str">
        <f>+IF(rascunho!DM17="","",rascunho!DM17)</f>
        <v/>
      </c>
      <c r="J223" s="61" t="str">
        <f>+IF(rascunho!DN17="","",rascunho!DN17)</f>
        <v/>
      </c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4"/>
      <c r="W223" s="4"/>
      <c r="X223" s="4"/>
      <c r="Y223" s="4"/>
      <c r="AG223" s="4"/>
      <c r="AH223" s="2"/>
      <c r="AI223" s="2"/>
    </row>
    <row r="224" spans="2:35" s="6" customFormat="1" ht="14.1" customHeight="1">
      <c r="B224" s="443" t="s">
        <v>151</v>
      </c>
      <c r="C224" s="443"/>
      <c r="D224" s="443"/>
      <c r="E224" s="54" t="str">
        <f>+IF(rascunho!CS17="","",rascunho!CS17)</f>
        <v/>
      </c>
      <c r="F224" s="51"/>
      <c r="G224" s="62" t="str">
        <f>+IF(H224="","",rascunho!DO17)</f>
        <v/>
      </c>
      <c r="H224" s="63" t="str">
        <f>+IF(G223="","",G223-0.01)</f>
        <v/>
      </c>
      <c r="I224" s="64" t="str">
        <f>+IF(H224="","",rascunho!DP17)</f>
        <v/>
      </c>
      <c r="J224" s="65" t="str">
        <f>+IF(H224="","",rascunho!DQ17)</f>
        <v/>
      </c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4"/>
      <c r="W224" s="4"/>
      <c r="X224" s="4"/>
      <c r="Y224" s="4"/>
      <c r="AG224" s="5"/>
      <c r="AH224" s="4"/>
      <c r="AI224" s="4"/>
    </row>
    <row r="225" spans="2:44" s="6" customFormat="1" ht="14.1" customHeight="1">
      <c r="B225" s="443" t="s">
        <v>142</v>
      </c>
      <c r="C225" s="443"/>
      <c r="D225" s="443" t="s">
        <v>25</v>
      </c>
      <c r="E225" s="50" t="str">
        <f>+IF(rascunho!CU17="","",rascunho!CU17)</f>
        <v/>
      </c>
      <c r="F225" s="51"/>
      <c r="G225" s="62" t="str">
        <f>+IF(H225="","",rascunho!DR17)</f>
        <v/>
      </c>
      <c r="H225" s="63" t="str">
        <f>+IF(G224="","",G224-0.01)</f>
        <v/>
      </c>
      <c r="I225" s="64" t="str">
        <f>+IF(H225="","",rascunho!DS17)</f>
        <v/>
      </c>
      <c r="J225" s="65" t="str">
        <f>+IF(H225="","",rascunho!DT17)</f>
        <v/>
      </c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4"/>
      <c r="W225" s="4"/>
      <c r="X225" s="4"/>
      <c r="Y225" s="4"/>
      <c r="AH225" s="4"/>
      <c r="AI225" s="4"/>
    </row>
    <row r="226" spans="2:44" s="6" customFormat="1" ht="14.1" customHeight="1">
      <c r="B226" s="66"/>
      <c r="C226" s="67"/>
      <c r="D226" s="68" t="s">
        <v>163</v>
      </c>
      <c r="E226" s="69" t="str">
        <f>+IF(rascunho!CX17="","",rascunho!CX17)</f>
        <v/>
      </c>
      <c r="F226" s="51"/>
      <c r="G226" s="62" t="str">
        <f>+IF(H226="","",rascunho!DU17)</f>
        <v/>
      </c>
      <c r="H226" s="63" t="str">
        <f>+IF(OR(G225="",G225=0),"",G225-0.01)</f>
        <v/>
      </c>
      <c r="I226" s="64" t="str">
        <f>+IF(H226="","",rascunho!DV17)</f>
        <v/>
      </c>
      <c r="J226" s="65" t="str">
        <f>+IF(H226="","",rascunho!DW17)</f>
        <v/>
      </c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4"/>
      <c r="W226" s="4"/>
      <c r="X226" s="4"/>
      <c r="Y226" s="4"/>
      <c r="AG226" s="2"/>
      <c r="AH226" s="4"/>
      <c r="AI226" s="4"/>
    </row>
    <row r="227" spans="2:44" s="6" customFormat="1" ht="14.1" customHeight="1">
      <c r="B227" s="66"/>
      <c r="C227" s="70"/>
      <c r="D227" s="71" t="s">
        <v>90</v>
      </c>
      <c r="E227" s="72" t="str">
        <f>+IF(rascunho!CY17="","",rascunho!CY17)</f>
        <v/>
      </c>
      <c r="F227" s="51"/>
      <c r="G227" s="62" t="str">
        <f>+IF(H227="","",rascunho!DX17)</f>
        <v/>
      </c>
      <c r="H227" s="63" t="str">
        <f>+IF(OR(G226="",G226=0),"",G226-0.01)</f>
        <v/>
      </c>
      <c r="I227" s="64" t="str">
        <f>+IF(H227="","",rascunho!DY17)</f>
        <v/>
      </c>
      <c r="J227" s="65" t="str">
        <f>+IF(H227="","",rascunho!DZ17)</f>
        <v/>
      </c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4"/>
      <c r="W227" s="4"/>
      <c r="X227" s="4"/>
      <c r="Y227" s="4"/>
      <c r="AG227" s="2"/>
      <c r="AH227" s="4"/>
      <c r="AI227" s="4"/>
    </row>
    <row r="228" spans="2:44" s="6" customFormat="1" ht="14.1" customHeight="1">
      <c r="B228" s="443" t="s">
        <v>152</v>
      </c>
      <c r="C228" s="443"/>
      <c r="D228" s="443"/>
      <c r="E228" s="50" t="str">
        <f>+IF(rascunho!CZ17="","",rascunho!CZ17)</f>
        <v/>
      </c>
      <c r="F228" s="51"/>
      <c r="G228" s="449" t="s">
        <v>91</v>
      </c>
      <c r="H228" s="450"/>
      <c r="I228" s="450"/>
      <c r="J228" s="451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4"/>
      <c r="W228" s="4"/>
      <c r="X228" s="4"/>
      <c r="Y228" s="4"/>
      <c r="AG228" s="4"/>
      <c r="AH228" s="4"/>
      <c r="AI228" s="4"/>
      <c r="AL228" s="4"/>
      <c r="AM228" s="4"/>
      <c r="AN228" s="4"/>
      <c r="AO228" s="4"/>
      <c r="AP228" s="4"/>
      <c r="AQ228" s="4"/>
      <c r="AR228" s="4"/>
    </row>
    <row r="229" spans="2:44" s="6" customFormat="1" ht="14.1" customHeight="1">
      <c r="B229" s="443" t="s">
        <v>229</v>
      </c>
      <c r="C229" s="443"/>
      <c r="D229" s="443"/>
      <c r="E229" s="54" t="str">
        <f>+IF(rascunho!DA17="","",rascunho!DA17)</f>
        <v/>
      </c>
      <c r="F229" s="51"/>
      <c r="G229" s="53" t="s">
        <v>154</v>
      </c>
      <c r="H229" s="73"/>
      <c r="I229" s="73"/>
      <c r="J229" s="73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4"/>
      <c r="W229" s="4"/>
      <c r="X229" s="4"/>
      <c r="AG229" s="4"/>
      <c r="AH229" s="5"/>
      <c r="AI229" s="5"/>
      <c r="AJ229" s="4"/>
      <c r="AL229" s="4"/>
      <c r="AM229" s="4"/>
      <c r="AN229" s="4"/>
      <c r="AO229" s="4"/>
      <c r="AP229" s="4"/>
      <c r="AQ229" s="4"/>
      <c r="AR229" s="4"/>
    </row>
    <row r="230" spans="2:44" s="6" customFormat="1" ht="14.1" customHeight="1">
      <c r="B230" s="443" t="s">
        <v>50</v>
      </c>
      <c r="C230" s="443"/>
      <c r="D230" s="443"/>
      <c r="E230" s="50" t="str">
        <f>+IF(rascunho!DC17="","",rascunho!DC17)</f>
        <v/>
      </c>
      <c r="F230" s="51"/>
      <c r="G230" s="53"/>
      <c r="H230" s="74"/>
      <c r="I230" s="74"/>
      <c r="J230" s="74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4"/>
      <c r="W230" s="4"/>
      <c r="X230" s="4"/>
      <c r="Y230" s="4"/>
      <c r="AG230" s="4"/>
      <c r="AH230" s="2"/>
      <c r="AI230" s="2"/>
      <c r="AJ230" s="4"/>
      <c r="AL230" s="4"/>
      <c r="AM230" s="4"/>
      <c r="AN230" s="4"/>
      <c r="AO230" s="4"/>
      <c r="AP230" s="4"/>
      <c r="AQ230" s="4"/>
      <c r="AR230" s="4"/>
    </row>
    <row r="231" spans="2:44" s="6" customFormat="1" ht="14.1" customHeight="1">
      <c r="B231" s="443" t="s">
        <v>153</v>
      </c>
      <c r="C231" s="443"/>
      <c r="D231" s="443"/>
      <c r="E231" s="54" t="str">
        <f>+IF(rascunho!DD17="","",rascunho!DD17)</f>
        <v/>
      </c>
      <c r="F231" s="51"/>
      <c r="G231" s="63"/>
      <c r="H231" s="63"/>
      <c r="I231" s="75"/>
      <c r="J231" s="76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4"/>
      <c r="W231" s="4"/>
      <c r="X231" s="4"/>
      <c r="Y231" s="4"/>
      <c r="AG231" s="4"/>
      <c r="AJ231" s="4"/>
      <c r="AL231" s="4"/>
      <c r="AM231" s="4"/>
      <c r="AN231" s="4"/>
      <c r="AO231" s="4"/>
      <c r="AP231" s="4"/>
      <c r="AQ231" s="4"/>
      <c r="AR231" s="4"/>
    </row>
    <row r="232" spans="2:44" s="6" customFormat="1" ht="14.1" customHeight="1">
      <c r="B232" s="443" t="str">
        <f>+CONCATENATE("IMPOSTO A ",rascunho!DI17,"(=):")</f>
        <v>IMPOSTO A (=):</v>
      </c>
      <c r="C232" s="443"/>
      <c r="D232" s="443"/>
      <c r="E232" s="50" t="str">
        <f>+IF(rascunho!DH17="","",ABS(rascunho!DH17))</f>
        <v/>
      </c>
      <c r="F232" s="51"/>
      <c r="G232" s="74"/>
      <c r="H232" s="74"/>
      <c r="I232" s="74"/>
      <c r="J232" s="74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J232" s="4"/>
      <c r="AL232" s="5"/>
      <c r="AM232" s="5"/>
      <c r="AN232" s="5"/>
      <c r="AO232" s="5"/>
      <c r="AP232" s="5"/>
      <c r="AQ232" s="5"/>
      <c r="AR232" s="5"/>
    </row>
    <row r="233" spans="2:44" s="6" customFormat="1" ht="14.1" customHeight="1">
      <c r="B233" s="443" t="str">
        <f>+CONCATENATE("(*)IMPOSTO A ",rascunho!DG17," EFETUADO:")</f>
        <v>(*)IMPOSTO A  EFETUADO:</v>
      </c>
      <c r="C233" s="443"/>
      <c r="D233" s="443"/>
      <c r="E233" s="54" t="str">
        <f>+IF(rascunho!DE17="","",ABS(rascunho!DE17))</f>
        <v/>
      </c>
      <c r="F233" s="51"/>
      <c r="G233" s="47"/>
      <c r="H233" s="43"/>
      <c r="I233" s="444" t="str">
        <f>+IF(AND(I220&gt;1991,I220&lt;1995),"(em moeda)","")</f>
        <v/>
      </c>
      <c r="J233" s="444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5"/>
      <c r="AH233" s="2"/>
      <c r="AI233" s="2"/>
      <c r="AJ233" s="5"/>
    </row>
    <row r="234" spans="2:44" s="6" customFormat="1" ht="14.1" customHeight="1">
      <c r="B234" s="455" t="s">
        <v>32</v>
      </c>
      <c r="C234" s="455"/>
      <c r="D234" s="455"/>
      <c r="E234" s="79" t="str">
        <f>+IF(rascunho!EC17="","",-rascunho!EC17)</f>
        <v/>
      </c>
      <c r="F234" s="80"/>
      <c r="G234" s="81" t="str">
        <f>+IF(AND(I220&gt;=1992,I220&lt;1995),"(em UFIR)","")</f>
        <v/>
      </c>
      <c r="H234" s="81"/>
      <c r="I234" s="445" t="str">
        <f>+IF(AND(I220&gt;1991,I220&lt;1995),ABS(rascunho!EF17),"")</f>
        <v/>
      </c>
      <c r="J234" s="445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2"/>
      <c r="AH234" s="2"/>
      <c r="AI234" s="2"/>
      <c r="AL234" s="2"/>
      <c r="AM234" s="2"/>
      <c r="AN234" s="2"/>
      <c r="AO234" s="2"/>
      <c r="AP234" s="2"/>
      <c r="AQ234" s="2"/>
      <c r="AR234" s="2"/>
    </row>
    <row r="235" spans="2:44" s="6" customFormat="1" ht="9.9499999999999993" customHeight="1">
      <c r="B235" s="82"/>
      <c r="C235" s="82"/>
      <c r="D235" s="82"/>
      <c r="E235" s="82"/>
      <c r="F235" s="83"/>
      <c r="G235" s="482" t="str">
        <f>+CONCATENATE(B9," - PÁGINA 4 de ",calculo!AF16)</f>
        <v>CÁLCULO DA(S) DECLARAÇÃO(ÕES) - PÁGINA 4 de 1</v>
      </c>
      <c r="H235" s="482"/>
      <c r="I235" s="482"/>
      <c r="J235" s="48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H235" s="4"/>
      <c r="AI235" s="4"/>
      <c r="AJ235" s="2"/>
      <c r="AL235" s="2"/>
      <c r="AM235" s="2"/>
      <c r="AN235" s="2"/>
      <c r="AO235" s="2"/>
      <c r="AP235" s="2"/>
      <c r="AQ235" s="2"/>
      <c r="AR235" s="2"/>
    </row>
    <row r="236" spans="2:44" s="6" customFormat="1" ht="9.9499999999999993" customHeight="1">
      <c r="B236" s="82" t="str">
        <f>+B177</f>
        <v>PCIRA - VERSÃO: 9.0.4.2007-2024</v>
      </c>
      <c r="C236" s="82"/>
      <c r="D236" s="82"/>
      <c r="E236" s="82"/>
      <c r="F236" s="83"/>
      <c r="G236" s="83"/>
      <c r="H236" s="84"/>
      <c r="I236" s="83"/>
      <c r="J236" s="85" t="str">
        <f ca="1">+CONCATENATE("EMITIDO EM: ",TEXT(NOW(),"d-mm-aaaa"))</f>
        <v>EMITIDO EM: 16-09-2026</v>
      </c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4"/>
      <c r="W236" s="4"/>
      <c r="X236" s="4"/>
      <c r="Y236" s="4"/>
      <c r="Z236" s="5"/>
      <c r="AA236" s="5"/>
      <c r="AB236" s="5"/>
      <c r="AC236" s="5"/>
      <c r="AD236" s="5"/>
      <c r="AE236" s="5"/>
      <c r="AF236" s="5"/>
      <c r="AH236" s="4"/>
      <c r="AI236" s="4"/>
      <c r="AJ236" s="2"/>
      <c r="AL236" s="4"/>
      <c r="AM236" s="4"/>
      <c r="AN236" s="4"/>
      <c r="AO236" s="4"/>
      <c r="AP236" s="4"/>
      <c r="AQ236" s="4"/>
      <c r="AR236" s="4"/>
    </row>
    <row r="237" spans="2:44" s="6" customFormat="1" ht="9.9499999999999993" customHeight="1">
      <c r="B237" s="82" t="str">
        <f>+B178</f>
        <v>SJRJ - DCAL</v>
      </c>
      <c r="C237" s="82"/>
      <c r="D237" s="82"/>
      <c r="E237" s="82"/>
      <c r="F237" s="83"/>
      <c r="G237" s="83"/>
      <c r="H237" s="84"/>
      <c r="I237" s="83"/>
      <c r="J237" s="86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4"/>
      <c r="W237" s="4"/>
      <c r="X237" s="4"/>
      <c r="Y237" s="4"/>
      <c r="AG237" s="2"/>
      <c r="AH237" s="4"/>
      <c r="AI237" s="4"/>
      <c r="AJ237" s="4"/>
      <c r="AL237" s="4"/>
      <c r="AM237" s="4"/>
      <c r="AN237" s="4"/>
      <c r="AO237" s="4"/>
      <c r="AP237" s="4"/>
      <c r="AQ237" s="4"/>
      <c r="AR237" s="4"/>
    </row>
    <row r="238" spans="2:44" s="6" customFormat="1" ht="9.9499999999999993" customHeight="1">
      <c r="B238" s="2"/>
      <c r="C238" s="2"/>
      <c r="D238" s="2"/>
      <c r="E238" s="2"/>
      <c r="F238" s="2"/>
      <c r="G238" s="2"/>
      <c r="H238" s="7"/>
      <c r="I238" s="2"/>
      <c r="J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4"/>
      <c r="Z238" s="4"/>
      <c r="AA238" s="2"/>
      <c r="AB238" s="2"/>
      <c r="AC238" s="2"/>
      <c r="AE238" s="2"/>
      <c r="AF238" s="2"/>
      <c r="AG238" s="2"/>
      <c r="AH238" s="4"/>
      <c r="AI238" s="4"/>
      <c r="AJ238" s="4"/>
      <c r="AL238" s="4"/>
      <c r="AM238" s="4"/>
      <c r="AN238" s="4"/>
      <c r="AO238" s="4"/>
      <c r="AP238" s="4"/>
      <c r="AQ238" s="4"/>
      <c r="AR238" s="4"/>
    </row>
    <row r="239" spans="2:44" s="4" customFormat="1" ht="18" customHeight="1">
      <c r="B239" s="348"/>
      <c r="C239" s="442" t="s">
        <v>250</v>
      </c>
      <c r="D239" s="442"/>
      <c r="E239" s="442"/>
      <c r="F239" s="442"/>
      <c r="G239" s="442"/>
      <c r="H239" s="442"/>
      <c r="I239" s="442"/>
      <c r="J239" s="442"/>
      <c r="L239" s="2"/>
      <c r="M239" s="2"/>
      <c r="N239" s="2"/>
      <c r="O239" s="2"/>
      <c r="P239" s="2"/>
      <c r="Q239" s="2"/>
      <c r="R239" s="2"/>
      <c r="S239" s="2"/>
      <c r="T239" s="2"/>
      <c r="AB239" s="2"/>
      <c r="AC239" s="2"/>
      <c r="AD239" s="2"/>
      <c r="AE239" s="2"/>
      <c r="AF239" s="2"/>
      <c r="AH239" s="5"/>
      <c r="AI239" s="5"/>
    </row>
    <row r="240" spans="2:44" s="4" customFormat="1" ht="18" customHeight="1">
      <c r="B240" s="348"/>
      <c r="C240" s="442" t="s">
        <v>310</v>
      </c>
      <c r="D240" s="442"/>
      <c r="E240" s="442"/>
      <c r="F240" s="442"/>
      <c r="G240" s="442"/>
      <c r="H240" s="442"/>
      <c r="I240" s="442"/>
      <c r="J240" s="442"/>
      <c r="L240" s="2"/>
      <c r="M240" s="2"/>
      <c r="N240" s="2"/>
      <c r="O240" s="2"/>
      <c r="P240" s="2"/>
      <c r="Q240" s="2"/>
      <c r="R240" s="2"/>
      <c r="S240" s="2"/>
      <c r="T240" s="2"/>
      <c r="AH240" s="6"/>
      <c r="AI240" s="6"/>
    </row>
    <row r="241" spans="1:44" s="4" customFormat="1" ht="18" customHeight="1">
      <c r="B241" s="348"/>
      <c r="C241" s="442" t="s">
        <v>252</v>
      </c>
      <c r="D241" s="442"/>
      <c r="E241" s="442"/>
      <c r="F241" s="442"/>
      <c r="G241" s="442"/>
      <c r="H241" s="442"/>
      <c r="I241" s="442"/>
      <c r="J241" s="442"/>
      <c r="L241" s="2"/>
      <c r="M241" s="2"/>
      <c r="N241" s="2"/>
      <c r="O241" s="2"/>
      <c r="P241" s="2"/>
      <c r="Q241" s="2"/>
      <c r="R241" s="2"/>
      <c r="S241" s="2"/>
      <c r="T241" s="2"/>
      <c r="AH241" s="6"/>
      <c r="AI241" s="6"/>
      <c r="AL241" s="5"/>
      <c r="AM241" s="5"/>
      <c r="AN241" s="5"/>
      <c r="AO241" s="5"/>
      <c r="AP241" s="5"/>
      <c r="AQ241" s="5"/>
      <c r="AR241" s="5"/>
    </row>
    <row r="242" spans="1:44" s="4" customFormat="1" ht="18" customHeight="1">
      <c r="B242" s="349"/>
      <c r="C242" s="446" t="s">
        <v>311</v>
      </c>
      <c r="D242" s="446"/>
      <c r="E242" s="446"/>
      <c r="F242" s="446"/>
      <c r="G242" s="446"/>
      <c r="H242" s="446"/>
      <c r="I242" s="446"/>
      <c r="J242" s="446"/>
      <c r="L242" s="2"/>
      <c r="M242" s="2"/>
      <c r="N242" s="2"/>
      <c r="O242" s="2"/>
      <c r="P242" s="2"/>
      <c r="Q242" s="2"/>
      <c r="R242" s="2"/>
      <c r="S242" s="2"/>
      <c r="T242" s="2"/>
      <c r="AH242" s="6"/>
      <c r="AI242" s="6"/>
      <c r="AJ242" s="5"/>
      <c r="AL242" s="2"/>
      <c r="AM242" s="2"/>
      <c r="AN242" s="2"/>
      <c r="AO242" s="2"/>
      <c r="AP242" s="2"/>
      <c r="AQ242" s="2"/>
      <c r="AR242" s="2"/>
    </row>
    <row r="243" spans="1:44" s="5" customFormat="1" ht="7.5" customHeight="1">
      <c r="B243" s="436" t="s">
        <v>0</v>
      </c>
      <c r="C243" s="438"/>
      <c r="D243" s="436" t="s">
        <v>1</v>
      </c>
      <c r="E243" s="437"/>
      <c r="F243" s="437"/>
      <c r="G243" s="437"/>
      <c r="H243" s="437"/>
      <c r="I243" s="437"/>
      <c r="J243" s="438"/>
      <c r="L243" s="2"/>
      <c r="M243" s="2"/>
      <c r="N243" s="2"/>
      <c r="O243" s="2"/>
      <c r="P243" s="2"/>
      <c r="Q243" s="2"/>
      <c r="R243" s="2"/>
      <c r="S243" s="2"/>
      <c r="T243" s="2"/>
      <c r="U243" s="4"/>
      <c r="V243" s="4"/>
      <c r="W243" s="4"/>
      <c r="X243" s="4"/>
      <c r="Y243" s="4"/>
      <c r="AA243" s="4"/>
      <c r="AB243" s="4"/>
      <c r="AC243" s="4"/>
      <c r="AD243" s="4"/>
      <c r="AE243" s="4"/>
      <c r="AF243" s="4"/>
      <c r="AH243" s="6"/>
      <c r="AI243" s="6"/>
      <c r="AJ243" s="2"/>
      <c r="AL243" s="6"/>
      <c r="AM243" s="6"/>
      <c r="AN243" s="6"/>
      <c r="AO243" s="6"/>
      <c r="AP243" s="6"/>
      <c r="AQ243" s="6"/>
      <c r="AR243" s="6"/>
    </row>
    <row r="244" spans="1:44" s="6" customFormat="1" ht="14.1" customHeight="1">
      <c r="B244" s="452" t="str">
        <f>+B8</f>
        <v/>
      </c>
      <c r="C244" s="453"/>
      <c r="D244" s="439" t="str">
        <f>+D8</f>
        <v/>
      </c>
      <c r="E244" s="440"/>
      <c r="F244" s="440"/>
      <c r="G244" s="440"/>
      <c r="H244" s="440"/>
      <c r="I244" s="440"/>
      <c r="J244" s="441"/>
      <c r="L244" s="2"/>
      <c r="M244" s="2"/>
      <c r="N244" s="2"/>
      <c r="O244" s="2"/>
      <c r="P244" s="2"/>
      <c r="Q244" s="2"/>
      <c r="R244" s="2"/>
      <c r="S244" s="2"/>
      <c r="T244" s="2"/>
      <c r="U244" s="4"/>
      <c r="V244" s="4"/>
      <c r="W244" s="4"/>
      <c r="X244" s="4"/>
      <c r="Y244" s="4"/>
      <c r="Z244" s="2"/>
      <c r="AA244" s="5"/>
      <c r="AB244" s="4"/>
      <c r="AC244" s="4"/>
      <c r="AD244" s="4"/>
      <c r="AE244" s="4"/>
      <c r="AF244" s="4"/>
    </row>
    <row r="245" spans="1:44" ht="14.1" customHeight="1">
      <c r="B245" s="44" t="s">
        <v>194</v>
      </c>
      <c r="C245" s="45"/>
      <c r="D245" s="45"/>
      <c r="E245" s="45"/>
      <c r="F245" s="45"/>
      <c r="G245" s="45"/>
      <c r="H245" s="45"/>
      <c r="I245" s="45"/>
      <c r="J245" s="45"/>
      <c r="K245" s="5"/>
      <c r="V245" s="4"/>
      <c r="W245" s="4"/>
      <c r="X245" s="4"/>
      <c r="Y245" s="4"/>
      <c r="Z245" s="6"/>
      <c r="AB245" s="5"/>
      <c r="AC245" s="5"/>
      <c r="AD245" s="5"/>
      <c r="AE245" s="5"/>
      <c r="AF245" s="5"/>
      <c r="AG245" s="6"/>
      <c r="AH245" s="6"/>
      <c r="AI245" s="6"/>
      <c r="AJ245" s="6"/>
    </row>
    <row r="246" spans="1:44" ht="14.1" customHeight="1">
      <c r="A246" s="4"/>
      <c r="B246" s="46"/>
      <c r="C246" s="46"/>
      <c r="D246" s="45"/>
      <c r="E246" s="47"/>
      <c r="F246" s="47"/>
      <c r="G246" s="47"/>
      <c r="H246" s="48"/>
      <c r="I246" s="49"/>
      <c r="J246" s="49"/>
      <c r="V246" s="4"/>
      <c r="W246" s="4"/>
      <c r="X246" s="4"/>
      <c r="Y246" s="4"/>
      <c r="Z246" s="6"/>
      <c r="AA246" s="6"/>
      <c r="AG246" s="6"/>
      <c r="AH246" s="6"/>
      <c r="AI246" s="6"/>
    </row>
    <row r="247" spans="1:44" s="4" customFormat="1" ht="14.1" customHeight="1">
      <c r="B247" s="443" t="s">
        <v>150</v>
      </c>
      <c r="C247" s="443"/>
      <c r="D247" s="443"/>
      <c r="E247" s="50" t="str">
        <f>+IF(rascunho!CM18="","",rascunho!CM18)</f>
        <v/>
      </c>
      <c r="F247" s="51"/>
      <c r="G247" s="448" t="s">
        <v>23</v>
      </c>
      <c r="H247" s="448"/>
      <c r="I247" s="52" t="str">
        <f>+IF(rascunho!CJ18="","",rascunho!CJ18)</f>
        <v/>
      </c>
      <c r="J247" s="53"/>
      <c r="K247" s="6"/>
      <c r="L247" s="2"/>
      <c r="M247" s="2"/>
      <c r="N247" s="2"/>
      <c r="O247" s="2"/>
      <c r="P247" s="2"/>
      <c r="Q247" s="2"/>
      <c r="R247" s="2"/>
      <c r="S247" s="2"/>
      <c r="T247" s="2"/>
      <c r="U247" s="2"/>
      <c r="Z247" s="2"/>
      <c r="AA247" s="6"/>
      <c r="AB247" s="6"/>
      <c r="AC247" s="6"/>
      <c r="AD247" s="6"/>
      <c r="AE247" s="6"/>
      <c r="AF247" s="6"/>
      <c r="AG247" s="6"/>
      <c r="AH247" s="6"/>
      <c r="AI247" s="6"/>
      <c r="AJ247" s="2"/>
    </row>
    <row r="248" spans="1:44" s="4" customFormat="1" ht="14.1" customHeight="1">
      <c r="B248" s="443" t="s">
        <v>87</v>
      </c>
      <c r="C248" s="443"/>
      <c r="D248" s="443" t="s">
        <v>24</v>
      </c>
      <c r="E248" s="50" t="str">
        <f>+IF(rascunho!CN18="","",rascunho!CN18)</f>
        <v/>
      </c>
      <c r="F248" s="51"/>
      <c r="G248" s="456" t="str">
        <f>+CONCATENATE("TIPO DE DECLARAÇÃO: ",rascunho!CL18)</f>
        <v xml:space="preserve">TIPO DE DECLARAÇÃO: </v>
      </c>
      <c r="H248" s="456"/>
      <c r="I248" s="456"/>
      <c r="J248" s="456"/>
      <c r="K248" s="6"/>
      <c r="L248" s="2"/>
      <c r="M248" s="2"/>
      <c r="N248" s="2"/>
      <c r="O248" s="2"/>
      <c r="P248" s="2"/>
      <c r="Q248" s="2"/>
      <c r="R248" s="2"/>
      <c r="S248" s="2"/>
      <c r="T248" s="2"/>
      <c r="U248" s="2"/>
      <c r="Z248" s="2"/>
      <c r="AA248" s="2"/>
      <c r="AB248" s="6"/>
      <c r="AC248" s="6"/>
      <c r="AD248" s="6"/>
      <c r="AE248" s="6"/>
      <c r="AF248" s="6"/>
      <c r="AG248" s="6"/>
      <c r="AH248" s="6"/>
      <c r="AI248" s="6"/>
    </row>
    <row r="249" spans="1:44" s="4" customFormat="1" ht="14.1" customHeight="1">
      <c r="B249" s="443" t="s">
        <v>86</v>
      </c>
      <c r="C249" s="443"/>
      <c r="D249" s="443" t="s">
        <v>24</v>
      </c>
      <c r="E249" s="54" t="str">
        <f>+IF(rascunho!CO18="","",rascunho!CO18)</f>
        <v/>
      </c>
      <c r="F249" s="51"/>
      <c r="G249" s="55" t="s">
        <v>2</v>
      </c>
      <c r="H249" s="56" t="s">
        <v>3</v>
      </c>
      <c r="I249" s="56" t="s">
        <v>14</v>
      </c>
      <c r="J249" s="57" t="s">
        <v>4</v>
      </c>
      <c r="K249" s="6"/>
      <c r="L249" s="2"/>
      <c r="M249" s="2"/>
      <c r="N249" s="2"/>
      <c r="O249" s="2"/>
      <c r="P249" s="2"/>
      <c r="Q249" s="2"/>
      <c r="R249" s="2"/>
      <c r="S249" s="2"/>
      <c r="T249" s="2"/>
      <c r="U249" s="2"/>
      <c r="AA249" s="2"/>
      <c r="AB249" s="2"/>
      <c r="AC249" s="2"/>
      <c r="AD249" s="2"/>
      <c r="AE249" s="2"/>
      <c r="AF249" s="2"/>
      <c r="AG249" s="6"/>
      <c r="AH249" s="6"/>
      <c r="AI249" s="6"/>
    </row>
    <row r="250" spans="1:44" s="4" customFormat="1" ht="14.1" customHeight="1">
      <c r="B250" s="443" t="s">
        <v>89</v>
      </c>
      <c r="C250" s="443"/>
      <c r="D250" s="443"/>
      <c r="E250" s="50" t="str">
        <f>+IF(rascunho!CQ18="","",rascunho!CQ18)</f>
        <v/>
      </c>
      <c r="F250" s="51"/>
      <c r="G250" s="58" t="str">
        <f>+IF(rascunho!DL18="","",rascunho!DL18)</f>
        <v/>
      </c>
      <c r="H250" s="59" t="s">
        <v>5</v>
      </c>
      <c r="I250" s="60" t="str">
        <f>+IF(rascunho!DM18="","",rascunho!DM18)</f>
        <v/>
      </c>
      <c r="J250" s="61" t="str">
        <f>+IF(rascunho!DN18="","",rascunho!DN18)</f>
        <v/>
      </c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AB250" s="2"/>
      <c r="AC250" s="2"/>
      <c r="AD250" s="2"/>
      <c r="AE250" s="2"/>
      <c r="AF250" s="2"/>
      <c r="AG250" s="6"/>
      <c r="AH250" s="6"/>
      <c r="AI250" s="6"/>
    </row>
    <row r="251" spans="1:44" s="4" customFormat="1" ht="14.1" customHeight="1">
      <c r="A251" s="5"/>
      <c r="B251" s="443" t="s">
        <v>151</v>
      </c>
      <c r="C251" s="443"/>
      <c r="D251" s="443"/>
      <c r="E251" s="54" t="str">
        <f>+IF(rascunho!CS18="","",rascunho!CS18)</f>
        <v/>
      </c>
      <c r="F251" s="51"/>
      <c r="G251" s="62" t="str">
        <f>+IF(H251="","",rascunho!DO18)</f>
        <v/>
      </c>
      <c r="H251" s="63" t="str">
        <f>+IF(G250="","",G250-0.01)</f>
        <v/>
      </c>
      <c r="I251" s="64" t="str">
        <f>+IF(H251="","",rascunho!DP18)</f>
        <v/>
      </c>
      <c r="J251" s="65" t="str">
        <f>+IF(H251="","",rascunho!DQ18)</f>
        <v/>
      </c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AG251" s="6"/>
      <c r="AH251" s="6"/>
      <c r="AI251" s="6"/>
      <c r="AL251" s="5"/>
      <c r="AM251" s="5"/>
      <c r="AN251" s="5"/>
      <c r="AO251" s="5"/>
      <c r="AP251" s="5"/>
      <c r="AQ251" s="5"/>
      <c r="AR251" s="5"/>
    </row>
    <row r="252" spans="1:44" s="5" customFormat="1" ht="14.1" customHeight="1">
      <c r="A252" s="4"/>
      <c r="B252" s="443" t="s">
        <v>142</v>
      </c>
      <c r="C252" s="443"/>
      <c r="D252" s="443" t="s">
        <v>25</v>
      </c>
      <c r="E252" s="50" t="str">
        <f>+IF(rascunho!CU18="","",rascunho!CU18)</f>
        <v/>
      </c>
      <c r="F252" s="51"/>
      <c r="G252" s="62" t="str">
        <f>+IF(H252="","",rascunho!DR18)</f>
        <v/>
      </c>
      <c r="H252" s="63" t="str">
        <f>+IF(G251="","",G251-0.01)</f>
        <v/>
      </c>
      <c r="I252" s="64" t="str">
        <f>+IF(H252="","",rascunho!DS18)</f>
        <v/>
      </c>
      <c r="J252" s="65" t="str">
        <f>+IF(H252="","",rascunho!DT18)</f>
        <v/>
      </c>
      <c r="K252" s="4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6"/>
      <c r="AH252" s="6"/>
      <c r="AI252" s="6"/>
      <c r="AL252" s="6"/>
      <c r="AM252" s="6"/>
      <c r="AN252" s="6"/>
      <c r="AO252" s="6"/>
      <c r="AP252" s="6"/>
      <c r="AQ252" s="6"/>
      <c r="AR252" s="6"/>
    </row>
    <row r="253" spans="1:44" ht="14.1" customHeight="1">
      <c r="A253" s="6"/>
      <c r="B253" s="66"/>
      <c r="C253" s="67"/>
      <c r="D253" s="68" t="s">
        <v>163</v>
      </c>
      <c r="E253" s="69" t="str">
        <f>+IF(rascunho!CX18="","",rascunho!CX18)</f>
        <v/>
      </c>
      <c r="F253" s="51"/>
      <c r="G253" s="62" t="str">
        <f>+IF(H253="","",rascunho!DU18)</f>
        <v/>
      </c>
      <c r="H253" s="63" t="str">
        <f>+IF(OR(G252="",G252=0),"",G252-0.01)</f>
        <v/>
      </c>
      <c r="I253" s="64" t="str">
        <f>+IF(H253="","",rascunho!DV18)</f>
        <v/>
      </c>
      <c r="J253" s="65" t="str">
        <f>+IF(H253="","",rascunho!DW18)</f>
        <v/>
      </c>
      <c r="K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6"/>
      <c r="AH253" s="6"/>
      <c r="AI253" s="6"/>
      <c r="AJ253" s="6"/>
      <c r="AL253" s="6"/>
      <c r="AM253" s="6"/>
      <c r="AN253" s="6"/>
      <c r="AO253" s="6"/>
      <c r="AP253" s="6"/>
      <c r="AQ253" s="6"/>
      <c r="AR253" s="6"/>
    </row>
    <row r="254" spans="1:44" s="6" customFormat="1" ht="14.1" customHeight="1">
      <c r="A254" s="5"/>
      <c r="B254" s="66"/>
      <c r="C254" s="70"/>
      <c r="D254" s="71" t="s">
        <v>90</v>
      </c>
      <c r="E254" s="72" t="str">
        <f>+IF(rascunho!CY18="","",rascunho!CY18)</f>
        <v/>
      </c>
      <c r="F254" s="51"/>
      <c r="G254" s="62" t="str">
        <f>+IF(H254="","",rascunho!DX18)</f>
        <v/>
      </c>
      <c r="H254" s="63" t="str">
        <f>+IF(OR(G253="",G253=0),"",G253-0.01)</f>
        <v/>
      </c>
      <c r="I254" s="64" t="str">
        <f>+IF(H254="","",rascunho!DY18)</f>
        <v/>
      </c>
      <c r="J254" s="65" t="str">
        <f>+IF(H254="","",rascunho!DZ18)</f>
        <v/>
      </c>
      <c r="K254" s="4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4"/>
      <c r="W254" s="4"/>
      <c r="X254" s="4"/>
      <c r="Y254" s="4"/>
      <c r="Z254" s="5"/>
      <c r="AA254" s="4"/>
      <c r="AB254" s="4"/>
      <c r="AC254" s="4"/>
      <c r="AD254" s="4"/>
      <c r="AE254" s="4"/>
      <c r="AF254" s="4"/>
    </row>
    <row r="255" spans="1:44" s="6" customFormat="1" ht="14.1" customHeight="1">
      <c r="B255" s="443" t="s">
        <v>152</v>
      </c>
      <c r="C255" s="443"/>
      <c r="D255" s="443"/>
      <c r="E255" s="87" t="str">
        <f>+IF(rascunho!CZ18="","",rascunho!CZ18)</f>
        <v/>
      </c>
      <c r="F255" s="51"/>
      <c r="G255" s="449" t="s">
        <v>91</v>
      </c>
      <c r="H255" s="450"/>
      <c r="I255" s="450"/>
      <c r="J255" s="451"/>
      <c r="K255" s="4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4"/>
      <c r="W255" s="4"/>
      <c r="X255" s="4"/>
      <c r="Y255" s="4"/>
      <c r="AB255" s="5"/>
      <c r="AC255" s="5"/>
      <c r="AD255" s="5"/>
      <c r="AE255" s="5"/>
      <c r="AF255" s="5"/>
    </row>
    <row r="256" spans="1:44" ht="14.1" customHeight="1">
      <c r="A256" s="6"/>
      <c r="B256" s="443" t="s">
        <v>229</v>
      </c>
      <c r="C256" s="443"/>
      <c r="D256" s="443"/>
      <c r="E256" s="54" t="str">
        <f>+IF(rascunho!DA18="","",rascunho!DA18)</f>
        <v/>
      </c>
      <c r="F256" s="51"/>
      <c r="G256" s="53" t="s">
        <v>154</v>
      </c>
      <c r="H256" s="73"/>
      <c r="I256" s="73"/>
      <c r="J256" s="73"/>
      <c r="K256" s="4"/>
      <c r="T256" s="6"/>
      <c r="V256" s="4"/>
      <c r="W256" s="4"/>
      <c r="X256" s="4"/>
      <c r="Y256" s="4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L256" s="6"/>
      <c r="AM256" s="6"/>
      <c r="AN256" s="6"/>
      <c r="AO256" s="6"/>
      <c r="AP256" s="6"/>
      <c r="AQ256" s="6"/>
      <c r="AR256" s="6"/>
    </row>
    <row r="257" spans="1:44" ht="14.1" customHeight="1">
      <c r="A257" s="6"/>
      <c r="B257" s="443" t="s">
        <v>50</v>
      </c>
      <c r="C257" s="443"/>
      <c r="D257" s="443"/>
      <c r="E257" s="50" t="str">
        <f>+IF(rascunho!DC18="","",rascunho!DC18)</f>
        <v/>
      </c>
      <c r="F257" s="51"/>
      <c r="G257" s="63"/>
      <c r="H257" s="74"/>
      <c r="I257" s="74"/>
      <c r="J257" s="74"/>
      <c r="K257" s="6"/>
      <c r="T257" s="6"/>
      <c r="V257" s="4"/>
      <c r="W257" s="4"/>
      <c r="X257" s="4"/>
      <c r="Y257" s="4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L257" s="6"/>
      <c r="AM257" s="6"/>
      <c r="AN257" s="6"/>
      <c r="AO257" s="6"/>
      <c r="AP257" s="6"/>
      <c r="AQ257" s="6"/>
      <c r="AR257" s="6"/>
    </row>
    <row r="258" spans="1:44" s="4" customFormat="1" ht="14.1" customHeight="1">
      <c r="A258" s="6"/>
      <c r="B258" s="443" t="s">
        <v>153</v>
      </c>
      <c r="C258" s="443"/>
      <c r="D258" s="443"/>
      <c r="E258" s="54" t="str">
        <f>+IF(rascunho!DD18="","",rascunho!DD18)</f>
        <v/>
      </c>
      <c r="F258" s="51"/>
      <c r="G258" s="63"/>
      <c r="H258" s="63"/>
      <c r="I258" s="75"/>
      <c r="J258" s="76"/>
      <c r="K258" s="6"/>
      <c r="L258" s="2"/>
      <c r="M258" s="2"/>
      <c r="N258" s="2"/>
      <c r="O258" s="2"/>
      <c r="P258" s="2"/>
      <c r="Q258" s="2"/>
      <c r="R258" s="2"/>
      <c r="S258" s="2"/>
      <c r="T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L258" s="6"/>
      <c r="AM258" s="6"/>
      <c r="AN258" s="6"/>
      <c r="AO258" s="6"/>
      <c r="AP258" s="6"/>
      <c r="AQ258" s="6"/>
      <c r="AR258" s="6"/>
    </row>
    <row r="259" spans="1:44" s="4" customFormat="1" ht="14.1" customHeight="1">
      <c r="A259" s="6"/>
      <c r="B259" s="443" t="str">
        <f>+CONCATENATE("IMPOSTO A ",rascunho!DI18,"(=):")</f>
        <v>IMPOSTO A (=):</v>
      </c>
      <c r="C259" s="443"/>
      <c r="D259" s="443"/>
      <c r="E259" s="50" t="str">
        <f>+IF(rascunho!DH18="","",ABS(rascunho!DH18))</f>
        <v/>
      </c>
      <c r="F259" s="51"/>
      <c r="G259" s="74"/>
      <c r="H259" s="74"/>
      <c r="I259" s="74"/>
      <c r="J259" s="74"/>
      <c r="K259" s="6"/>
      <c r="L259" s="6"/>
      <c r="M259" s="2"/>
      <c r="N259" s="2"/>
      <c r="O259" s="2"/>
      <c r="P259" s="2"/>
      <c r="Q259" s="2"/>
      <c r="R259" s="2"/>
      <c r="S259" s="2"/>
      <c r="T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L259" s="6"/>
      <c r="AM259" s="6"/>
      <c r="AN259" s="6"/>
      <c r="AO259" s="6"/>
      <c r="AP259" s="6"/>
      <c r="AQ259" s="6"/>
      <c r="AR259" s="6"/>
    </row>
    <row r="260" spans="1:44" s="4" customFormat="1" ht="14.1" customHeight="1">
      <c r="A260" s="6"/>
      <c r="B260" s="443" t="str">
        <f>+CONCATENATE("(*)IMPOSTO A ",rascunho!DG18," EFETUADO:")</f>
        <v>(*)IMPOSTO A  EFETUADO:</v>
      </c>
      <c r="C260" s="443"/>
      <c r="D260" s="443"/>
      <c r="E260" s="54" t="str">
        <f>+IF(rascunho!DE18="","",ABS(rascunho!DE18))</f>
        <v/>
      </c>
      <c r="F260" s="51"/>
      <c r="G260" s="47"/>
      <c r="H260" s="43"/>
      <c r="I260" s="444" t="str">
        <f>+IF(AND(I247&gt;1991,I247&lt;1995),"(em moeda)","")</f>
        <v/>
      </c>
      <c r="J260" s="444"/>
      <c r="K260" s="6"/>
      <c r="L260" s="6"/>
      <c r="M260" s="2"/>
      <c r="N260" s="2"/>
      <c r="O260" s="2"/>
      <c r="P260" s="2"/>
      <c r="Q260" s="6"/>
      <c r="R260" s="6"/>
      <c r="S260" s="6"/>
      <c r="T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L260" s="6"/>
      <c r="AM260" s="6"/>
      <c r="AN260" s="6"/>
      <c r="AO260" s="6"/>
      <c r="AP260" s="6"/>
      <c r="AQ260" s="6"/>
      <c r="AR260" s="6"/>
    </row>
    <row r="261" spans="1:44" s="4" customFormat="1" ht="14.1" customHeight="1">
      <c r="A261" s="6"/>
      <c r="B261" s="447" t="s">
        <v>32</v>
      </c>
      <c r="C261" s="447"/>
      <c r="D261" s="447"/>
      <c r="E261" s="77" t="str">
        <f>+IF(rascunho!EC18="","",-rascunho!EC18)</f>
        <v/>
      </c>
      <c r="F261" s="51"/>
      <c r="G261" s="78" t="str">
        <f>+IF(AND(I247&gt;=1992,I247&lt;1995),"(em UFIR)","")</f>
        <v/>
      </c>
      <c r="H261" s="78"/>
      <c r="I261" s="454" t="str">
        <f>+IF(AND(I247&gt;1991,I247&lt;1995),ABS(rascunho!EF18),"")</f>
        <v/>
      </c>
      <c r="J261" s="454"/>
      <c r="K261" s="6"/>
      <c r="L261" s="6"/>
      <c r="M261" s="6"/>
      <c r="N261" s="6"/>
      <c r="O261" s="6"/>
      <c r="P261" s="6"/>
      <c r="Q261" s="6"/>
      <c r="R261" s="6"/>
      <c r="S261" s="6"/>
      <c r="T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L261" s="6"/>
      <c r="AM261" s="6"/>
      <c r="AN261" s="6"/>
      <c r="AO261" s="6"/>
      <c r="AP261" s="6"/>
      <c r="AQ261" s="6"/>
      <c r="AR261" s="6"/>
    </row>
    <row r="262" spans="1:44" s="5" customFormat="1" ht="14.1" customHeight="1">
      <c r="A262" s="6"/>
      <c r="B262" s="46"/>
      <c r="C262" s="46"/>
      <c r="D262" s="45"/>
      <c r="E262" s="47"/>
      <c r="F262" s="47"/>
      <c r="G262" s="47"/>
      <c r="H262" s="48"/>
      <c r="I262" s="49"/>
      <c r="J262" s="49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4"/>
      <c r="V262" s="4"/>
      <c r="W262" s="4"/>
      <c r="X262" s="4"/>
      <c r="Y262" s="4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L262" s="6"/>
      <c r="AM262" s="6"/>
      <c r="AN262" s="6"/>
      <c r="AO262" s="6"/>
      <c r="AP262" s="6"/>
      <c r="AQ262" s="6"/>
      <c r="AR262" s="6"/>
    </row>
    <row r="263" spans="1:44" s="6" customFormat="1" ht="14.1" customHeight="1">
      <c r="B263" s="443" t="s">
        <v>150</v>
      </c>
      <c r="C263" s="443"/>
      <c r="D263" s="443"/>
      <c r="E263" s="50" t="str">
        <f>+IF(rascunho!CM19="","",rascunho!CM19)</f>
        <v/>
      </c>
      <c r="F263" s="51"/>
      <c r="G263" s="448" t="s">
        <v>23</v>
      </c>
      <c r="H263" s="448"/>
      <c r="I263" s="52" t="str">
        <f>+IF(rascunho!CJ19="","",rascunho!CJ19)</f>
        <v/>
      </c>
      <c r="J263" s="53"/>
      <c r="U263" s="4"/>
      <c r="V263" s="4"/>
      <c r="W263" s="4"/>
      <c r="X263" s="4"/>
      <c r="Y263" s="4"/>
    </row>
    <row r="264" spans="1:44" s="6" customFormat="1" ht="14.1" customHeight="1">
      <c r="B264" s="443" t="s">
        <v>87</v>
      </c>
      <c r="C264" s="443"/>
      <c r="D264" s="443" t="s">
        <v>24</v>
      </c>
      <c r="E264" s="50" t="str">
        <f>+IF(rascunho!CN19="","",rascunho!CN19)</f>
        <v/>
      </c>
      <c r="F264" s="51"/>
      <c r="G264" s="456" t="str">
        <f>+CONCATENATE("TIPO DE DECLARAÇÃO: ",rascunho!CL19)</f>
        <v xml:space="preserve">TIPO DE DECLARAÇÃO: </v>
      </c>
      <c r="H264" s="456"/>
      <c r="I264" s="456"/>
      <c r="J264" s="456"/>
      <c r="U264" s="4"/>
      <c r="V264" s="4"/>
      <c r="W264" s="4"/>
      <c r="X264" s="4"/>
      <c r="Y264" s="4"/>
    </row>
    <row r="265" spans="1:44" s="6" customFormat="1" ht="14.1" customHeight="1">
      <c r="B265" s="443" t="s">
        <v>86</v>
      </c>
      <c r="C265" s="443"/>
      <c r="D265" s="443" t="s">
        <v>24</v>
      </c>
      <c r="E265" s="54" t="str">
        <f>+IF(rascunho!CO19="","",rascunho!CO19)</f>
        <v/>
      </c>
      <c r="F265" s="51"/>
      <c r="G265" s="55" t="s">
        <v>2</v>
      </c>
      <c r="H265" s="56" t="s">
        <v>3</v>
      </c>
      <c r="I265" s="56" t="s">
        <v>14</v>
      </c>
      <c r="J265" s="57" t="s">
        <v>4</v>
      </c>
      <c r="U265" s="4"/>
      <c r="V265" s="4"/>
      <c r="W265" s="4"/>
      <c r="X265" s="4"/>
      <c r="Y265" s="4"/>
    </row>
    <row r="266" spans="1:44" s="6" customFormat="1" ht="14.1" customHeight="1">
      <c r="B266" s="443" t="s">
        <v>89</v>
      </c>
      <c r="C266" s="443"/>
      <c r="D266" s="443"/>
      <c r="E266" s="50" t="str">
        <f>+IF(rascunho!CQ19="","",rascunho!CQ19)</f>
        <v/>
      </c>
      <c r="F266" s="51"/>
      <c r="G266" s="58" t="str">
        <f>+IF(rascunho!DL19="","",rascunho!DL19)</f>
        <v/>
      </c>
      <c r="H266" s="59" t="s">
        <v>5</v>
      </c>
      <c r="I266" s="60" t="str">
        <f>+IF(rascunho!DM19="","",rascunho!DM19)</f>
        <v/>
      </c>
      <c r="J266" s="61" t="str">
        <f>+IF(rascunho!DN19="","",rascunho!DN19)</f>
        <v/>
      </c>
      <c r="U266" s="4"/>
      <c r="V266" s="4"/>
      <c r="W266" s="4"/>
      <c r="X266" s="4"/>
      <c r="Y266" s="4"/>
    </row>
    <row r="267" spans="1:44" s="6" customFormat="1" ht="14.1" customHeight="1">
      <c r="B267" s="443" t="s">
        <v>151</v>
      </c>
      <c r="C267" s="443"/>
      <c r="D267" s="443"/>
      <c r="E267" s="54" t="str">
        <f>+IF(rascunho!CS19="","",rascunho!CS19)</f>
        <v/>
      </c>
      <c r="F267" s="51"/>
      <c r="G267" s="62" t="str">
        <f>+IF(H267="","",rascunho!DO19)</f>
        <v/>
      </c>
      <c r="H267" s="63" t="str">
        <f>+IF(G266="","",G266-0.01)</f>
        <v/>
      </c>
      <c r="I267" s="64" t="str">
        <f>+IF(H267="","",rascunho!DP19)</f>
        <v/>
      </c>
      <c r="J267" s="65" t="str">
        <f>+IF(H267="","",rascunho!DQ19)</f>
        <v/>
      </c>
      <c r="U267" s="4"/>
      <c r="V267" s="4"/>
      <c r="W267" s="4"/>
      <c r="X267" s="4"/>
      <c r="Y267" s="4"/>
    </row>
    <row r="268" spans="1:44" s="6" customFormat="1" ht="14.1" customHeight="1">
      <c r="B268" s="443" t="s">
        <v>142</v>
      </c>
      <c r="C268" s="443"/>
      <c r="D268" s="443" t="s">
        <v>25</v>
      </c>
      <c r="E268" s="50" t="str">
        <f>+IF(rascunho!CU19="","",rascunho!CU19)</f>
        <v/>
      </c>
      <c r="F268" s="51"/>
      <c r="G268" s="62" t="str">
        <f>+IF(H268="","",rascunho!DR19)</f>
        <v/>
      </c>
      <c r="H268" s="63" t="str">
        <f>+IF(G267="","",G267-0.01)</f>
        <v/>
      </c>
      <c r="I268" s="64" t="str">
        <f>+IF(H268="","",rascunho!DS19)</f>
        <v/>
      </c>
      <c r="J268" s="65" t="str">
        <f>+IF(H268="","",rascunho!DT19)</f>
        <v/>
      </c>
      <c r="U268" s="4"/>
      <c r="V268" s="4"/>
      <c r="W268" s="4"/>
      <c r="X268" s="4"/>
      <c r="Y268" s="4"/>
    </row>
    <row r="269" spans="1:44" s="6" customFormat="1" ht="14.1" customHeight="1">
      <c r="B269" s="66"/>
      <c r="C269" s="67"/>
      <c r="D269" s="68" t="s">
        <v>163</v>
      </c>
      <c r="E269" s="69" t="str">
        <f>+IF(rascunho!CX19="","",rascunho!CX19)</f>
        <v/>
      </c>
      <c r="F269" s="51"/>
      <c r="G269" s="62" t="str">
        <f>+IF(H269="","",rascunho!DU19)</f>
        <v/>
      </c>
      <c r="H269" s="63" t="str">
        <f>+IF(OR(G268="",G268=0),"",G268-0.01)</f>
        <v/>
      </c>
      <c r="I269" s="64" t="str">
        <f>+IF(H269="","",rascunho!DV19)</f>
        <v/>
      </c>
      <c r="J269" s="65" t="str">
        <f>+IF(H269="","",rascunho!DW19)</f>
        <v/>
      </c>
      <c r="U269" s="4"/>
      <c r="V269" s="4"/>
      <c r="W269" s="4"/>
      <c r="X269" s="4"/>
      <c r="Y269" s="4"/>
    </row>
    <row r="270" spans="1:44" s="6" customFormat="1" ht="14.1" customHeight="1">
      <c r="B270" s="66"/>
      <c r="C270" s="70"/>
      <c r="D270" s="71" t="s">
        <v>90</v>
      </c>
      <c r="E270" s="72" t="str">
        <f>+IF(rascunho!CY19="","",rascunho!CY19)</f>
        <v/>
      </c>
      <c r="F270" s="51"/>
      <c r="G270" s="62" t="str">
        <f>+IF(H270="","",rascunho!DX19)</f>
        <v/>
      </c>
      <c r="H270" s="63" t="str">
        <f>+IF(OR(G269="",G269=0),"",G269-0.01)</f>
        <v/>
      </c>
      <c r="I270" s="64" t="str">
        <f>+IF(H270="","",rascunho!DY19)</f>
        <v/>
      </c>
      <c r="J270" s="65" t="str">
        <f>+IF(H270="","",rascunho!DZ19)</f>
        <v/>
      </c>
      <c r="U270" s="4"/>
      <c r="V270" s="4"/>
      <c r="W270" s="4"/>
      <c r="X270" s="4"/>
      <c r="Y270" s="4"/>
    </row>
    <row r="271" spans="1:44" s="6" customFormat="1" ht="14.1" customHeight="1">
      <c r="B271" s="443" t="s">
        <v>152</v>
      </c>
      <c r="C271" s="443"/>
      <c r="D271" s="443"/>
      <c r="E271" s="50" t="str">
        <f>+IF(rascunho!CZ19="","",rascunho!CZ19)</f>
        <v/>
      </c>
      <c r="F271" s="51"/>
      <c r="G271" s="449" t="s">
        <v>91</v>
      </c>
      <c r="H271" s="450"/>
      <c r="I271" s="450"/>
      <c r="J271" s="451"/>
      <c r="U271" s="4"/>
      <c r="V271" s="4"/>
      <c r="W271" s="4"/>
      <c r="X271" s="4"/>
      <c r="Y271" s="4"/>
    </row>
    <row r="272" spans="1:44" s="6" customFormat="1" ht="14.1" customHeight="1">
      <c r="B272" s="443" t="s">
        <v>229</v>
      </c>
      <c r="C272" s="443"/>
      <c r="D272" s="443"/>
      <c r="E272" s="54" t="str">
        <f>+IF(rascunho!DA19="","",rascunho!DA19)</f>
        <v/>
      </c>
      <c r="F272" s="51"/>
      <c r="G272" s="53" t="s">
        <v>154</v>
      </c>
      <c r="H272" s="73"/>
      <c r="I272" s="73"/>
      <c r="J272" s="73"/>
      <c r="U272" s="4"/>
      <c r="V272" s="4"/>
      <c r="W272" s="4"/>
      <c r="X272" s="4"/>
      <c r="Y272" s="4"/>
    </row>
    <row r="273" spans="2:44" s="6" customFormat="1" ht="14.1" customHeight="1">
      <c r="B273" s="443" t="s">
        <v>50</v>
      </c>
      <c r="C273" s="443"/>
      <c r="D273" s="443"/>
      <c r="E273" s="50" t="str">
        <f>+IF(rascunho!DC19="","",rascunho!DC19)</f>
        <v/>
      </c>
      <c r="F273" s="51"/>
      <c r="G273" s="53"/>
      <c r="H273" s="74"/>
      <c r="I273" s="74"/>
      <c r="J273" s="74"/>
      <c r="U273" s="4"/>
      <c r="V273" s="4"/>
      <c r="W273" s="4"/>
      <c r="X273" s="4"/>
      <c r="Y273" s="4"/>
    </row>
    <row r="274" spans="2:44" s="6" customFormat="1" ht="14.1" customHeight="1">
      <c r="B274" s="443" t="s">
        <v>153</v>
      </c>
      <c r="C274" s="443"/>
      <c r="D274" s="443"/>
      <c r="E274" s="54" t="str">
        <f>+IF(rascunho!DD19="","",rascunho!DD19)</f>
        <v/>
      </c>
      <c r="F274" s="51"/>
      <c r="G274" s="63"/>
      <c r="H274" s="63"/>
      <c r="I274" s="75"/>
      <c r="J274" s="76"/>
      <c r="U274" s="4"/>
      <c r="V274" s="4"/>
      <c r="W274" s="4"/>
      <c r="X274" s="4"/>
      <c r="Y274" s="4"/>
    </row>
    <row r="275" spans="2:44" s="6" customFormat="1" ht="14.1" customHeight="1">
      <c r="B275" s="443" t="str">
        <f>+CONCATENATE("IMPOSTO A ",rascunho!DI19,"(=):")</f>
        <v>IMPOSTO A (=):</v>
      </c>
      <c r="C275" s="443"/>
      <c r="D275" s="443"/>
      <c r="E275" s="50" t="str">
        <f>+IF(rascunho!DH19="","",ABS(rascunho!DH19))</f>
        <v/>
      </c>
      <c r="F275" s="51"/>
      <c r="G275" s="74"/>
      <c r="H275" s="74"/>
      <c r="I275" s="74"/>
      <c r="J275" s="74"/>
      <c r="U275" s="4"/>
      <c r="V275" s="4"/>
      <c r="W275" s="4"/>
      <c r="X275" s="4"/>
      <c r="Y275" s="4"/>
      <c r="AH275" s="4"/>
      <c r="AI275" s="4"/>
    </row>
    <row r="276" spans="2:44" s="6" customFormat="1" ht="14.1" customHeight="1">
      <c r="B276" s="443" t="str">
        <f>+CONCATENATE("(*)IMPOSTO A ",rascunho!DG19," EFETUADO:")</f>
        <v>(*)IMPOSTO A  EFETUADO:</v>
      </c>
      <c r="C276" s="443"/>
      <c r="D276" s="443"/>
      <c r="E276" s="54" t="str">
        <f>+IF(rascunho!DE19="","",ABS(rascunho!DE19))</f>
        <v/>
      </c>
      <c r="F276" s="51"/>
      <c r="G276" s="47"/>
      <c r="H276" s="43"/>
      <c r="I276" s="444" t="str">
        <f>+IF(AND(I263&gt;1991,I263&lt;1995),"(em moeda)","")</f>
        <v/>
      </c>
      <c r="J276" s="444"/>
      <c r="U276" s="4"/>
      <c r="V276" s="4"/>
      <c r="W276" s="4"/>
      <c r="X276" s="4"/>
      <c r="Y276" s="4"/>
      <c r="AH276" s="4"/>
      <c r="AI276" s="4"/>
    </row>
    <row r="277" spans="2:44" s="6" customFormat="1" ht="14.1" customHeight="1">
      <c r="B277" s="447" t="s">
        <v>32</v>
      </c>
      <c r="C277" s="447"/>
      <c r="D277" s="447"/>
      <c r="E277" s="77" t="str">
        <f>+IF(rascunho!EC19="","",-rascunho!EC19)</f>
        <v/>
      </c>
      <c r="F277" s="51"/>
      <c r="G277" s="78" t="str">
        <f>+IF(AND(I263&gt;=1992,I263&lt;1995),"(em UFIR)","")</f>
        <v/>
      </c>
      <c r="H277" s="78"/>
      <c r="I277" s="454" t="str">
        <f>+IF(AND(I263&gt;1991,I263&lt;1995),ABS(rascunho!EF19),"")</f>
        <v/>
      </c>
      <c r="J277" s="454"/>
      <c r="U277" s="4"/>
      <c r="V277" s="4"/>
      <c r="W277" s="4"/>
      <c r="X277" s="4"/>
      <c r="Y277" s="4"/>
      <c r="AH277" s="4"/>
      <c r="AI277" s="4"/>
    </row>
    <row r="278" spans="2:44" s="6" customFormat="1" ht="14.1" customHeight="1">
      <c r="B278" s="46"/>
      <c r="C278" s="46"/>
      <c r="D278" s="45"/>
      <c r="E278" s="47"/>
      <c r="F278" s="47"/>
      <c r="G278" s="47"/>
      <c r="H278" s="48"/>
      <c r="I278" s="49"/>
      <c r="J278" s="49"/>
      <c r="U278" s="4"/>
      <c r="V278" s="4"/>
      <c r="W278" s="4"/>
      <c r="X278" s="4"/>
      <c r="Y278" s="4"/>
      <c r="AH278" s="4"/>
      <c r="AI278" s="4"/>
    </row>
    <row r="279" spans="2:44" s="6" customFormat="1" ht="14.1" customHeight="1">
      <c r="B279" s="443" t="s">
        <v>150</v>
      </c>
      <c r="C279" s="443"/>
      <c r="D279" s="443"/>
      <c r="E279" s="50" t="str">
        <f>+IF(rascunho!CM20="","",rascunho!CM20)</f>
        <v/>
      </c>
      <c r="F279" s="51"/>
      <c r="G279" s="448" t="s">
        <v>23</v>
      </c>
      <c r="H279" s="448"/>
      <c r="I279" s="52" t="str">
        <f>+IF(rascunho!CJ20="","",rascunho!CJ20)</f>
        <v/>
      </c>
      <c r="J279" s="53"/>
      <c r="U279" s="4"/>
      <c r="V279" s="4"/>
      <c r="W279" s="4"/>
      <c r="X279" s="4"/>
      <c r="Y279" s="4"/>
      <c r="AG279" s="4"/>
      <c r="AH279" s="5"/>
      <c r="AI279" s="5"/>
    </row>
    <row r="280" spans="2:44" s="6" customFormat="1" ht="14.1" customHeight="1">
      <c r="B280" s="443" t="s">
        <v>87</v>
      </c>
      <c r="C280" s="443"/>
      <c r="D280" s="443" t="s">
        <v>24</v>
      </c>
      <c r="E280" s="50" t="str">
        <f>+IF(rascunho!CN20="","",rascunho!CN20)</f>
        <v/>
      </c>
      <c r="F280" s="51"/>
      <c r="G280" s="456" t="str">
        <f>+CONCATENATE("TIPO DE DECLARAÇÃO: ",rascunho!CL20)</f>
        <v xml:space="preserve">TIPO DE DECLARAÇÃO: </v>
      </c>
      <c r="H280" s="456"/>
      <c r="I280" s="456"/>
      <c r="J280" s="456"/>
      <c r="U280" s="4"/>
      <c r="V280" s="4"/>
      <c r="W280" s="4"/>
      <c r="X280" s="4"/>
      <c r="Y280" s="4"/>
      <c r="AG280" s="4"/>
    </row>
    <row r="281" spans="2:44" s="6" customFormat="1" ht="14.1" customHeight="1">
      <c r="B281" s="443" t="s">
        <v>86</v>
      </c>
      <c r="C281" s="443"/>
      <c r="D281" s="443" t="s">
        <v>24</v>
      </c>
      <c r="E281" s="54" t="str">
        <f>+IF(rascunho!CO20="","",rascunho!CO20)</f>
        <v/>
      </c>
      <c r="F281" s="51"/>
      <c r="G281" s="55" t="s">
        <v>2</v>
      </c>
      <c r="H281" s="56" t="s">
        <v>3</v>
      </c>
      <c r="I281" s="56" t="s">
        <v>14</v>
      </c>
      <c r="J281" s="57" t="s">
        <v>4</v>
      </c>
      <c r="U281" s="4"/>
      <c r="V281" s="4"/>
      <c r="W281" s="4"/>
      <c r="X281" s="4"/>
      <c r="Y281" s="4"/>
      <c r="AG281" s="4"/>
      <c r="AH281" s="2"/>
      <c r="AI281" s="2"/>
    </row>
    <row r="282" spans="2:44" s="6" customFormat="1" ht="14.1" customHeight="1">
      <c r="B282" s="443" t="s">
        <v>89</v>
      </c>
      <c r="C282" s="443"/>
      <c r="D282" s="443"/>
      <c r="E282" s="50" t="str">
        <f>+IF(rascunho!CQ20="","",rascunho!CQ20)</f>
        <v/>
      </c>
      <c r="F282" s="51"/>
      <c r="G282" s="58" t="str">
        <f>+IF(rascunho!DL20="","",rascunho!DL20)</f>
        <v/>
      </c>
      <c r="H282" s="59" t="s">
        <v>5</v>
      </c>
      <c r="I282" s="60" t="str">
        <f>+IF(rascunho!DM20="","",rascunho!DM20)</f>
        <v/>
      </c>
      <c r="J282" s="61" t="str">
        <f>+IF(rascunho!DN20="","",rascunho!DN20)</f>
        <v/>
      </c>
      <c r="U282" s="4"/>
      <c r="V282" s="4"/>
      <c r="W282" s="4"/>
      <c r="X282" s="4"/>
      <c r="Y282" s="4"/>
      <c r="AG282" s="4"/>
      <c r="AH282" s="2"/>
      <c r="AI282" s="2"/>
    </row>
    <row r="283" spans="2:44" s="6" customFormat="1" ht="14.1" customHeight="1">
      <c r="B283" s="443" t="s">
        <v>151</v>
      </c>
      <c r="C283" s="443"/>
      <c r="D283" s="443"/>
      <c r="E283" s="54" t="str">
        <f>+IF(rascunho!CS20="","",rascunho!CS20)</f>
        <v/>
      </c>
      <c r="F283" s="51"/>
      <c r="G283" s="62" t="str">
        <f>+IF(H283="","",rascunho!DO20)</f>
        <v/>
      </c>
      <c r="H283" s="63" t="str">
        <f>+IF(G282="","",G282-0.01)</f>
        <v/>
      </c>
      <c r="I283" s="64" t="str">
        <f>+IF(H283="","",rascunho!DP20)</f>
        <v/>
      </c>
      <c r="J283" s="65" t="str">
        <f>+IF(H283="","",rascunho!DQ20)</f>
        <v/>
      </c>
      <c r="U283" s="4"/>
      <c r="V283" s="4"/>
      <c r="W283" s="4"/>
      <c r="X283" s="4"/>
      <c r="Y283" s="4"/>
      <c r="AG283" s="5"/>
      <c r="AH283" s="4"/>
      <c r="AI283" s="4"/>
    </row>
    <row r="284" spans="2:44" s="6" customFormat="1" ht="14.1" customHeight="1">
      <c r="B284" s="443" t="s">
        <v>142</v>
      </c>
      <c r="C284" s="443"/>
      <c r="D284" s="443" t="s">
        <v>25</v>
      </c>
      <c r="E284" s="50" t="str">
        <f>+IF(rascunho!CU20="","",rascunho!CU20)</f>
        <v/>
      </c>
      <c r="F284" s="51"/>
      <c r="G284" s="62" t="str">
        <f>+IF(H284="","",rascunho!DR20)</f>
        <v/>
      </c>
      <c r="H284" s="63" t="str">
        <f>+IF(G283="","",G283-0.01)</f>
        <v/>
      </c>
      <c r="I284" s="64" t="str">
        <f>+IF(H284="","",rascunho!DS20)</f>
        <v/>
      </c>
      <c r="J284" s="65" t="str">
        <f>+IF(H284="","",rascunho!DT20)</f>
        <v/>
      </c>
      <c r="U284" s="4"/>
      <c r="V284" s="4"/>
      <c r="W284" s="4"/>
      <c r="X284" s="4"/>
      <c r="Y284" s="4"/>
      <c r="AH284" s="4"/>
      <c r="AI284" s="4"/>
    </row>
    <row r="285" spans="2:44" s="6" customFormat="1" ht="14.1" customHeight="1">
      <c r="B285" s="66"/>
      <c r="C285" s="67"/>
      <c r="D285" s="68" t="s">
        <v>163</v>
      </c>
      <c r="E285" s="69" t="str">
        <f>+IF(rascunho!CX20="","",rascunho!CX20)</f>
        <v/>
      </c>
      <c r="F285" s="51"/>
      <c r="G285" s="62" t="str">
        <f>+IF(H285="","",rascunho!DU20)</f>
        <v/>
      </c>
      <c r="H285" s="63" t="str">
        <f>+IF(OR(G284="",G284=0),"",G284-0.01)</f>
        <v/>
      </c>
      <c r="I285" s="64" t="str">
        <f>+IF(H285="","",rascunho!DV20)</f>
        <v/>
      </c>
      <c r="J285" s="65" t="str">
        <f>+IF(H285="","",rascunho!DW20)</f>
        <v/>
      </c>
      <c r="U285" s="4"/>
      <c r="V285" s="4"/>
      <c r="W285" s="4"/>
      <c r="X285" s="4"/>
      <c r="Y285" s="4"/>
      <c r="AG285" s="2"/>
      <c r="AH285" s="4"/>
      <c r="AI285" s="4"/>
    </row>
    <row r="286" spans="2:44" s="6" customFormat="1" ht="14.1" customHeight="1">
      <c r="B286" s="66"/>
      <c r="C286" s="70"/>
      <c r="D286" s="71" t="s">
        <v>90</v>
      </c>
      <c r="E286" s="72" t="str">
        <f>+IF(rascunho!CY20="","",rascunho!CY20)</f>
        <v/>
      </c>
      <c r="F286" s="51"/>
      <c r="G286" s="62" t="str">
        <f>+IF(H286="","",rascunho!DX20)</f>
        <v/>
      </c>
      <c r="H286" s="63" t="str">
        <f>+IF(OR(G285="",G285=0),"",G285-0.01)</f>
        <v/>
      </c>
      <c r="I286" s="64" t="str">
        <f>+IF(H286="","",rascunho!DY20)</f>
        <v/>
      </c>
      <c r="J286" s="65" t="str">
        <f>+IF(H286="","",rascunho!DZ20)</f>
        <v/>
      </c>
      <c r="U286" s="4"/>
      <c r="V286" s="4"/>
      <c r="W286" s="4"/>
      <c r="X286" s="4"/>
      <c r="Y286" s="4"/>
      <c r="AG286" s="2"/>
      <c r="AH286" s="4"/>
      <c r="AI286" s="4"/>
    </row>
    <row r="287" spans="2:44" s="6" customFormat="1" ht="14.1" customHeight="1">
      <c r="B287" s="443" t="s">
        <v>152</v>
      </c>
      <c r="C287" s="443"/>
      <c r="D287" s="443"/>
      <c r="E287" s="50" t="str">
        <f>+IF(rascunho!CZ20="","",rascunho!CZ20)</f>
        <v/>
      </c>
      <c r="F287" s="51"/>
      <c r="G287" s="449" t="s">
        <v>91</v>
      </c>
      <c r="H287" s="450"/>
      <c r="I287" s="450"/>
      <c r="J287" s="451"/>
      <c r="U287" s="4"/>
      <c r="V287" s="4"/>
      <c r="W287" s="4"/>
      <c r="X287" s="4"/>
      <c r="Y287" s="4"/>
      <c r="AG287" s="4"/>
      <c r="AH287" s="4"/>
      <c r="AI287" s="4"/>
      <c r="AL287" s="4"/>
      <c r="AM287" s="4"/>
      <c r="AN287" s="4"/>
      <c r="AO287" s="4"/>
      <c r="AP287" s="4"/>
      <c r="AQ287" s="4"/>
      <c r="AR287" s="4"/>
    </row>
    <row r="288" spans="2:44" s="6" customFormat="1" ht="14.1" customHeight="1">
      <c r="B288" s="443" t="s">
        <v>229</v>
      </c>
      <c r="C288" s="443"/>
      <c r="D288" s="443"/>
      <c r="E288" s="54" t="str">
        <f>+IF(rascunho!DA20="","",rascunho!DA20)</f>
        <v/>
      </c>
      <c r="F288" s="51"/>
      <c r="G288" s="53" t="s">
        <v>154</v>
      </c>
      <c r="H288" s="73"/>
      <c r="I288" s="73"/>
      <c r="J288" s="73"/>
      <c r="U288" s="4"/>
      <c r="V288" s="4"/>
      <c r="W288" s="4"/>
      <c r="X288" s="4"/>
      <c r="AG288" s="4"/>
      <c r="AH288" s="5"/>
      <c r="AI288" s="5"/>
      <c r="AJ288" s="4"/>
      <c r="AL288" s="4"/>
      <c r="AM288" s="4"/>
      <c r="AN288" s="4"/>
      <c r="AO288" s="4"/>
      <c r="AP288" s="4"/>
      <c r="AQ288" s="4"/>
      <c r="AR288" s="4"/>
    </row>
    <row r="289" spans="2:44" s="6" customFormat="1" ht="14.1" customHeight="1">
      <c r="B289" s="443" t="s">
        <v>50</v>
      </c>
      <c r="C289" s="443"/>
      <c r="D289" s="443"/>
      <c r="E289" s="50" t="str">
        <f>+IF(rascunho!DC20="","",rascunho!DC20)</f>
        <v/>
      </c>
      <c r="F289" s="51"/>
      <c r="G289" s="53"/>
      <c r="H289" s="74"/>
      <c r="I289" s="74"/>
      <c r="J289" s="74"/>
      <c r="U289" s="4"/>
      <c r="V289" s="4"/>
      <c r="W289" s="4"/>
      <c r="X289" s="4"/>
      <c r="Y289" s="4"/>
      <c r="AG289" s="4"/>
      <c r="AH289" s="2"/>
      <c r="AI289" s="2"/>
      <c r="AJ289" s="4"/>
      <c r="AL289" s="4"/>
      <c r="AM289" s="4"/>
      <c r="AN289" s="4"/>
      <c r="AO289" s="4"/>
      <c r="AP289" s="4"/>
      <c r="AQ289" s="4"/>
      <c r="AR289" s="4"/>
    </row>
    <row r="290" spans="2:44" s="6" customFormat="1" ht="14.1" customHeight="1">
      <c r="B290" s="443" t="s">
        <v>153</v>
      </c>
      <c r="C290" s="443"/>
      <c r="D290" s="443"/>
      <c r="E290" s="54" t="str">
        <f>+IF(rascunho!DD20="","",rascunho!DD20)</f>
        <v/>
      </c>
      <c r="F290" s="51"/>
      <c r="G290" s="63"/>
      <c r="H290" s="63"/>
      <c r="I290" s="75"/>
      <c r="J290" s="76"/>
      <c r="U290" s="4"/>
      <c r="V290" s="4"/>
      <c r="W290" s="4"/>
      <c r="X290" s="4"/>
      <c r="Y290" s="4"/>
      <c r="AG290" s="4"/>
      <c r="AJ290" s="4"/>
      <c r="AL290" s="4"/>
      <c r="AM290" s="4"/>
      <c r="AN290" s="4"/>
      <c r="AO290" s="4"/>
      <c r="AP290" s="4"/>
      <c r="AQ290" s="4"/>
      <c r="AR290" s="4"/>
    </row>
    <row r="291" spans="2:44" s="6" customFormat="1" ht="14.1" customHeight="1">
      <c r="B291" s="443" t="str">
        <f>+CONCATENATE("IMPOSTO A ",rascunho!DI20,"(=):")</f>
        <v>IMPOSTO A (=):</v>
      </c>
      <c r="C291" s="443"/>
      <c r="D291" s="443"/>
      <c r="E291" s="50" t="str">
        <f>+IF(rascunho!DH20="","",ABS(rascunho!DH20))</f>
        <v/>
      </c>
      <c r="F291" s="51"/>
      <c r="G291" s="74"/>
      <c r="H291" s="74"/>
      <c r="I291" s="74"/>
      <c r="J291" s="7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J291" s="4"/>
      <c r="AL291" s="5"/>
      <c r="AM291" s="5"/>
      <c r="AN291" s="5"/>
      <c r="AO291" s="5"/>
      <c r="AP291" s="5"/>
      <c r="AQ291" s="5"/>
      <c r="AR291" s="5"/>
    </row>
    <row r="292" spans="2:44" s="6" customFormat="1" ht="14.1" customHeight="1">
      <c r="B292" s="443" t="str">
        <f>+CONCATENATE("(*)IMPOSTO A ",rascunho!DG20," EFETUADO:")</f>
        <v>(*)IMPOSTO A  EFETUADO:</v>
      </c>
      <c r="C292" s="443"/>
      <c r="D292" s="443"/>
      <c r="E292" s="54" t="str">
        <f>+IF(rascunho!DE20="","",ABS(rascunho!DE20))</f>
        <v/>
      </c>
      <c r="F292" s="51"/>
      <c r="G292" s="47"/>
      <c r="H292" s="43"/>
      <c r="I292" s="444" t="str">
        <f>+IF(AND(I279&gt;1991,I279&lt;1995),"(em moeda)","")</f>
        <v/>
      </c>
      <c r="J292" s="44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5"/>
      <c r="AH292" s="2"/>
      <c r="AI292" s="2"/>
      <c r="AJ292" s="5"/>
    </row>
    <row r="293" spans="2:44" s="6" customFormat="1" ht="14.1" customHeight="1">
      <c r="B293" s="455" t="s">
        <v>32</v>
      </c>
      <c r="C293" s="455"/>
      <c r="D293" s="455"/>
      <c r="E293" s="79" t="str">
        <f>+IF(rascunho!EC20="","",-rascunho!EC20)</f>
        <v/>
      </c>
      <c r="F293" s="80"/>
      <c r="G293" s="81" t="str">
        <f>+IF(AND(I279&gt;=1992,I279&lt;1995),"(em UFIR)","")</f>
        <v/>
      </c>
      <c r="H293" s="81"/>
      <c r="I293" s="445" t="str">
        <f>+IF(AND(I279&gt;1991,I279&lt;1995),ABS(rascunho!EF20),"")</f>
        <v/>
      </c>
      <c r="J293" s="445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2"/>
      <c r="AH293" s="2"/>
      <c r="AI293" s="2"/>
      <c r="AL293" s="2"/>
      <c r="AM293" s="2"/>
      <c r="AN293" s="2"/>
      <c r="AO293" s="2"/>
      <c r="AP293" s="2"/>
      <c r="AQ293" s="2"/>
      <c r="AR293" s="2"/>
    </row>
    <row r="294" spans="2:44" s="6" customFormat="1" ht="9.9499999999999993" customHeight="1">
      <c r="B294" s="82"/>
      <c r="C294" s="82"/>
      <c r="D294" s="82"/>
      <c r="E294" s="82"/>
      <c r="F294" s="83"/>
      <c r="G294" s="482" t="str">
        <f>+CONCATENATE(B9," - PÁGINA 5 de ",calculo!AF16)</f>
        <v>CÁLCULO DA(S) DECLARAÇÃO(ÕES) - PÁGINA 5 de 1</v>
      </c>
      <c r="H294" s="482"/>
      <c r="I294" s="482"/>
      <c r="J294" s="482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H294" s="4"/>
      <c r="AI294" s="4"/>
      <c r="AJ294" s="2"/>
      <c r="AL294" s="2"/>
      <c r="AM294" s="2"/>
      <c r="AN294" s="2"/>
      <c r="AO294" s="2"/>
      <c r="AP294" s="2"/>
      <c r="AQ294" s="2"/>
      <c r="AR294" s="2"/>
    </row>
    <row r="295" spans="2:44" s="6" customFormat="1" ht="9.9499999999999993" customHeight="1">
      <c r="B295" s="82" t="str">
        <f>+B236</f>
        <v>PCIRA - VERSÃO: 9.0.4.2007-2024</v>
      </c>
      <c r="C295" s="82"/>
      <c r="D295" s="82"/>
      <c r="E295" s="82"/>
      <c r="F295" s="83"/>
      <c r="G295" s="83"/>
      <c r="H295" s="84"/>
      <c r="I295" s="83"/>
      <c r="J295" s="85" t="str">
        <f ca="1">+CONCATENATE("EMITIDO EM: ",TEXT(NOW(),"d-mm-aaaa"))</f>
        <v>EMITIDO EM: 16-09-2026</v>
      </c>
      <c r="U295" s="4"/>
      <c r="V295" s="4"/>
      <c r="W295" s="4"/>
      <c r="X295" s="4"/>
      <c r="Y295" s="4"/>
      <c r="Z295" s="5"/>
      <c r="AA295" s="5"/>
      <c r="AB295" s="5"/>
      <c r="AC295" s="5"/>
      <c r="AD295" s="5"/>
      <c r="AE295" s="5"/>
      <c r="AF295" s="5"/>
      <c r="AH295" s="4"/>
      <c r="AI295" s="4"/>
      <c r="AJ295" s="2"/>
      <c r="AL295" s="4"/>
      <c r="AM295" s="4"/>
      <c r="AN295" s="4"/>
      <c r="AO295" s="4"/>
      <c r="AP295" s="4"/>
      <c r="AQ295" s="4"/>
      <c r="AR295" s="4"/>
    </row>
    <row r="296" spans="2:44" s="6" customFormat="1" ht="9.9499999999999993" customHeight="1">
      <c r="B296" s="82" t="str">
        <f>+B237</f>
        <v>SJRJ - DCAL</v>
      </c>
      <c r="C296" s="82"/>
      <c r="D296" s="82"/>
      <c r="E296" s="82"/>
      <c r="F296" s="83"/>
      <c r="G296" s="83"/>
      <c r="H296" s="84"/>
      <c r="I296" s="83"/>
      <c r="J296" s="86"/>
      <c r="U296" s="4"/>
      <c r="V296" s="4"/>
      <c r="W296" s="4"/>
      <c r="X296" s="4"/>
      <c r="Y296" s="4"/>
      <c r="AG296" s="2"/>
      <c r="AH296" s="4"/>
      <c r="AI296" s="4"/>
      <c r="AJ296" s="4"/>
      <c r="AL296" s="4"/>
      <c r="AM296" s="4"/>
      <c r="AN296" s="4"/>
      <c r="AO296" s="4"/>
      <c r="AP296" s="4"/>
      <c r="AQ296" s="4"/>
      <c r="AR296" s="4"/>
    </row>
    <row r="297" spans="2:44" s="6" customFormat="1" ht="9.9499999999999993" customHeight="1">
      <c r="B297" s="2"/>
      <c r="C297" s="2"/>
      <c r="D297" s="2"/>
      <c r="E297" s="2"/>
      <c r="F297" s="2"/>
      <c r="G297" s="2"/>
      <c r="H297" s="7"/>
      <c r="I297" s="2"/>
      <c r="J297" s="2"/>
      <c r="U297" s="2"/>
      <c r="V297" s="2"/>
      <c r="W297" s="2"/>
      <c r="X297" s="2"/>
      <c r="Y297" s="4"/>
      <c r="Z297" s="4"/>
      <c r="AA297" s="2"/>
      <c r="AB297" s="2"/>
      <c r="AC297" s="2"/>
      <c r="AE297" s="2"/>
      <c r="AF297" s="2"/>
      <c r="AG297" s="2"/>
      <c r="AH297" s="4"/>
      <c r="AI297" s="4"/>
      <c r="AJ297" s="4"/>
      <c r="AL297" s="4"/>
      <c r="AM297" s="4"/>
      <c r="AN297" s="4"/>
      <c r="AO297" s="4"/>
      <c r="AP297" s="4"/>
      <c r="AQ297" s="4"/>
      <c r="AR297" s="4"/>
    </row>
    <row r="298" spans="2:44" s="4" customFormat="1" ht="18" customHeight="1">
      <c r="B298" s="348"/>
      <c r="C298" s="442" t="s">
        <v>250</v>
      </c>
      <c r="D298" s="442"/>
      <c r="E298" s="442"/>
      <c r="F298" s="442"/>
      <c r="G298" s="442"/>
      <c r="H298" s="442"/>
      <c r="I298" s="442"/>
      <c r="J298" s="442"/>
      <c r="L298" s="2"/>
      <c r="M298" s="2"/>
      <c r="N298" s="2"/>
      <c r="O298" s="2"/>
      <c r="P298" s="2"/>
      <c r="Q298" s="2"/>
      <c r="R298" s="2"/>
      <c r="S298" s="2"/>
      <c r="T298" s="2"/>
      <c r="AB298" s="2"/>
      <c r="AC298" s="2"/>
      <c r="AD298" s="2"/>
      <c r="AE298" s="2"/>
      <c r="AF298" s="2"/>
      <c r="AH298" s="5"/>
      <c r="AI298" s="5"/>
    </row>
    <row r="299" spans="2:44" s="4" customFormat="1" ht="18" customHeight="1">
      <c r="B299" s="348"/>
      <c r="C299" s="442" t="s">
        <v>310</v>
      </c>
      <c r="D299" s="442"/>
      <c r="E299" s="442"/>
      <c r="F299" s="442"/>
      <c r="G299" s="442"/>
      <c r="H299" s="442"/>
      <c r="I299" s="442"/>
      <c r="J299" s="442"/>
      <c r="L299" s="2"/>
      <c r="M299" s="2"/>
      <c r="N299" s="2"/>
      <c r="O299" s="2"/>
      <c r="P299" s="2"/>
      <c r="Q299" s="2"/>
      <c r="R299" s="2"/>
      <c r="S299" s="2"/>
      <c r="T299" s="2"/>
      <c r="AH299" s="6"/>
      <c r="AI299" s="6"/>
    </row>
    <row r="300" spans="2:44" s="4" customFormat="1" ht="18" customHeight="1">
      <c r="B300" s="348"/>
      <c r="C300" s="442" t="s">
        <v>252</v>
      </c>
      <c r="D300" s="442"/>
      <c r="E300" s="442"/>
      <c r="F300" s="442"/>
      <c r="G300" s="442"/>
      <c r="H300" s="442"/>
      <c r="I300" s="442"/>
      <c r="J300" s="442"/>
      <c r="L300" s="2"/>
      <c r="M300" s="2"/>
      <c r="N300" s="2"/>
      <c r="O300" s="2"/>
      <c r="P300" s="2"/>
      <c r="Q300" s="2"/>
      <c r="R300" s="2"/>
      <c r="S300" s="2"/>
      <c r="T300" s="2"/>
      <c r="AH300" s="6"/>
      <c r="AI300" s="6"/>
      <c r="AL300" s="5"/>
      <c r="AM300" s="5"/>
      <c r="AN300" s="5"/>
      <c r="AO300" s="5"/>
      <c r="AP300" s="5"/>
      <c r="AQ300" s="5"/>
      <c r="AR300" s="5"/>
    </row>
    <row r="301" spans="2:44" s="4" customFormat="1" ht="18" customHeight="1">
      <c r="B301" s="349"/>
      <c r="C301" s="446" t="s">
        <v>311</v>
      </c>
      <c r="D301" s="446"/>
      <c r="E301" s="446"/>
      <c r="F301" s="446"/>
      <c r="G301" s="446"/>
      <c r="H301" s="446"/>
      <c r="I301" s="446"/>
      <c r="J301" s="446"/>
      <c r="L301" s="2"/>
      <c r="M301" s="2"/>
      <c r="N301" s="2"/>
      <c r="O301" s="2"/>
      <c r="P301" s="2"/>
      <c r="Q301" s="2"/>
      <c r="R301" s="2"/>
      <c r="S301" s="2"/>
      <c r="T301" s="2"/>
      <c r="AH301" s="6"/>
      <c r="AI301" s="6"/>
      <c r="AJ301" s="5"/>
      <c r="AL301" s="2"/>
      <c r="AM301" s="2"/>
      <c r="AN301" s="2"/>
      <c r="AO301" s="2"/>
      <c r="AP301" s="2"/>
      <c r="AQ301" s="2"/>
      <c r="AR301" s="2"/>
    </row>
    <row r="302" spans="2:44" s="5" customFormat="1" ht="7.5" customHeight="1">
      <c r="B302" s="436" t="s">
        <v>0</v>
      </c>
      <c r="C302" s="438"/>
      <c r="D302" s="436" t="s">
        <v>1</v>
      </c>
      <c r="E302" s="437"/>
      <c r="F302" s="437"/>
      <c r="G302" s="437"/>
      <c r="H302" s="437"/>
      <c r="I302" s="437"/>
      <c r="J302" s="438"/>
      <c r="L302" s="2"/>
      <c r="M302" s="2"/>
      <c r="N302" s="2"/>
      <c r="O302" s="2"/>
      <c r="P302" s="2"/>
      <c r="Q302" s="2"/>
      <c r="R302" s="2"/>
      <c r="S302" s="2"/>
      <c r="T302" s="2"/>
      <c r="U302" s="4"/>
      <c r="V302" s="4"/>
      <c r="W302" s="4"/>
      <c r="X302" s="4"/>
      <c r="Y302" s="4"/>
      <c r="AA302" s="4"/>
      <c r="AB302" s="4"/>
      <c r="AC302" s="4"/>
      <c r="AD302" s="4"/>
      <c r="AE302" s="4"/>
      <c r="AF302" s="4"/>
      <c r="AH302" s="6"/>
      <c r="AI302" s="6"/>
      <c r="AJ302" s="2"/>
      <c r="AL302" s="6"/>
      <c r="AM302" s="6"/>
      <c r="AN302" s="6"/>
      <c r="AO302" s="6"/>
      <c r="AP302" s="6"/>
      <c r="AQ302" s="6"/>
      <c r="AR302" s="6"/>
    </row>
    <row r="303" spans="2:44" s="6" customFormat="1" ht="14.1" customHeight="1">
      <c r="B303" s="452" t="str">
        <f>+B8</f>
        <v/>
      </c>
      <c r="C303" s="453"/>
      <c r="D303" s="439" t="str">
        <f>+D8</f>
        <v/>
      </c>
      <c r="E303" s="440"/>
      <c r="F303" s="440"/>
      <c r="G303" s="440"/>
      <c r="H303" s="440"/>
      <c r="I303" s="440"/>
      <c r="J303" s="441"/>
      <c r="L303" s="2"/>
      <c r="M303" s="2"/>
      <c r="N303" s="2"/>
      <c r="O303" s="2"/>
      <c r="P303" s="2"/>
      <c r="Q303" s="2"/>
      <c r="R303" s="2"/>
      <c r="S303" s="2"/>
      <c r="T303" s="2"/>
      <c r="U303" s="4"/>
      <c r="V303" s="4"/>
      <c r="W303" s="4"/>
      <c r="X303" s="4"/>
      <c r="Y303" s="4"/>
      <c r="Z303" s="2"/>
      <c r="AA303" s="5"/>
      <c r="AB303" s="4"/>
      <c r="AC303" s="4"/>
      <c r="AD303" s="4"/>
      <c r="AE303" s="4"/>
      <c r="AF303" s="4"/>
    </row>
    <row r="304" spans="2:44" ht="14.1" customHeight="1">
      <c r="B304" s="44" t="s">
        <v>194</v>
      </c>
      <c r="C304" s="45"/>
      <c r="D304" s="45"/>
      <c r="E304" s="45"/>
      <c r="F304" s="45"/>
      <c r="G304" s="45"/>
      <c r="H304" s="45"/>
      <c r="I304" s="45"/>
      <c r="J304" s="45"/>
      <c r="K304" s="5"/>
      <c r="V304" s="4"/>
      <c r="W304" s="4"/>
      <c r="X304" s="4"/>
      <c r="Y304" s="4"/>
      <c r="Z304" s="6"/>
      <c r="AB304" s="5"/>
      <c r="AC304" s="5"/>
      <c r="AD304" s="5"/>
      <c r="AE304" s="5"/>
      <c r="AF304" s="5"/>
      <c r="AG304" s="6"/>
      <c r="AH304" s="6"/>
      <c r="AI304" s="6"/>
      <c r="AJ304" s="6"/>
    </row>
    <row r="305" spans="1:44" ht="14.1" customHeight="1">
      <c r="A305" s="4"/>
      <c r="B305" s="46"/>
      <c r="C305" s="46"/>
      <c r="D305" s="45"/>
      <c r="E305" s="47"/>
      <c r="F305" s="47"/>
      <c r="G305" s="47"/>
      <c r="H305" s="48"/>
      <c r="I305" s="49"/>
      <c r="J305" s="49"/>
      <c r="V305" s="4"/>
      <c r="W305" s="4"/>
      <c r="X305" s="4"/>
      <c r="Y305" s="4"/>
      <c r="Z305" s="6"/>
      <c r="AA305" s="6"/>
      <c r="AG305" s="6"/>
      <c r="AH305" s="6"/>
      <c r="AI305" s="6"/>
    </row>
    <row r="306" spans="1:44" s="4" customFormat="1" ht="14.1" customHeight="1">
      <c r="B306" s="443" t="s">
        <v>150</v>
      </c>
      <c r="C306" s="443"/>
      <c r="D306" s="443"/>
      <c r="E306" s="50" t="str">
        <f>+IF(rascunho!CM21="","",rascunho!CM21)</f>
        <v/>
      </c>
      <c r="F306" s="51"/>
      <c r="G306" s="448" t="s">
        <v>23</v>
      </c>
      <c r="H306" s="448"/>
      <c r="I306" s="52" t="str">
        <f>+IF(rascunho!CJ21="","",rascunho!CJ21)</f>
        <v/>
      </c>
      <c r="J306" s="53"/>
      <c r="K306" s="6"/>
      <c r="L306" s="2"/>
      <c r="M306" s="2"/>
      <c r="N306" s="2"/>
      <c r="O306" s="2"/>
      <c r="P306" s="2"/>
      <c r="Q306" s="2"/>
      <c r="R306" s="2"/>
      <c r="S306" s="2"/>
      <c r="T306" s="2"/>
      <c r="U306" s="2"/>
      <c r="Z306" s="2"/>
      <c r="AA306" s="6"/>
      <c r="AB306" s="6"/>
      <c r="AC306" s="6"/>
      <c r="AD306" s="6"/>
      <c r="AE306" s="6"/>
      <c r="AF306" s="6"/>
      <c r="AG306" s="6"/>
      <c r="AH306" s="6"/>
      <c r="AI306" s="6"/>
      <c r="AJ306" s="2"/>
    </row>
    <row r="307" spans="1:44" s="4" customFormat="1" ht="14.1" customHeight="1">
      <c r="B307" s="443" t="s">
        <v>87</v>
      </c>
      <c r="C307" s="443"/>
      <c r="D307" s="443" t="s">
        <v>24</v>
      </c>
      <c r="E307" s="50" t="str">
        <f>+IF(rascunho!CN21="","",rascunho!CN21)</f>
        <v/>
      </c>
      <c r="F307" s="51"/>
      <c r="G307" s="456" t="str">
        <f>+CONCATENATE("TIPO DE DECLARAÇÃO: ",rascunho!CL21)</f>
        <v xml:space="preserve">TIPO DE DECLARAÇÃO: </v>
      </c>
      <c r="H307" s="456"/>
      <c r="I307" s="456"/>
      <c r="J307" s="456"/>
      <c r="K307" s="6"/>
      <c r="L307" s="2"/>
      <c r="M307" s="2"/>
      <c r="N307" s="2"/>
      <c r="O307" s="2"/>
      <c r="P307" s="2"/>
      <c r="Q307" s="2"/>
      <c r="R307" s="2"/>
      <c r="S307" s="2"/>
      <c r="T307" s="2"/>
      <c r="U307" s="2"/>
      <c r="Z307" s="2"/>
      <c r="AA307" s="2"/>
      <c r="AB307" s="6"/>
      <c r="AC307" s="6"/>
      <c r="AD307" s="6"/>
      <c r="AE307" s="6"/>
      <c r="AF307" s="6"/>
      <c r="AG307" s="6"/>
      <c r="AH307" s="6"/>
      <c r="AI307" s="6"/>
    </row>
    <row r="308" spans="1:44" s="4" customFormat="1" ht="14.1" customHeight="1">
      <c r="B308" s="443" t="s">
        <v>86</v>
      </c>
      <c r="C308" s="443"/>
      <c r="D308" s="443" t="s">
        <v>24</v>
      </c>
      <c r="E308" s="54" t="str">
        <f>+IF(rascunho!CO21="","",rascunho!CO21)</f>
        <v/>
      </c>
      <c r="F308" s="51"/>
      <c r="G308" s="55" t="s">
        <v>2</v>
      </c>
      <c r="H308" s="56" t="s">
        <v>3</v>
      </c>
      <c r="I308" s="56" t="s">
        <v>14</v>
      </c>
      <c r="J308" s="57" t="s">
        <v>4</v>
      </c>
      <c r="K308" s="6"/>
      <c r="L308" s="2"/>
      <c r="M308" s="2"/>
      <c r="N308" s="2"/>
      <c r="O308" s="2"/>
      <c r="P308" s="2"/>
      <c r="Q308" s="2"/>
      <c r="R308" s="2"/>
      <c r="S308" s="2"/>
      <c r="T308" s="2"/>
      <c r="U308" s="2"/>
      <c r="AA308" s="2"/>
      <c r="AB308" s="2"/>
      <c r="AC308" s="2"/>
      <c r="AD308" s="2"/>
      <c r="AE308" s="2"/>
      <c r="AF308" s="2"/>
      <c r="AG308" s="6"/>
      <c r="AH308" s="6"/>
      <c r="AI308" s="6"/>
    </row>
    <row r="309" spans="1:44" s="4" customFormat="1" ht="14.1" customHeight="1">
      <c r="B309" s="443" t="s">
        <v>89</v>
      </c>
      <c r="C309" s="443"/>
      <c r="D309" s="443"/>
      <c r="E309" s="50" t="str">
        <f>+IF(rascunho!CQ21="","",rascunho!CQ21)</f>
        <v/>
      </c>
      <c r="F309" s="51"/>
      <c r="G309" s="58" t="str">
        <f>+IF(rascunho!DL21="","",rascunho!DL21)</f>
        <v/>
      </c>
      <c r="H309" s="59" t="s">
        <v>5</v>
      </c>
      <c r="I309" s="60" t="str">
        <f>+IF(rascunho!DM21="","",rascunho!DM21)</f>
        <v/>
      </c>
      <c r="J309" s="61" t="str">
        <f>+IF(rascunho!DN21="","",rascunho!DN21)</f>
        <v/>
      </c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AB309" s="2"/>
      <c r="AC309" s="2"/>
      <c r="AD309" s="2"/>
      <c r="AE309" s="2"/>
      <c r="AF309" s="2"/>
      <c r="AG309" s="6"/>
      <c r="AH309" s="6"/>
      <c r="AI309" s="6"/>
    </row>
    <row r="310" spans="1:44" s="4" customFormat="1" ht="14.1" customHeight="1">
      <c r="A310" s="5"/>
      <c r="B310" s="443" t="s">
        <v>151</v>
      </c>
      <c r="C310" s="443"/>
      <c r="D310" s="443"/>
      <c r="E310" s="54" t="str">
        <f>+IF(rascunho!CS21="","",rascunho!CS21)</f>
        <v/>
      </c>
      <c r="F310" s="51"/>
      <c r="G310" s="62" t="str">
        <f>+IF(H310="","",rascunho!DO21)</f>
        <v/>
      </c>
      <c r="H310" s="63" t="str">
        <f>+IF(G309="","",G309-0.01)</f>
        <v/>
      </c>
      <c r="I310" s="64" t="str">
        <f>+IF(H310="","",rascunho!DP21)</f>
        <v/>
      </c>
      <c r="J310" s="65" t="str">
        <f>+IF(H310="","",rascunho!DQ21)</f>
        <v/>
      </c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AG310" s="6"/>
      <c r="AH310" s="6"/>
      <c r="AI310" s="6"/>
      <c r="AL310" s="5"/>
      <c r="AM310" s="5"/>
      <c r="AN310" s="5"/>
      <c r="AO310" s="5"/>
      <c r="AP310" s="5"/>
      <c r="AQ310" s="5"/>
      <c r="AR310" s="5"/>
    </row>
    <row r="311" spans="1:44" s="5" customFormat="1" ht="14.1" customHeight="1">
      <c r="A311" s="4"/>
      <c r="B311" s="443" t="s">
        <v>142</v>
      </c>
      <c r="C311" s="443"/>
      <c r="D311" s="443" t="s">
        <v>25</v>
      </c>
      <c r="E311" s="50" t="str">
        <f>+IF(rascunho!CU21="","",rascunho!CU21)</f>
        <v/>
      </c>
      <c r="F311" s="51"/>
      <c r="G311" s="62" t="str">
        <f>+IF(H311="","",rascunho!DR21)</f>
        <v/>
      </c>
      <c r="H311" s="63" t="str">
        <f>+IF(G310="","",G310-0.01)</f>
        <v/>
      </c>
      <c r="I311" s="64" t="str">
        <f>+IF(H311="","",rascunho!DS21)</f>
        <v/>
      </c>
      <c r="J311" s="65" t="str">
        <f>+IF(H311="","",rascunho!DT21)</f>
        <v/>
      </c>
      <c r="K311" s="4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6"/>
      <c r="AH311" s="6"/>
      <c r="AI311" s="6"/>
      <c r="AL311" s="6"/>
      <c r="AM311" s="6"/>
      <c r="AN311" s="6"/>
      <c r="AO311" s="6"/>
      <c r="AP311" s="6"/>
      <c r="AQ311" s="6"/>
      <c r="AR311" s="6"/>
    </row>
    <row r="312" spans="1:44" ht="14.1" customHeight="1">
      <c r="A312" s="6"/>
      <c r="B312" s="66"/>
      <c r="C312" s="67"/>
      <c r="D312" s="68" t="s">
        <v>163</v>
      </c>
      <c r="E312" s="69" t="str">
        <f>+IF(rascunho!CX21="","",rascunho!CX21)</f>
        <v/>
      </c>
      <c r="F312" s="51"/>
      <c r="G312" s="62" t="str">
        <f>+IF(H312="","",rascunho!DU21)</f>
        <v/>
      </c>
      <c r="H312" s="63" t="str">
        <f>+IF(OR(G311="",G311=0),"",G311-0.01)</f>
        <v/>
      </c>
      <c r="I312" s="64" t="str">
        <f>+IF(H312="","",rascunho!DV21)</f>
        <v/>
      </c>
      <c r="J312" s="65" t="str">
        <f>+IF(H312="","",rascunho!DW21)</f>
        <v/>
      </c>
      <c r="K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6"/>
      <c r="AH312" s="6"/>
      <c r="AI312" s="6"/>
      <c r="AJ312" s="6"/>
      <c r="AL312" s="6"/>
      <c r="AM312" s="6"/>
      <c r="AN312" s="6"/>
      <c r="AO312" s="6"/>
      <c r="AP312" s="6"/>
      <c r="AQ312" s="6"/>
      <c r="AR312" s="6"/>
    </row>
    <row r="313" spans="1:44" s="6" customFormat="1" ht="14.1" customHeight="1">
      <c r="A313" s="5"/>
      <c r="B313" s="66"/>
      <c r="C313" s="70"/>
      <c r="D313" s="71" t="s">
        <v>90</v>
      </c>
      <c r="E313" s="72" t="str">
        <f>+IF(rascunho!CY21="","",rascunho!CY21)</f>
        <v/>
      </c>
      <c r="F313" s="51"/>
      <c r="G313" s="62" t="str">
        <f>+IF(H313="","",rascunho!DX21)</f>
        <v/>
      </c>
      <c r="H313" s="63" t="str">
        <f>+IF(OR(G312="",G312=0),"",G312-0.01)</f>
        <v/>
      </c>
      <c r="I313" s="64" t="str">
        <f>+IF(H313="","",rascunho!DY21)</f>
        <v/>
      </c>
      <c r="J313" s="65" t="str">
        <f>+IF(H313="","",rascunho!DZ21)</f>
        <v/>
      </c>
      <c r="K313" s="4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4"/>
      <c r="W313" s="4"/>
      <c r="X313" s="4"/>
      <c r="Y313" s="4"/>
      <c r="Z313" s="5"/>
      <c r="AA313" s="4"/>
      <c r="AB313" s="4"/>
      <c r="AC313" s="4"/>
      <c r="AD313" s="4"/>
      <c r="AE313" s="4"/>
      <c r="AF313" s="4"/>
    </row>
    <row r="314" spans="1:44" s="6" customFormat="1" ht="14.1" customHeight="1">
      <c r="B314" s="443" t="s">
        <v>152</v>
      </c>
      <c r="C314" s="443"/>
      <c r="D314" s="443"/>
      <c r="E314" s="87" t="str">
        <f>+IF(rascunho!CZ21="","",rascunho!CZ21)</f>
        <v/>
      </c>
      <c r="F314" s="51"/>
      <c r="G314" s="449" t="s">
        <v>91</v>
      </c>
      <c r="H314" s="450"/>
      <c r="I314" s="450"/>
      <c r="J314" s="451"/>
      <c r="K314" s="4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4"/>
      <c r="W314" s="4"/>
      <c r="X314" s="4"/>
      <c r="Y314" s="4"/>
      <c r="AB314" s="5"/>
      <c r="AC314" s="5"/>
      <c r="AD314" s="5"/>
      <c r="AE314" s="5"/>
      <c r="AF314" s="5"/>
    </row>
    <row r="315" spans="1:44" ht="14.1" customHeight="1">
      <c r="A315" s="6"/>
      <c r="B315" s="443" t="s">
        <v>229</v>
      </c>
      <c r="C315" s="443"/>
      <c r="D315" s="443"/>
      <c r="E315" s="54" t="str">
        <f>+IF(rascunho!DA21="","",rascunho!DA21)</f>
        <v/>
      </c>
      <c r="F315" s="51"/>
      <c r="G315" s="53" t="s">
        <v>154</v>
      </c>
      <c r="H315" s="73"/>
      <c r="I315" s="73"/>
      <c r="J315" s="73"/>
      <c r="K315" s="4"/>
      <c r="T315" s="6"/>
      <c r="V315" s="4"/>
      <c r="W315" s="4"/>
      <c r="X315" s="4"/>
      <c r="Y315" s="4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L315" s="6"/>
      <c r="AM315" s="6"/>
      <c r="AN315" s="6"/>
      <c r="AO315" s="6"/>
      <c r="AP315" s="6"/>
      <c r="AQ315" s="6"/>
      <c r="AR315" s="6"/>
    </row>
    <row r="316" spans="1:44" ht="14.1" customHeight="1">
      <c r="A316" s="6"/>
      <c r="B316" s="443" t="s">
        <v>50</v>
      </c>
      <c r="C316" s="443"/>
      <c r="D316" s="443"/>
      <c r="E316" s="50" t="str">
        <f>+IF(rascunho!DC21="","",rascunho!DC21)</f>
        <v/>
      </c>
      <c r="F316" s="51"/>
      <c r="G316" s="63"/>
      <c r="H316" s="74"/>
      <c r="I316" s="74"/>
      <c r="J316" s="74"/>
      <c r="K316" s="6"/>
      <c r="T316" s="6"/>
      <c r="V316" s="4"/>
      <c r="W316" s="4"/>
      <c r="X316" s="4"/>
      <c r="Y316" s="4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L316" s="6"/>
      <c r="AM316" s="6"/>
      <c r="AN316" s="6"/>
      <c r="AO316" s="6"/>
      <c r="AP316" s="6"/>
      <c r="AQ316" s="6"/>
      <c r="AR316" s="6"/>
    </row>
    <row r="317" spans="1:44" s="4" customFormat="1" ht="14.1" customHeight="1">
      <c r="A317" s="6"/>
      <c r="B317" s="443" t="s">
        <v>153</v>
      </c>
      <c r="C317" s="443"/>
      <c r="D317" s="443"/>
      <c r="E317" s="54" t="str">
        <f>+IF(rascunho!DD21="","",rascunho!DD21)</f>
        <v/>
      </c>
      <c r="F317" s="51"/>
      <c r="G317" s="63"/>
      <c r="H317" s="63"/>
      <c r="I317" s="75"/>
      <c r="J317" s="76"/>
      <c r="K317" s="6"/>
      <c r="L317" s="2"/>
      <c r="M317" s="2"/>
      <c r="N317" s="2"/>
      <c r="O317" s="2"/>
      <c r="P317" s="2"/>
      <c r="Q317" s="2"/>
      <c r="R317" s="2"/>
      <c r="S317" s="2"/>
      <c r="T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L317" s="6"/>
      <c r="AM317" s="6"/>
      <c r="AN317" s="6"/>
      <c r="AO317" s="6"/>
      <c r="AP317" s="6"/>
      <c r="AQ317" s="6"/>
      <c r="AR317" s="6"/>
    </row>
    <row r="318" spans="1:44" s="4" customFormat="1" ht="14.1" customHeight="1">
      <c r="A318" s="6"/>
      <c r="B318" s="443" t="str">
        <f>+CONCATENATE("IMPOSTO A ",rascunho!DI21,"(=):")</f>
        <v>IMPOSTO A (=):</v>
      </c>
      <c r="C318" s="443"/>
      <c r="D318" s="443"/>
      <c r="E318" s="50" t="str">
        <f>+IF(rascunho!DH21="","",ABS(rascunho!DH21))</f>
        <v/>
      </c>
      <c r="F318" s="51"/>
      <c r="G318" s="74"/>
      <c r="H318" s="74"/>
      <c r="I318" s="74"/>
      <c r="J318" s="74"/>
      <c r="K318" s="6"/>
      <c r="L318" s="6"/>
      <c r="M318" s="2"/>
      <c r="N318" s="2"/>
      <c r="O318" s="2"/>
      <c r="P318" s="2"/>
      <c r="Q318" s="2"/>
      <c r="R318" s="2"/>
      <c r="S318" s="2"/>
      <c r="T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L318" s="6"/>
      <c r="AM318" s="6"/>
      <c r="AN318" s="6"/>
      <c r="AO318" s="6"/>
      <c r="AP318" s="6"/>
      <c r="AQ318" s="6"/>
      <c r="AR318" s="6"/>
    </row>
    <row r="319" spans="1:44" s="4" customFormat="1" ht="14.1" customHeight="1">
      <c r="A319" s="6"/>
      <c r="B319" s="443" t="str">
        <f>+CONCATENATE("(*)IMPOSTO A ",rascunho!DG21," EFETUADO:")</f>
        <v>(*)IMPOSTO A  EFETUADO:</v>
      </c>
      <c r="C319" s="443"/>
      <c r="D319" s="443"/>
      <c r="E319" s="54" t="str">
        <f>+IF(rascunho!DE21="","",ABS(rascunho!DE21))</f>
        <v/>
      </c>
      <c r="F319" s="51"/>
      <c r="G319" s="47"/>
      <c r="H319" s="43"/>
      <c r="I319" s="444" t="str">
        <f>+IF(AND(I306&gt;1991,I306&lt;1995),"(em moeda)","")</f>
        <v/>
      </c>
      <c r="J319" s="444"/>
      <c r="K319" s="6"/>
      <c r="L319" s="6"/>
      <c r="M319" s="2"/>
      <c r="N319" s="2"/>
      <c r="O319" s="2"/>
      <c r="P319" s="2"/>
      <c r="Q319" s="6"/>
      <c r="R319" s="6"/>
      <c r="S319" s="6"/>
      <c r="T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L319" s="6"/>
      <c r="AM319" s="6"/>
      <c r="AN319" s="6"/>
      <c r="AO319" s="6"/>
      <c r="AP319" s="6"/>
      <c r="AQ319" s="6"/>
      <c r="AR319" s="6"/>
    </row>
    <row r="320" spans="1:44" s="4" customFormat="1" ht="14.1" customHeight="1">
      <c r="A320" s="6"/>
      <c r="B320" s="447" t="s">
        <v>32</v>
      </c>
      <c r="C320" s="447"/>
      <c r="D320" s="447"/>
      <c r="E320" s="77" t="str">
        <f>+IF(rascunho!EC21="","",-rascunho!EC21)</f>
        <v/>
      </c>
      <c r="F320" s="51"/>
      <c r="G320" s="78" t="str">
        <f>+IF(AND(I306&gt;=1992,I306&lt;1995),"(em UFIR)","")</f>
        <v/>
      </c>
      <c r="H320" s="78"/>
      <c r="I320" s="454" t="str">
        <f>+IF(AND(I306&gt;1991,I306&lt;1995),ABS(rascunho!EF21),"")</f>
        <v/>
      </c>
      <c r="J320" s="454"/>
      <c r="K320" s="6"/>
      <c r="L320" s="6"/>
      <c r="M320" s="6"/>
      <c r="N320" s="6"/>
      <c r="O320" s="6"/>
      <c r="P320" s="6"/>
      <c r="Q320" s="6"/>
      <c r="R320" s="6"/>
      <c r="S320" s="6"/>
      <c r="T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L320" s="6"/>
      <c r="AM320" s="6"/>
      <c r="AN320" s="6"/>
      <c r="AO320" s="6"/>
      <c r="AP320" s="6"/>
      <c r="AQ320" s="6"/>
      <c r="AR320" s="6"/>
    </row>
    <row r="321" spans="1:44" s="5" customFormat="1" ht="14.1" customHeight="1">
      <c r="A321" s="6"/>
      <c r="B321" s="46"/>
      <c r="C321" s="46"/>
      <c r="D321" s="45"/>
      <c r="E321" s="47"/>
      <c r="F321" s="47"/>
      <c r="G321" s="47"/>
      <c r="H321" s="48"/>
      <c r="I321" s="49"/>
      <c r="J321" s="49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4"/>
      <c r="V321" s="4"/>
      <c r="W321" s="4"/>
      <c r="X321" s="4"/>
      <c r="Y321" s="4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L321" s="6"/>
      <c r="AM321" s="6"/>
      <c r="AN321" s="6"/>
      <c r="AO321" s="6"/>
      <c r="AP321" s="6"/>
      <c r="AQ321" s="6"/>
      <c r="AR321" s="6"/>
    </row>
    <row r="322" spans="1:44" s="6" customFormat="1" ht="14.1" customHeight="1">
      <c r="B322" s="443" t="s">
        <v>150</v>
      </c>
      <c r="C322" s="443"/>
      <c r="D322" s="443"/>
      <c r="E322" s="50" t="str">
        <f>+IF(rascunho!CM22="","",rascunho!CM22)</f>
        <v/>
      </c>
      <c r="F322" s="51"/>
      <c r="G322" s="448" t="s">
        <v>23</v>
      </c>
      <c r="H322" s="448"/>
      <c r="I322" s="52" t="str">
        <f>+IF(rascunho!CJ22="","",rascunho!CJ22)</f>
        <v/>
      </c>
      <c r="J322" s="53"/>
      <c r="U322" s="4"/>
      <c r="V322" s="4"/>
      <c r="W322" s="4"/>
      <c r="X322" s="4"/>
      <c r="Y322" s="4"/>
    </row>
    <row r="323" spans="1:44" s="6" customFormat="1" ht="14.1" customHeight="1">
      <c r="B323" s="443" t="s">
        <v>87</v>
      </c>
      <c r="C323" s="443"/>
      <c r="D323" s="443" t="s">
        <v>24</v>
      </c>
      <c r="E323" s="50" t="str">
        <f>+IF(rascunho!CN22="","",rascunho!CN22)</f>
        <v/>
      </c>
      <c r="F323" s="51"/>
      <c r="G323" s="456" t="str">
        <f>+CONCATENATE("TIPO DE DECLARAÇÃO: ",rascunho!CL22)</f>
        <v xml:space="preserve">TIPO DE DECLARAÇÃO: </v>
      </c>
      <c r="H323" s="456"/>
      <c r="I323" s="456"/>
      <c r="J323" s="456"/>
      <c r="U323" s="4"/>
      <c r="V323" s="4"/>
      <c r="W323" s="4"/>
      <c r="X323" s="4"/>
      <c r="Y323" s="4"/>
    </row>
    <row r="324" spans="1:44" s="6" customFormat="1" ht="14.1" customHeight="1">
      <c r="B324" s="443" t="s">
        <v>86</v>
      </c>
      <c r="C324" s="443"/>
      <c r="D324" s="443" t="s">
        <v>24</v>
      </c>
      <c r="E324" s="54" t="str">
        <f>+IF(rascunho!CO22="","",rascunho!CO22)</f>
        <v/>
      </c>
      <c r="F324" s="51"/>
      <c r="G324" s="55" t="s">
        <v>2</v>
      </c>
      <c r="H324" s="56" t="s">
        <v>3</v>
      </c>
      <c r="I324" s="56" t="s">
        <v>14</v>
      </c>
      <c r="J324" s="57" t="s">
        <v>4</v>
      </c>
      <c r="U324" s="4"/>
      <c r="V324" s="4"/>
      <c r="W324" s="4"/>
      <c r="X324" s="4"/>
      <c r="Y324" s="4"/>
    </row>
    <row r="325" spans="1:44" s="6" customFormat="1" ht="14.1" customHeight="1">
      <c r="B325" s="443" t="s">
        <v>89</v>
      </c>
      <c r="C325" s="443"/>
      <c r="D325" s="443"/>
      <c r="E325" s="50" t="str">
        <f>+IF(rascunho!CQ22="","",rascunho!CQ22)</f>
        <v/>
      </c>
      <c r="F325" s="51"/>
      <c r="G325" s="58" t="str">
        <f>+IF(rascunho!DL22="","",rascunho!DL22)</f>
        <v/>
      </c>
      <c r="H325" s="59" t="s">
        <v>5</v>
      </c>
      <c r="I325" s="60" t="str">
        <f>+IF(rascunho!DM22="","",rascunho!DM22)</f>
        <v/>
      </c>
      <c r="J325" s="61" t="str">
        <f>+IF(rascunho!DN22="","",rascunho!DN22)</f>
        <v/>
      </c>
      <c r="U325" s="4"/>
      <c r="V325" s="4"/>
      <c r="W325" s="4"/>
      <c r="X325" s="4"/>
      <c r="Y325" s="4"/>
    </row>
    <row r="326" spans="1:44" s="6" customFormat="1" ht="14.1" customHeight="1">
      <c r="B326" s="443" t="s">
        <v>151</v>
      </c>
      <c r="C326" s="443"/>
      <c r="D326" s="443"/>
      <c r="E326" s="54" t="str">
        <f>+IF(rascunho!CS22="","",rascunho!CS22)</f>
        <v/>
      </c>
      <c r="F326" s="51"/>
      <c r="G326" s="62" t="str">
        <f>+IF(H326="","",rascunho!DO22)</f>
        <v/>
      </c>
      <c r="H326" s="63" t="str">
        <f>+IF(G325="","",G325-0.01)</f>
        <v/>
      </c>
      <c r="I326" s="64" t="str">
        <f>+IF(H326="","",rascunho!DP22)</f>
        <v/>
      </c>
      <c r="J326" s="65" t="str">
        <f>+IF(H326="","",rascunho!DQ22)</f>
        <v/>
      </c>
      <c r="U326" s="4"/>
      <c r="V326" s="4"/>
      <c r="W326" s="4"/>
      <c r="X326" s="4"/>
      <c r="Y326" s="4"/>
    </row>
    <row r="327" spans="1:44" s="6" customFormat="1" ht="14.1" customHeight="1">
      <c r="B327" s="443" t="s">
        <v>142</v>
      </c>
      <c r="C327" s="443"/>
      <c r="D327" s="443" t="s">
        <v>25</v>
      </c>
      <c r="E327" s="50" t="str">
        <f>+IF(rascunho!CU22="","",rascunho!CU22)</f>
        <v/>
      </c>
      <c r="F327" s="51"/>
      <c r="G327" s="62" t="str">
        <f>+IF(H327="","",rascunho!DR22)</f>
        <v/>
      </c>
      <c r="H327" s="63" t="str">
        <f>+IF(G326="","",G326-0.01)</f>
        <v/>
      </c>
      <c r="I327" s="64" t="str">
        <f>+IF(H327="","",rascunho!DS22)</f>
        <v/>
      </c>
      <c r="J327" s="65" t="str">
        <f>+IF(H327="","",rascunho!DT22)</f>
        <v/>
      </c>
      <c r="U327" s="4"/>
      <c r="V327" s="4"/>
      <c r="W327" s="4"/>
      <c r="X327" s="4"/>
      <c r="Y327" s="4"/>
    </row>
    <row r="328" spans="1:44" s="6" customFormat="1" ht="14.1" customHeight="1">
      <c r="B328" s="66"/>
      <c r="C328" s="67"/>
      <c r="D328" s="68" t="s">
        <v>163</v>
      </c>
      <c r="E328" s="69" t="str">
        <f>+IF(rascunho!CX22="","",rascunho!CX22)</f>
        <v/>
      </c>
      <c r="F328" s="51"/>
      <c r="G328" s="62" t="str">
        <f>+IF(H328="","",rascunho!DU22)</f>
        <v/>
      </c>
      <c r="H328" s="63" t="str">
        <f>+IF(OR(G327="",G327=0),"",G327-0.01)</f>
        <v/>
      </c>
      <c r="I328" s="64" t="str">
        <f>+IF(H328="","",rascunho!DV22)</f>
        <v/>
      </c>
      <c r="J328" s="65" t="str">
        <f>+IF(H328="","",rascunho!DW22)</f>
        <v/>
      </c>
      <c r="U328" s="4"/>
      <c r="V328" s="4"/>
      <c r="W328" s="4"/>
      <c r="X328" s="4"/>
      <c r="Y328" s="4"/>
    </row>
    <row r="329" spans="1:44" s="6" customFormat="1" ht="14.1" customHeight="1">
      <c r="B329" s="66"/>
      <c r="C329" s="70"/>
      <c r="D329" s="71" t="s">
        <v>90</v>
      </c>
      <c r="E329" s="72" t="str">
        <f>+IF(rascunho!CY22="","",rascunho!CY22)</f>
        <v/>
      </c>
      <c r="F329" s="51"/>
      <c r="G329" s="62" t="str">
        <f>+IF(H329="","",rascunho!DX22)</f>
        <v/>
      </c>
      <c r="H329" s="63" t="str">
        <f>+IF(OR(G328="",G328=0),"",G328-0.01)</f>
        <v/>
      </c>
      <c r="I329" s="64" t="str">
        <f>+IF(H329="","",rascunho!DY22)</f>
        <v/>
      </c>
      <c r="J329" s="65" t="str">
        <f>+IF(H329="","",rascunho!DZ22)</f>
        <v/>
      </c>
      <c r="U329" s="4"/>
      <c r="V329" s="4"/>
      <c r="W329" s="4"/>
      <c r="X329" s="4"/>
      <c r="Y329" s="4"/>
    </row>
    <row r="330" spans="1:44" s="6" customFormat="1" ht="14.1" customHeight="1">
      <c r="B330" s="443" t="s">
        <v>152</v>
      </c>
      <c r="C330" s="443"/>
      <c r="D330" s="443"/>
      <c r="E330" s="50" t="str">
        <f>+IF(rascunho!CZ22="","",rascunho!CZ22)</f>
        <v/>
      </c>
      <c r="F330" s="51"/>
      <c r="G330" s="449" t="s">
        <v>91</v>
      </c>
      <c r="H330" s="450"/>
      <c r="I330" s="450"/>
      <c r="J330" s="451"/>
      <c r="U330" s="4"/>
      <c r="V330" s="4"/>
      <c r="W330" s="4"/>
      <c r="X330" s="4"/>
      <c r="Y330" s="4"/>
    </row>
    <row r="331" spans="1:44" s="6" customFormat="1" ht="14.1" customHeight="1">
      <c r="B331" s="443" t="s">
        <v>229</v>
      </c>
      <c r="C331" s="443"/>
      <c r="D331" s="443"/>
      <c r="E331" s="54" t="str">
        <f>+IF(rascunho!DA22="","",rascunho!DA22)</f>
        <v/>
      </c>
      <c r="F331" s="51"/>
      <c r="G331" s="53" t="s">
        <v>154</v>
      </c>
      <c r="H331" s="73"/>
      <c r="I331" s="73"/>
      <c r="J331" s="73"/>
      <c r="U331" s="4"/>
      <c r="V331" s="4"/>
      <c r="W331" s="4"/>
      <c r="X331" s="4"/>
      <c r="Y331" s="4"/>
    </row>
    <row r="332" spans="1:44" s="6" customFormat="1" ht="14.1" customHeight="1">
      <c r="B332" s="443" t="s">
        <v>50</v>
      </c>
      <c r="C332" s="443"/>
      <c r="D332" s="443"/>
      <c r="E332" s="50" t="str">
        <f>+IF(rascunho!DC22="","",rascunho!DC22)</f>
        <v/>
      </c>
      <c r="F332" s="51"/>
      <c r="G332" s="53"/>
      <c r="H332" s="74"/>
      <c r="I332" s="74"/>
      <c r="J332" s="74"/>
      <c r="U332" s="4"/>
      <c r="V332" s="4"/>
      <c r="W332" s="4"/>
      <c r="X332" s="4"/>
      <c r="Y332" s="4"/>
    </row>
    <row r="333" spans="1:44" s="6" customFormat="1" ht="14.1" customHeight="1">
      <c r="B333" s="443" t="s">
        <v>153</v>
      </c>
      <c r="C333" s="443"/>
      <c r="D333" s="443"/>
      <c r="E333" s="54" t="str">
        <f>+IF(rascunho!DD22="","",rascunho!DD22)</f>
        <v/>
      </c>
      <c r="F333" s="51"/>
      <c r="G333" s="63"/>
      <c r="H333" s="63"/>
      <c r="I333" s="75"/>
      <c r="J333" s="76"/>
      <c r="U333" s="4"/>
      <c r="V333" s="4"/>
      <c r="W333" s="4"/>
      <c r="X333" s="4"/>
      <c r="Y333" s="4"/>
    </row>
    <row r="334" spans="1:44" s="6" customFormat="1" ht="14.1" customHeight="1">
      <c r="B334" s="443" t="str">
        <f>+CONCATENATE("IMPOSTO A ",rascunho!DI22,"(=):")</f>
        <v>IMPOSTO A (=):</v>
      </c>
      <c r="C334" s="443"/>
      <c r="D334" s="443"/>
      <c r="E334" s="50" t="str">
        <f>+IF(rascunho!DH22="","",ABS(rascunho!DH22))</f>
        <v/>
      </c>
      <c r="F334" s="51"/>
      <c r="G334" s="74"/>
      <c r="H334" s="74"/>
      <c r="I334" s="74"/>
      <c r="J334" s="74"/>
      <c r="U334" s="4"/>
      <c r="V334" s="4"/>
      <c r="W334" s="4"/>
      <c r="X334" s="4"/>
      <c r="Y334" s="4"/>
    </row>
    <row r="335" spans="1:44" s="6" customFormat="1" ht="14.1" customHeight="1">
      <c r="B335" s="443" t="str">
        <f>+CONCATENATE("(*)IMPOSTO A ",rascunho!DG22," EFETUADO:")</f>
        <v>(*)IMPOSTO A  EFETUADO:</v>
      </c>
      <c r="C335" s="443"/>
      <c r="D335" s="443"/>
      <c r="E335" s="54" t="str">
        <f>+IF(rascunho!DE22="","",ABS(rascunho!DE22))</f>
        <v/>
      </c>
      <c r="F335" s="51"/>
      <c r="G335" s="47"/>
      <c r="H335" s="43"/>
      <c r="I335" s="444" t="str">
        <f>+IF(AND(I322&gt;1991,I322&lt;1995),"(em moeda)","")</f>
        <v/>
      </c>
      <c r="J335" s="444"/>
      <c r="U335" s="4"/>
      <c r="V335" s="4"/>
      <c r="W335" s="4"/>
      <c r="X335" s="4"/>
      <c r="Y335" s="4"/>
    </row>
    <row r="336" spans="1:44" s="6" customFormat="1" ht="14.1" customHeight="1">
      <c r="B336" s="447" t="s">
        <v>32</v>
      </c>
      <c r="C336" s="447"/>
      <c r="D336" s="447"/>
      <c r="E336" s="77" t="str">
        <f>+IF(rascunho!EC22="","",-rascunho!EC22)</f>
        <v/>
      </c>
      <c r="F336" s="51"/>
      <c r="G336" s="78" t="str">
        <f>+IF(AND(I322&gt;=1992,I322&lt;1995),"(em UFIR)","")</f>
        <v/>
      </c>
      <c r="H336" s="78"/>
      <c r="I336" s="454" t="str">
        <f>+IF(AND(I322&gt;1991,I322&lt;1995),ABS(rascunho!EF22),"")</f>
        <v/>
      </c>
      <c r="J336" s="454"/>
      <c r="U336" s="4"/>
      <c r="V336" s="4"/>
      <c r="W336" s="4"/>
      <c r="X336" s="4"/>
      <c r="Y336" s="4"/>
    </row>
    <row r="337" spans="2:25" s="6" customFormat="1" ht="14.1" customHeight="1">
      <c r="B337" s="46"/>
      <c r="C337" s="46"/>
      <c r="D337" s="45"/>
      <c r="E337" s="47"/>
      <c r="F337" s="47"/>
      <c r="G337" s="47"/>
      <c r="H337" s="48"/>
      <c r="I337" s="49"/>
      <c r="J337" s="49"/>
      <c r="U337" s="4"/>
      <c r="V337" s="4"/>
      <c r="W337" s="4"/>
      <c r="X337" s="4"/>
      <c r="Y337" s="4"/>
    </row>
    <row r="338" spans="2:25" s="6" customFormat="1" ht="14.1" customHeight="1">
      <c r="B338" s="443" t="s">
        <v>150</v>
      </c>
      <c r="C338" s="443"/>
      <c r="D338" s="443"/>
      <c r="E338" s="50" t="str">
        <f>+IF(rascunho!CM23="","",rascunho!CM23)</f>
        <v/>
      </c>
      <c r="F338" s="51"/>
      <c r="G338" s="448" t="s">
        <v>23</v>
      </c>
      <c r="H338" s="448"/>
      <c r="I338" s="52" t="str">
        <f>+IF(rascunho!CJ23="","",rascunho!CJ23)</f>
        <v/>
      </c>
      <c r="J338" s="53"/>
      <c r="U338" s="4"/>
      <c r="V338" s="4"/>
      <c r="W338" s="4"/>
      <c r="X338" s="4"/>
      <c r="Y338" s="4"/>
    </row>
    <row r="339" spans="2:25" s="6" customFormat="1" ht="14.1" customHeight="1">
      <c r="B339" s="443" t="s">
        <v>87</v>
      </c>
      <c r="C339" s="443"/>
      <c r="D339" s="443" t="s">
        <v>24</v>
      </c>
      <c r="E339" s="50" t="str">
        <f>+IF(rascunho!CN23="","",rascunho!CN23)</f>
        <v/>
      </c>
      <c r="F339" s="51"/>
      <c r="G339" s="456" t="str">
        <f>+CONCATENATE("TIPO DE DECLARAÇÃO: ",rascunho!CL23)</f>
        <v xml:space="preserve">TIPO DE DECLARAÇÃO: </v>
      </c>
      <c r="H339" s="456"/>
      <c r="I339" s="456"/>
      <c r="J339" s="456"/>
      <c r="U339" s="4"/>
      <c r="V339" s="4"/>
      <c r="W339" s="4"/>
      <c r="X339" s="4"/>
      <c r="Y339" s="4"/>
    </row>
    <row r="340" spans="2:25" s="6" customFormat="1" ht="14.1" customHeight="1">
      <c r="B340" s="443" t="s">
        <v>86</v>
      </c>
      <c r="C340" s="443"/>
      <c r="D340" s="443" t="s">
        <v>24</v>
      </c>
      <c r="E340" s="54" t="str">
        <f>+IF(rascunho!CO23="","",rascunho!CO23)</f>
        <v/>
      </c>
      <c r="F340" s="51"/>
      <c r="G340" s="55" t="s">
        <v>2</v>
      </c>
      <c r="H340" s="56" t="s">
        <v>3</v>
      </c>
      <c r="I340" s="56" t="s">
        <v>14</v>
      </c>
      <c r="J340" s="57" t="s">
        <v>4</v>
      </c>
      <c r="U340" s="4"/>
      <c r="V340" s="4"/>
      <c r="W340" s="4"/>
      <c r="X340" s="4"/>
      <c r="Y340" s="4"/>
    </row>
    <row r="341" spans="2:25" s="6" customFormat="1" ht="14.1" customHeight="1">
      <c r="B341" s="443" t="s">
        <v>89</v>
      </c>
      <c r="C341" s="443"/>
      <c r="D341" s="443"/>
      <c r="E341" s="50" t="str">
        <f>+IF(rascunho!CQ23="","",rascunho!CQ23)</f>
        <v/>
      </c>
      <c r="F341" s="51"/>
      <c r="G341" s="58" t="str">
        <f>+IF(rascunho!DL23="","",rascunho!DL23)</f>
        <v/>
      </c>
      <c r="H341" s="59" t="s">
        <v>5</v>
      </c>
      <c r="I341" s="60" t="str">
        <f>+IF(rascunho!DM23="","",rascunho!DM23)</f>
        <v/>
      </c>
      <c r="J341" s="61" t="str">
        <f>+IF(rascunho!DN23="","",rascunho!DN23)</f>
        <v/>
      </c>
      <c r="U341" s="4"/>
      <c r="V341" s="4"/>
      <c r="W341" s="4"/>
      <c r="X341" s="4"/>
      <c r="Y341" s="4"/>
    </row>
    <row r="342" spans="2:25" s="6" customFormat="1" ht="14.1" customHeight="1">
      <c r="B342" s="443" t="s">
        <v>151</v>
      </c>
      <c r="C342" s="443"/>
      <c r="D342" s="443"/>
      <c r="E342" s="54" t="str">
        <f>+IF(rascunho!CS23="","",rascunho!CS23)</f>
        <v/>
      </c>
      <c r="F342" s="51"/>
      <c r="G342" s="62" t="str">
        <f>+IF(H342="","",rascunho!DO23)</f>
        <v/>
      </c>
      <c r="H342" s="63" t="str">
        <f>+IF(G341="","",G341-0.01)</f>
        <v/>
      </c>
      <c r="I342" s="64" t="str">
        <f>+IF(H342="","",rascunho!DP23)</f>
        <v/>
      </c>
      <c r="J342" s="65" t="str">
        <f>+IF(H342="","",rascunho!DQ23)</f>
        <v/>
      </c>
      <c r="U342" s="4"/>
      <c r="V342" s="4"/>
      <c r="W342" s="4"/>
      <c r="X342" s="4"/>
      <c r="Y342" s="4"/>
    </row>
    <row r="343" spans="2:25" s="6" customFormat="1" ht="14.1" customHeight="1">
      <c r="B343" s="443" t="s">
        <v>142</v>
      </c>
      <c r="C343" s="443"/>
      <c r="D343" s="443" t="s">
        <v>25</v>
      </c>
      <c r="E343" s="50" t="str">
        <f>+IF(rascunho!CU23="","",rascunho!CU23)</f>
        <v/>
      </c>
      <c r="F343" s="51"/>
      <c r="G343" s="62" t="str">
        <f>+IF(H343="","",rascunho!DR23)</f>
        <v/>
      </c>
      <c r="H343" s="63" t="str">
        <f>+IF(G342="","",G342-0.01)</f>
        <v/>
      </c>
      <c r="I343" s="64" t="str">
        <f>+IF(H343="","",rascunho!DS23)</f>
        <v/>
      </c>
      <c r="J343" s="65" t="str">
        <f>+IF(H343="","",rascunho!DT23)</f>
        <v/>
      </c>
      <c r="U343" s="4"/>
      <c r="V343" s="4"/>
      <c r="W343" s="4"/>
      <c r="X343" s="4"/>
      <c r="Y343" s="4"/>
    </row>
    <row r="344" spans="2:25" s="6" customFormat="1" ht="14.1" customHeight="1">
      <c r="B344" s="66"/>
      <c r="C344" s="67"/>
      <c r="D344" s="68" t="s">
        <v>163</v>
      </c>
      <c r="E344" s="69" t="str">
        <f>+IF(rascunho!CX23="","",rascunho!CX23)</f>
        <v/>
      </c>
      <c r="F344" s="51"/>
      <c r="G344" s="62" t="str">
        <f>+IF(H344="","",rascunho!DU23)</f>
        <v/>
      </c>
      <c r="H344" s="63" t="str">
        <f>+IF(OR(G343="",G343=0),"",G343-0.01)</f>
        <v/>
      </c>
      <c r="I344" s="64" t="str">
        <f>+IF(H344="","",rascunho!DV23)</f>
        <v/>
      </c>
      <c r="J344" s="65" t="str">
        <f>+IF(H344="","",rascunho!DW23)</f>
        <v/>
      </c>
      <c r="U344" s="4"/>
      <c r="V344" s="4"/>
      <c r="W344" s="4"/>
      <c r="X344" s="4"/>
      <c r="Y344" s="4"/>
    </row>
    <row r="345" spans="2:25" s="6" customFormat="1" ht="14.1" customHeight="1">
      <c r="B345" s="66"/>
      <c r="C345" s="70"/>
      <c r="D345" s="71" t="s">
        <v>90</v>
      </c>
      <c r="E345" s="72" t="str">
        <f>+IF(rascunho!CY23="","",rascunho!CY23)</f>
        <v/>
      </c>
      <c r="F345" s="51"/>
      <c r="G345" s="62" t="str">
        <f>+IF(H345="","",rascunho!DX23)</f>
        <v/>
      </c>
      <c r="H345" s="63" t="str">
        <f>+IF(OR(G344="",G344=0),"",G344-0.01)</f>
        <v/>
      </c>
      <c r="I345" s="64" t="str">
        <f>+IF(H345="","",rascunho!DY23)</f>
        <v/>
      </c>
      <c r="J345" s="65" t="str">
        <f>+IF(H345="","",rascunho!DZ23)</f>
        <v/>
      </c>
      <c r="U345" s="4"/>
      <c r="V345" s="4"/>
      <c r="W345" s="4"/>
      <c r="X345" s="4"/>
      <c r="Y345" s="4"/>
    </row>
    <row r="346" spans="2:25" s="6" customFormat="1" ht="14.1" customHeight="1">
      <c r="B346" s="443" t="s">
        <v>152</v>
      </c>
      <c r="C346" s="443"/>
      <c r="D346" s="443"/>
      <c r="E346" s="50" t="str">
        <f>+IF(rascunho!CZ23="","",rascunho!CZ23)</f>
        <v/>
      </c>
      <c r="F346" s="51"/>
      <c r="G346" s="449" t="s">
        <v>91</v>
      </c>
      <c r="H346" s="450"/>
      <c r="I346" s="450"/>
      <c r="J346" s="451"/>
      <c r="U346" s="4"/>
      <c r="V346" s="4"/>
      <c r="W346" s="4"/>
      <c r="X346" s="4"/>
      <c r="Y346" s="4"/>
    </row>
    <row r="347" spans="2:25" s="6" customFormat="1" ht="14.1" customHeight="1">
      <c r="B347" s="443" t="s">
        <v>229</v>
      </c>
      <c r="C347" s="443"/>
      <c r="D347" s="443"/>
      <c r="E347" s="54" t="str">
        <f>+IF(rascunho!DA23="","",rascunho!DA23)</f>
        <v/>
      </c>
      <c r="F347" s="51"/>
      <c r="G347" s="53" t="s">
        <v>154</v>
      </c>
      <c r="H347" s="73"/>
      <c r="I347" s="73"/>
      <c r="J347" s="73"/>
      <c r="U347" s="4"/>
      <c r="V347" s="4"/>
      <c r="W347" s="4"/>
      <c r="X347" s="4"/>
      <c r="Y347" s="4"/>
    </row>
    <row r="348" spans="2:25" s="6" customFormat="1" ht="14.1" customHeight="1">
      <c r="B348" s="443" t="s">
        <v>50</v>
      </c>
      <c r="C348" s="443"/>
      <c r="D348" s="443"/>
      <c r="E348" s="50" t="str">
        <f>+IF(rascunho!DC23="","",rascunho!DC23)</f>
        <v/>
      </c>
      <c r="F348" s="51"/>
      <c r="G348" s="53"/>
      <c r="H348" s="74"/>
      <c r="I348" s="74"/>
      <c r="J348" s="74"/>
      <c r="U348" s="4"/>
      <c r="V348" s="4"/>
      <c r="W348" s="4"/>
      <c r="X348" s="4"/>
      <c r="Y348" s="4"/>
    </row>
    <row r="349" spans="2:25" s="6" customFormat="1" ht="14.1" customHeight="1">
      <c r="B349" s="443" t="s">
        <v>153</v>
      </c>
      <c r="C349" s="443"/>
      <c r="D349" s="443"/>
      <c r="E349" s="54" t="str">
        <f>+IF(rascunho!DD23="","",rascunho!DD23)</f>
        <v/>
      </c>
      <c r="F349" s="51"/>
      <c r="G349" s="63"/>
      <c r="H349" s="63"/>
      <c r="I349" s="75"/>
      <c r="J349" s="76"/>
      <c r="U349" s="4"/>
      <c r="V349" s="4"/>
      <c r="W349" s="4"/>
      <c r="X349" s="4"/>
      <c r="Y349" s="4"/>
    </row>
    <row r="350" spans="2:25" s="6" customFormat="1" ht="14.1" customHeight="1">
      <c r="B350" s="443" t="str">
        <f>+CONCATENATE("IMPOSTO A ",rascunho!DI23,"(=):")</f>
        <v>IMPOSTO A (=):</v>
      </c>
      <c r="C350" s="443"/>
      <c r="D350" s="443"/>
      <c r="E350" s="50" t="str">
        <f>+IF(rascunho!DH23="","",ABS(rascunho!DH23))</f>
        <v/>
      </c>
      <c r="F350" s="51"/>
      <c r="G350" s="74"/>
      <c r="H350" s="74"/>
      <c r="I350" s="74"/>
      <c r="J350" s="74"/>
      <c r="U350" s="4"/>
      <c r="V350" s="4"/>
      <c r="W350" s="4"/>
      <c r="X350" s="4"/>
      <c r="Y350" s="4"/>
    </row>
    <row r="351" spans="2:25" s="6" customFormat="1" ht="14.1" customHeight="1">
      <c r="B351" s="443" t="str">
        <f>+CONCATENATE("(*)IMPOSTO A ",rascunho!DG23," EFETUADO:")</f>
        <v>(*)IMPOSTO A  EFETUADO:</v>
      </c>
      <c r="C351" s="443"/>
      <c r="D351" s="443"/>
      <c r="E351" s="54" t="str">
        <f>+IF(rascunho!DE23="","",ABS(rascunho!DE23))</f>
        <v/>
      </c>
      <c r="F351" s="51"/>
      <c r="G351" s="47"/>
      <c r="H351" s="43"/>
      <c r="I351" s="444" t="str">
        <f>+IF(AND(I338&gt;1991,I338&lt;1995),"(em moeda)","")</f>
        <v/>
      </c>
      <c r="J351" s="444"/>
      <c r="U351" s="4"/>
      <c r="V351" s="4"/>
      <c r="W351" s="4"/>
      <c r="X351" s="4"/>
      <c r="Y351" s="4"/>
    </row>
    <row r="352" spans="2:25" s="6" customFormat="1" ht="14.1" customHeight="1">
      <c r="B352" s="455" t="s">
        <v>32</v>
      </c>
      <c r="C352" s="455"/>
      <c r="D352" s="455"/>
      <c r="E352" s="79" t="str">
        <f>+IF(rascunho!EC23="","",-rascunho!EC23)</f>
        <v/>
      </c>
      <c r="F352" s="80"/>
      <c r="G352" s="81" t="str">
        <f>+IF(AND(I338&gt;=1992,I338&lt;1995),"(em UFIR)","")</f>
        <v/>
      </c>
      <c r="H352" s="81"/>
      <c r="I352" s="445" t="str">
        <f>+IF(AND(I338&gt;1991,I338&lt;1995),ABS(rascunho!EF23),"")</f>
        <v/>
      </c>
      <c r="J352" s="445"/>
      <c r="U352" s="4"/>
      <c r="V352" s="4"/>
      <c r="W352" s="4"/>
      <c r="X352" s="4"/>
      <c r="Y352" s="4"/>
    </row>
    <row r="353" spans="1:44" s="6" customFormat="1" ht="9.9499999999999993" customHeight="1">
      <c r="B353" s="82"/>
      <c r="C353" s="82"/>
      <c r="D353" s="82"/>
      <c r="E353" s="82"/>
      <c r="F353" s="83"/>
      <c r="G353" s="482" t="str">
        <f>+CONCATENATE(B9," - PÁGINA 6 de ",calculo!AF16)</f>
        <v>CÁLCULO DA(S) DECLARAÇÃO(ÕES) - PÁGINA 6 de 1</v>
      </c>
      <c r="H353" s="482"/>
      <c r="I353" s="482"/>
      <c r="J353" s="482"/>
      <c r="U353" s="4"/>
      <c r="V353" s="4"/>
      <c r="W353" s="4"/>
      <c r="X353" s="4"/>
      <c r="Y353" s="4"/>
    </row>
    <row r="354" spans="1:44" s="6" customFormat="1" ht="9.9499999999999993" customHeight="1">
      <c r="B354" s="82" t="str">
        <f>+B295</f>
        <v>PCIRA - VERSÃO: 9.0.4.2007-2024</v>
      </c>
      <c r="C354" s="82"/>
      <c r="D354" s="82"/>
      <c r="E354" s="82"/>
      <c r="F354" s="83"/>
      <c r="G354" s="83"/>
      <c r="H354" s="84"/>
      <c r="I354" s="83"/>
      <c r="J354" s="85" t="str">
        <f ca="1">+CONCATENATE("EMITIDO EM: ",TEXT(NOW(),"d-mm-aaaa"))</f>
        <v>EMITIDO EM: 16-09-2026</v>
      </c>
      <c r="U354" s="4"/>
      <c r="V354" s="4"/>
      <c r="W354" s="4"/>
      <c r="X354" s="4"/>
      <c r="Y354" s="4"/>
      <c r="AH354" s="2"/>
      <c r="AI354" s="2"/>
    </row>
    <row r="355" spans="1:44" s="6" customFormat="1" ht="9.9499999999999993" customHeight="1">
      <c r="B355" s="82" t="str">
        <f>+B296</f>
        <v>SJRJ - DCAL</v>
      </c>
      <c r="C355" s="82"/>
      <c r="D355" s="82"/>
      <c r="E355" s="82"/>
      <c r="F355" s="83"/>
      <c r="G355" s="83"/>
      <c r="H355" s="84"/>
      <c r="I355" s="83"/>
      <c r="J355" s="86"/>
      <c r="U355" s="4"/>
      <c r="V355" s="4"/>
      <c r="W355" s="4"/>
      <c r="X355" s="4"/>
      <c r="Y355" s="4"/>
      <c r="AH355" s="2"/>
      <c r="AI355" s="2"/>
    </row>
    <row r="356" spans="1:44" s="6" customFormat="1" ht="14.1" customHeight="1">
      <c r="B356" s="2"/>
      <c r="C356" s="2"/>
      <c r="D356" s="2"/>
      <c r="E356" s="2"/>
      <c r="F356" s="2"/>
      <c r="G356" s="2"/>
      <c r="H356" s="7"/>
      <c r="I356" s="2"/>
      <c r="J356" s="2"/>
      <c r="U356" s="4"/>
      <c r="V356" s="4"/>
      <c r="W356" s="4"/>
      <c r="X356" s="4"/>
      <c r="Y356" s="4"/>
      <c r="AH356" s="2"/>
      <c r="AI356" s="2"/>
    </row>
    <row r="357" spans="1:44" s="6" customFormat="1" ht="14.1" customHeight="1">
      <c r="B357" s="2"/>
      <c r="C357" s="2"/>
      <c r="D357" s="2"/>
      <c r="E357" s="2"/>
      <c r="F357" s="2"/>
      <c r="G357" s="2"/>
      <c r="H357" s="7"/>
      <c r="I357" s="2"/>
      <c r="J357" s="2"/>
      <c r="U357" s="4"/>
      <c r="V357" s="4"/>
      <c r="W357" s="4"/>
      <c r="X357" s="4"/>
      <c r="Y357" s="4"/>
      <c r="AH357" s="2"/>
      <c r="AI357" s="2"/>
    </row>
    <row r="358" spans="1:44" s="6" customFormat="1" ht="14.1" customHeight="1">
      <c r="B358" s="2"/>
      <c r="C358" s="2"/>
      <c r="D358" s="2"/>
      <c r="E358" s="2"/>
      <c r="F358" s="2"/>
      <c r="G358" s="2"/>
      <c r="H358" s="7"/>
      <c r="I358" s="2"/>
      <c r="J358" s="2"/>
      <c r="U358" s="4"/>
      <c r="V358" s="4"/>
      <c r="W358" s="4"/>
      <c r="X358" s="4"/>
      <c r="Y358" s="4"/>
      <c r="AG358" s="2"/>
      <c r="AH358" s="2"/>
      <c r="AI358" s="2"/>
    </row>
    <row r="359" spans="1:44" s="6" customFormat="1" ht="14.1" customHeight="1">
      <c r="B359" s="2"/>
      <c r="C359" s="2"/>
      <c r="D359" s="2"/>
      <c r="E359" s="2"/>
      <c r="F359" s="2"/>
      <c r="G359" s="2"/>
      <c r="H359" s="7"/>
      <c r="I359" s="2"/>
      <c r="J359" s="2"/>
      <c r="U359" s="4"/>
      <c r="V359" s="4"/>
      <c r="W359" s="4"/>
      <c r="X359" s="4"/>
      <c r="Y359" s="4"/>
      <c r="AG359" s="2"/>
      <c r="AH359" s="2"/>
      <c r="AI359" s="2"/>
    </row>
    <row r="360" spans="1:44" s="6" customFormat="1" ht="14.1" customHeight="1">
      <c r="B360" s="2"/>
      <c r="C360" s="2"/>
      <c r="D360" s="2"/>
      <c r="E360" s="2"/>
      <c r="F360" s="2"/>
      <c r="G360" s="2"/>
      <c r="H360" s="7"/>
      <c r="I360" s="2"/>
      <c r="J360" s="2"/>
      <c r="U360" s="4"/>
      <c r="V360" s="4"/>
      <c r="W360" s="4"/>
      <c r="X360" s="4"/>
      <c r="Y360" s="4"/>
      <c r="AG360" s="2"/>
      <c r="AH360" s="2"/>
      <c r="AI360" s="2"/>
    </row>
    <row r="361" spans="1:44" s="6" customFormat="1" ht="9.9499999999999993" customHeight="1">
      <c r="B361" s="2"/>
      <c r="C361" s="2"/>
      <c r="D361" s="2"/>
      <c r="E361" s="2"/>
      <c r="F361" s="2"/>
      <c r="G361" s="2"/>
      <c r="H361" s="7"/>
      <c r="I361" s="2"/>
      <c r="J361" s="2"/>
      <c r="U361" s="4"/>
      <c r="V361" s="4"/>
      <c r="W361" s="4"/>
      <c r="X361" s="4"/>
      <c r="Y361" s="4"/>
      <c r="AG361" s="2"/>
      <c r="AH361" s="2"/>
      <c r="AI361" s="2"/>
    </row>
    <row r="362" spans="1:44" s="6" customFormat="1" ht="9.9499999999999993" customHeight="1">
      <c r="B362" s="2"/>
      <c r="C362" s="2"/>
      <c r="D362" s="2"/>
      <c r="E362" s="2"/>
      <c r="F362" s="2"/>
      <c r="G362" s="2"/>
      <c r="H362" s="7"/>
      <c r="I362" s="2"/>
      <c r="J362" s="2"/>
      <c r="U362" s="4"/>
      <c r="V362" s="4"/>
      <c r="W362" s="4"/>
      <c r="X362" s="4"/>
      <c r="Y362" s="4"/>
      <c r="AG362" s="2"/>
      <c r="AH362" s="2"/>
      <c r="AI362" s="2"/>
    </row>
    <row r="363" spans="1:44" s="6" customFormat="1" ht="9.9499999999999993" customHeight="1">
      <c r="B363" s="2"/>
      <c r="C363" s="2"/>
      <c r="D363" s="2"/>
      <c r="E363" s="2"/>
      <c r="F363" s="2"/>
      <c r="G363" s="2"/>
      <c r="H363" s="7"/>
      <c r="I363" s="2"/>
      <c r="J363" s="2"/>
      <c r="U363" s="4"/>
      <c r="V363" s="4"/>
      <c r="W363" s="4"/>
      <c r="X363" s="4"/>
      <c r="Y363" s="4"/>
      <c r="AG363" s="2"/>
      <c r="AH363" s="2"/>
      <c r="AI363" s="2"/>
    </row>
    <row r="364" spans="1:44" s="6" customFormat="1" ht="9.9499999999999993" customHeight="1">
      <c r="B364" s="2"/>
      <c r="C364" s="2"/>
      <c r="D364" s="2"/>
      <c r="E364" s="2"/>
      <c r="F364" s="2"/>
      <c r="G364" s="2"/>
      <c r="H364" s="7"/>
      <c r="I364" s="2"/>
      <c r="J364" s="2"/>
      <c r="U364" s="4"/>
      <c r="V364" s="4"/>
      <c r="W364" s="4"/>
      <c r="X364" s="4"/>
      <c r="Y364" s="4"/>
      <c r="AG364" s="2"/>
      <c r="AH364" s="2"/>
      <c r="AI364" s="2"/>
    </row>
    <row r="365" spans="1:44" s="6" customFormat="1" ht="14.1" customHeight="1">
      <c r="B365" s="2"/>
      <c r="C365" s="2"/>
      <c r="D365" s="2"/>
      <c r="E365" s="2"/>
      <c r="F365" s="2"/>
      <c r="G365" s="2"/>
      <c r="H365" s="7"/>
      <c r="I365" s="2"/>
      <c r="J365" s="2"/>
      <c r="U365" s="4"/>
      <c r="V365" s="4"/>
      <c r="W365" s="4"/>
      <c r="X365" s="4"/>
      <c r="Y365" s="4"/>
      <c r="AG365" s="2"/>
      <c r="AH365" s="2"/>
      <c r="AI365" s="2"/>
    </row>
    <row r="366" spans="1:44" s="6" customFormat="1" ht="14.1" customHeight="1">
      <c r="A366" s="2"/>
      <c r="B366" s="2"/>
      <c r="C366" s="2"/>
      <c r="D366" s="2"/>
      <c r="E366" s="2"/>
      <c r="F366" s="2"/>
      <c r="G366" s="2"/>
      <c r="H366" s="7"/>
      <c r="I366" s="2"/>
      <c r="J366" s="2"/>
      <c r="U366" s="4"/>
      <c r="V366" s="4"/>
      <c r="W366" s="4"/>
      <c r="X366" s="4"/>
      <c r="Y366" s="4"/>
      <c r="AG366" s="2"/>
      <c r="AH366" s="2"/>
      <c r="AI366" s="2"/>
      <c r="AL366" s="2"/>
      <c r="AM366" s="2"/>
      <c r="AN366" s="2"/>
      <c r="AO366" s="2"/>
      <c r="AP366" s="2"/>
      <c r="AQ366" s="2"/>
      <c r="AR366" s="2"/>
    </row>
    <row r="367" spans="1:44" s="6" customFormat="1" ht="14.1" customHeight="1">
      <c r="A367" s="2"/>
      <c r="B367" s="2"/>
      <c r="C367" s="2"/>
      <c r="D367" s="2"/>
      <c r="E367" s="2"/>
      <c r="F367" s="2"/>
      <c r="G367" s="2"/>
      <c r="H367" s="7"/>
      <c r="I367" s="2"/>
      <c r="J367" s="2"/>
      <c r="U367" s="4"/>
      <c r="V367" s="4"/>
      <c r="W367" s="4"/>
      <c r="X367" s="4"/>
      <c r="Y367" s="4"/>
      <c r="AG367" s="2"/>
      <c r="AH367" s="2"/>
      <c r="AI367" s="2"/>
      <c r="AJ367" s="2"/>
      <c r="AL367" s="2"/>
      <c r="AM367" s="2"/>
      <c r="AN367" s="2"/>
      <c r="AO367" s="2"/>
      <c r="AP367" s="2"/>
      <c r="AQ367" s="2"/>
      <c r="AR367" s="2"/>
    </row>
    <row r="368" spans="1:44" s="6" customFormat="1" ht="14.1" customHeight="1">
      <c r="A368" s="2"/>
      <c r="B368" s="2"/>
      <c r="C368" s="2"/>
      <c r="D368" s="2"/>
      <c r="E368" s="2"/>
      <c r="F368" s="2"/>
      <c r="G368" s="2"/>
      <c r="H368" s="7"/>
      <c r="I368" s="2"/>
      <c r="J368" s="2"/>
      <c r="U368" s="4"/>
      <c r="V368" s="4"/>
      <c r="W368" s="4"/>
      <c r="X368" s="4"/>
      <c r="Y368" s="4"/>
      <c r="Z368" s="2"/>
      <c r="AG368" s="2"/>
      <c r="AH368" s="2"/>
      <c r="AI368" s="2"/>
      <c r="AJ368" s="2"/>
      <c r="AL368" s="2"/>
      <c r="AM368" s="2"/>
      <c r="AN368" s="2"/>
      <c r="AO368" s="2"/>
      <c r="AP368" s="2"/>
      <c r="AQ368" s="2"/>
      <c r="AR368" s="2"/>
    </row>
    <row r="369" spans="1:44" s="6" customFormat="1" ht="14.1" customHeight="1">
      <c r="A369" s="2"/>
      <c r="B369" s="2"/>
      <c r="C369" s="2"/>
      <c r="D369" s="2"/>
      <c r="E369" s="2"/>
      <c r="F369" s="2"/>
      <c r="G369" s="2"/>
      <c r="H369" s="7"/>
      <c r="I369" s="2"/>
      <c r="J369" s="2"/>
      <c r="U369" s="4"/>
      <c r="V369" s="4"/>
      <c r="W369" s="4"/>
      <c r="X369" s="4"/>
      <c r="Y369" s="4"/>
      <c r="Z369" s="2"/>
      <c r="AA369" s="2"/>
      <c r="AG369" s="2"/>
      <c r="AH369" s="2"/>
      <c r="AI369" s="2"/>
      <c r="AJ369" s="2"/>
      <c r="AL369" s="2"/>
      <c r="AM369" s="2"/>
      <c r="AN369" s="2"/>
      <c r="AO369" s="2"/>
      <c r="AP369" s="2"/>
      <c r="AQ369" s="2"/>
      <c r="AR369" s="2"/>
    </row>
    <row r="370" spans="1:44" s="6" customFormat="1" ht="14.1" customHeight="1">
      <c r="A370" s="2"/>
      <c r="B370" s="2"/>
      <c r="C370" s="2"/>
      <c r="D370" s="2"/>
      <c r="E370" s="2"/>
      <c r="F370" s="2"/>
      <c r="G370" s="2"/>
      <c r="H370" s="7"/>
      <c r="I370" s="2"/>
      <c r="J370" s="2"/>
      <c r="K370" s="2"/>
      <c r="U370" s="4"/>
      <c r="V370" s="4"/>
      <c r="W370" s="4"/>
      <c r="X370" s="4"/>
      <c r="Y370" s="4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L370" s="2"/>
      <c r="AM370" s="2"/>
      <c r="AN370" s="2"/>
      <c r="AO370" s="2"/>
      <c r="AP370" s="2"/>
      <c r="AQ370" s="2"/>
      <c r="AR370" s="2"/>
    </row>
    <row r="371" spans="1:44" s="6" customFormat="1" ht="14.1" customHeight="1">
      <c r="A371" s="2"/>
      <c r="B371" s="2"/>
      <c r="C371" s="2"/>
      <c r="D371" s="2"/>
      <c r="E371" s="2"/>
      <c r="F371" s="2"/>
      <c r="G371" s="2"/>
      <c r="H371" s="7"/>
      <c r="I371" s="2"/>
      <c r="J371" s="2"/>
      <c r="K371" s="2"/>
      <c r="U371" s="4"/>
      <c r="V371" s="4"/>
      <c r="W371" s="4"/>
      <c r="X371" s="4"/>
      <c r="Y371" s="4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L371" s="2"/>
      <c r="AM371" s="2"/>
      <c r="AN371" s="2"/>
      <c r="AO371" s="2"/>
      <c r="AP371" s="2"/>
      <c r="AQ371" s="2"/>
      <c r="AR371" s="2"/>
    </row>
    <row r="372" spans="1:44" s="6" customFormat="1" ht="14.1" customHeight="1">
      <c r="A372" s="2"/>
      <c r="B372" s="2"/>
      <c r="C372" s="2"/>
      <c r="D372" s="2"/>
      <c r="E372" s="2"/>
      <c r="F372" s="2"/>
      <c r="G372" s="2"/>
      <c r="H372" s="7"/>
      <c r="I372" s="2"/>
      <c r="J372" s="2"/>
      <c r="K372" s="2"/>
      <c r="U372" s="4"/>
      <c r="V372" s="4"/>
      <c r="W372" s="4"/>
      <c r="X372" s="4"/>
      <c r="Y372" s="4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L372" s="2"/>
      <c r="AM372" s="2"/>
      <c r="AN372" s="2"/>
      <c r="AO372" s="2"/>
      <c r="AP372" s="2"/>
      <c r="AQ372" s="2"/>
      <c r="AR372" s="2"/>
    </row>
    <row r="373" spans="1:44" s="6" customFormat="1" ht="14.1" customHeight="1">
      <c r="A373" s="2"/>
      <c r="B373" s="2"/>
      <c r="C373" s="2"/>
      <c r="D373" s="2"/>
      <c r="E373" s="2"/>
      <c r="F373" s="2"/>
      <c r="G373" s="2"/>
      <c r="H373" s="7"/>
      <c r="I373" s="2"/>
      <c r="J373" s="2"/>
      <c r="K373" s="2"/>
      <c r="U373" s="4"/>
      <c r="V373" s="4"/>
      <c r="W373" s="4"/>
      <c r="X373" s="4"/>
      <c r="Y373" s="4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L373" s="2"/>
      <c r="AM373" s="2"/>
      <c r="AN373" s="2"/>
      <c r="AO373" s="2"/>
      <c r="AP373" s="2"/>
      <c r="AQ373" s="2"/>
      <c r="AR373" s="2"/>
    </row>
    <row r="374" spans="1:44" s="6" customFormat="1" ht="14.1" customHeight="1">
      <c r="A374" s="2"/>
      <c r="B374" s="2"/>
      <c r="C374" s="2"/>
      <c r="D374" s="2"/>
      <c r="E374" s="2"/>
      <c r="F374" s="2"/>
      <c r="G374" s="2"/>
      <c r="H374" s="7"/>
      <c r="I374" s="2"/>
      <c r="J374" s="2"/>
      <c r="K374" s="2"/>
      <c r="U374" s="4"/>
      <c r="V374" s="4"/>
      <c r="W374" s="4"/>
      <c r="X374" s="4"/>
      <c r="Y374" s="4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L374" s="2"/>
      <c r="AM374" s="2"/>
      <c r="AN374" s="2"/>
      <c r="AO374" s="2"/>
      <c r="AP374" s="2"/>
      <c r="AQ374" s="2"/>
      <c r="AR374" s="2"/>
    </row>
    <row r="375" spans="1:44" s="6" customFormat="1" ht="14.1" customHeight="1">
      <c r="A375" s="2"/>
      <c r="B375" s="2"/>
      <c r="C375" s="2"/>
      <c r="D375" s="2"/>
      <c r="E375" s="2"/>
      <c r="F375" s="2"/>
      <c r="G375" s="2"/>
      <c r="H375" s="7"/>
      <c r="I375" s="2"/>
      <c r="J375" s="2"/>
      <c r="K375" s="2"/>
      <c r="U375" s="4"/>
      <c r="V375" s="4"/>
      <c r="W375" s="4"/>
      <c r="X375" s="4"/>
      <c r="Y375" s="4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L375" s="2"/>
      <c r="AM375" s="2"/>
      <c r="AN375" s="2"/>
      <c r="AO375" s="2"/>
      <c r="AP375" s="2"/>
      <c r="AQ375" s="2"/>
      <c r="AR375" s="2"/>
    </row>
    <row r="376" spans="1:44" s="6" customFormat="1" ht="14.1" customHeight="1">
      <c r="A376" s="2"/>
      <c r="B376" s="2"/>
      <c r="C376" s="2"/>
      <c r="D376" s="2"/>
      <c r="E376" s="2"/>
      <c r="F376" s="2"/>
      <c r="G376" s="2"/>
      <c r="H376" s="7"/>
      <c r="I376" s="2"/>
      <c r="J376" s="2"/>
      <c r="K376" s="2"/>
      <c r="U376" s="4"/>
      <c r="V376" s="4"/>
      <c r="W376" s="4"/>
      <c r="X376" s="4"/>
      <c r="Y376" s="4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L376" s="2"/>
      <c r="AM376" s="2"/>
      <c r="AN376" s="2"/>
      <c r="AO376" s="2"/>
      <c r="AP376" s="2"/>
      <c r="AQ376" s="2"/>
      <c r="AR376" s="2"/>
    </row>
    <row r="377" spans="1:44" ht="14.1" customHeight="1">
      <c r="L377" s="6"/>
      <c r="M377" s="6"/>
      <c r="N377" s="6"/>
      <c r="O377" s="6"/>
      <c r="P377" s="6"/>
      <c r="Q377" s="6"/>
      <c r="R377" s="6"/>
      <c r="S377" s="6"/>
      <c r="T377" s="6"/>
      <c r="U377" s="4"/>
      <c r="V377" s="4"/>
      <c r="W377" s="4"/>
      <c r="X377" s="4"/>
      <c r="Y377" s="4"/>
    </row>
    <row r="378" spans="1:44" ht="14.1" customHeight="1">
      <c r="L378" s="6"/>
      <c r="M378" s="6"/>
      <c r="N378" s="6"/>
      <c r="O378" s="6"/>
      <c r="P378" s="6"/>
      <c r="Q378" s="6"/>
      <c r="R378" s="6"/>
      <c r="S378" s="6"/>
      <c r="T378" s="6"/>
      <c r="U378" s="4"/>
      <c r="V378" s="4"/>
      <c r="W378" s="4"/>
      <c r="X378" s="4"/>
      <c r="Y378" s="4"/>
    </row>
    <row r="379" spans="1:44" ht="14.1" customHeight="1">
      <c r="L379" s="6"/>
      <c r="M379" s="6"/>
      <c r="N379" s="6"/>
      <c r="O379" s="6"/>
      <c r="P379" s="6"/>
      <c r="Q379" s="6"/>
      <c r="R379" s="6"/>
      <c r="S379" s="6"/>
      <c r="T379" s="6"/>
      <c r="U379" s="4"/>
      <c r="V379" s="4"/>
      <c r="W379" s="4"/>
      <c r="X379" s="4"/>
      <c r="Y379" s="4"/>
    </row>
    <row r="380" spans="1:44" ht="14.1" customHeight="1">
      <c r="L380" s="6"/>
      <c r="M380" s="6"/>
      <c r="N380" s="6"/>
      <c r="O380" s="6"/>
      <c r="P380" s="6"/>
      <c r="Q380" s="6"/>
      <c r="R380" s="6"/>
      <c r="S380" s="6"/>
      <c r="T380" s="6"/>
      <c r="U380" s="4"/>
      <c r="V380" s="4"/>
      <c r="W380" s="4"/>
      <c r="X380" s="4"/>
      <c r="Y380" s="4"/>
    </row>
    <row r="381" spans="1:44" ht="14.1" customHeight="1">
      <c r="L381" s="6"/>
      <c r="M381" s="6"/>
      <c r="N381" s="6"/>
      <c r="O381" s="6"/>
      <c r="P381" s="6"/>
      <c r="Q381" s="6"/>
      <c r="R381" s="6"/>
      <c r="S381" s="6"/>
      <c r="T381" s="6"/>
      <c r="U381" s="4"/>
      <c r="V381" s="4"/>
      <c r="W381" s="4"/>
      <c r="X381" s="4"/>
      <c r="Y381" s="4"/>
    </row>
    <row r="382" spans="1:44" ht="14.1" customHeight="1">
      <c r="L382" s="6"/>
      <c r="M382" s="6"/>
      <c r="N382" s="6"/>
      <c r="O382" s="6"/>
      <c r="P382" s="6"/>
      <c r="Q382" s="6"/>
      <c r="R382" s="6"/>
      <c r="S382" s="6"/>
      <c r="T382" s="6"/>
      <c r="U382" s="4"/>
      <c r="V382" s="4"/>
      <c r="W382" s="4"/>
      <c r="X382" s="4"/>
      <c r="Y382" s="4"/>
    </row>
    <row r="383" spans="1:44" ht="14.1" customHeight="1">
      <c r="L383" s="6"/>
      <c r="M383" s="6"/>
      <c r="N383" s="6"/>
      <c r="O383" s="6"/>
      <c r="P383" s="6"/>
      <c r="Q383" s="6"/>
      <c r="R383" s="6"/>
      <c r="S383" s="6"/>
      <c r="T383" s="6"/>
      <c r="U383" s="4"/>
      <c r="V383" s="4"/>
      <c r="W383" s="4"/>
      <c r="X383" s="4"/>
      <c r="Y383" s="4"/>
    </row>
    <row r="384" spans="1:44" ht="14.1" customHeight="1">
      <c r="L384" s="6"/>
      <c r="M384" s="6"/>
      <c r="N384" s="6"/>
      <c r="O384" s="6"/>
      <c r="P384" s="6"/>
      <c r="Q384" s="6"/>
      <c r="R384" s="6"/>
      <c r="S384" s="6"/>
      <c r="T384" s="6"/>
      <c r="U384" s="4"/>
      <c r="V384" s="4"/>
      <c r="W384" s="4"/>
      <c r="X384" s="4"/>
      <c r="Y384" s="4"/>
    </row>
    <row r="385" spans="12:25" ht="14.1" customHeight="1">
      <c r="L385" s="6"/>
      <c r="M385" s="6"/>
      <c r="N385" s="6"/>
      <c r="O385" s="6"/>
      <c r="P385" s="6"/>
      <c r="Q385" s="6"/>
      <c r="R385" s="6"/>
      <c r="S385" s="6"/>
      <c r="T385" s="6"/>
      <c r="U385" s="4"/>
      <c r="V385" s="4"/>
      <c r="W385" s="4"/>
      <c r="X385" s="4"/>
      <c r="Y385" s="4"/>
    </row>
    <row r="386" spans="12:25" ht="14.1" customHeight="1">
      <c r="L386" s="6"/>
      <c r="M386" s="6"/>
      <c r="N386" s="6"/>
      <c r="O386" s="6"/>
      <c r="P386" s="6"/>
      <c r="Q386" s="6"/>
      <c r="R386" s="6"/>
      <c r="S386" s="6"/>
      <c r="T386" s="6"/>
      <c r="U386" s="4"/>
      <c r="V386" s="4"/>
      <c r="W386" s="4"/>
      <c r="X386" s="4"/>
      <c r="Y386" s="4"/>
    </row>
    <row r="387" spans="12:25" ht="14.1" customHeight="1">
      <c r="L387" s="6"/>
      <c r="M387" s="6"/>
      <c r="N387" s="6"/>
      <c r="O387" s="6"/>
      <c r="P387" s="6"/>
      <c r="Q387" s="6"/>
      <c r="R387" s="6"/>
      <c r="S387" s="6"/>
      <c r="T387" s="6"/>
      <c r="U387" s="4"/>
      <c r="V387" s="4"/>
      <c r="W387" s="4"/>
      <c r="X387" s="4"/>
      <c r="Y387" s="4"/>
    </row>
    <row r="388" spans="12:25" ht="14.1" customHeight="1">
      <c r="L388" s="6"/>
      <c r="M388" s="6"/>
      <c r="N388" s="6"/>
      <c r="O388" s="6"/>
      <c r="P388" s="6"/>
      <c r="Q388" s="6"/>
      <c r="R388" s="6"/>
      <c r="S388" s="6"/>
      <c r="T388" s="6"/>
      <c r="U388" s="4"/>
      <c r="V388" s="4"/>
      <c r="W388" s="4"/>
      <c r="X388" s="4"/>
      <c r="Y388" s="4"/>
    </row>
    <row r="389" spans="12:25" ht="14.1" customHeight="1">
      <c r="L389" s="6"/>
      <c r="M389" s="6"/>
      <c r="N389" s="6"/>
      <c r="O389" s="6"/>
      <c r="P389" s="6"/>
      <c r="Q389" s="6"/>
      <c r="R389" s="6"/>
      <c r="S389" s="6"/>
      <c r="T389" s="6"/>
      <c r="U389" s="4"/>
      <c r="V389" s="4"/>
      <c r="W389" s="4"/>
      <c r="X389" s="4"/>
      <c r="Y389" s="4"/>
    </row>
    <row r="390" spans="12:25" ht="14.1" customHeight="1">
      <c r="L390" s="6"/>
      <c r="M390" s="6"/>
      <c r="N390" s="6"/>
      <c r="O390" s="6"/>
      <c r="P390" s="6"/>
      <c r="Q390" s="6"/>
      <c r="R390" s="6"/>
      <c r="S390" s="6"/>
      <c r="T390" s="6"/>
      <c r="U390" s="4"/>
      <c r="V390" s="4"/>
      <c r="W390" s="4"/>
      <c r="X390" s="4"/>
      <c r="Y390" s="4"/>
    </row>
    <row r="391" spans="12:25" ht="14.1" customHeight="1">
      <c r="L391" s="6"/>
      <c r="M391" s="6"/>
      <c r="N391" s="6"/>
      <c r="O391" s="6"/>
      <c r="P391" s="6"/>
      <c r="Q391" s="6"/>
      <c r="R391" s="6"/>
      <c r="S391" s="6"/>
      <c r="T391" s="6"/>
      <c r="U391" s="4"/>
      <c r="V391" s="4"/>
      <c r="W391" s="4"/>
      <c r="X391" s="4"/>
      <c r="Y391" s="4"/>
    </row>
    <row r="392" spans="12:25" ht="14.1" customHeight="1">
      <c r="L392" s="6"/>
      <c r="M392" s="6"/>
      <c r="N392" s="6"/>
      <c r="O392" s="6"/>
      <c r="P392" s="6"/>
      <c r="Q392" s="6"/>
      <c r="R392" s="6"/>
      <c r="S392" s="6"/>
      <c r="T392" s="6"/>
      <c r="U392" s="4"/>
      <c r="V392" s="4"/>
      <c r="W392" s="4"/>
      <c r="X392" s="4"/>
      <c r="Y392" s="4"/>
    </row>
    <row r="393" spans="12:25" ht="14.1" customHeight="1">
      <c r="L393" s="6"/>
      <c r="M393" s="6"/>
      <c r="N393" s="6"/>
      <c r="O393" s="6"/>
      <c r="P393" s="6"/>
      <c r="Q393" s="6"/>
      <c r="R393" s="6"/>
      <c r="S393" s="6"/>
      <c r="T393" s="6"/>
      <c r="U393" s="4"/>
      <c r="V393" s="4"/>
      <c r="W393" s="4"/>
      <c r="X393" s="4"/>
      <c r="Y393" s="4"/>
    </row>
    <row r="394" spans="12:25" ht="14.1" customHeight="1">
      <c r="L394" s="6"/>
      <c r="M394" s="6"/>
      <c r="N394" s="6"/>
      <c r="O394" s="6"/>
      <c r="P394" s="6"/>
      <c r="Q394" s="6"/>
      <c r="R394" s="6"/>
      <c r="S394" s="6"/>
      <c r="T394" s="6"/>
      <c r="U394" s="4"/>
      <c r="V394" s="4"/>
      <c r="W394" s="4"/>
      <c r="X394" s="4"/>
      <c r="Y394" s="4"/>
    </row>
    <row r="395" spans="12:25" ht="14.1" customHeight="1">
      <c r="L395" s="6"/>
      <c r="M395" s="6"/>
      <c r="N395" s="6"/>
      <c r="O395" s="6"/>
      <c r="P395" s="6"/>
      <c r="Q395" s="6"/>
      <c r="R395" s="6"/>
      <c r="S395" s="6"/>
      <c r="T395" s="6"/>
      <c r="U395" s="4"/>
      <c r="V395" s="4"/>
      <c r="W395" s="4"/>
      <c r="X395" s="4"/>
      <c r="Y395" s="4"/>
    </row>
    <row r="396" spans="12:25" ht="14.1" customHeight="1">
      <c r="L396" s="6"/>
      <c r="M396" s="6"/>
      <c r="N396" s="6"/>
      <c r="O396" s="6"/>
      <c r="P396" s="6"/>
      <c r="Q396" s="6"/>
      <c r="R396" s="6"/>
      <c r="S396" s="6"/>
      <c r="T396" s="6"/>
      <c r="U396" s="4"/>
      <c r="V396" s="4"/>
      <c r="W396" s="4"/>
      <c r="X396" s="4"/>
      <c r="Y396" s="4"/>
    </row>
    <row r="397" spans="12:25" ht="14.1" customHeight="1">
      <c r="L397" s="6"/>
      <c r="M397" s="6"/>
      <c r="N397" s="6"/>
      <c r="O397" s="6"/>
      <c r="P397" s="6"/>
      <c r="Q397" s="6"/>
      <c r="R397" s="6"/>
      <c r="S397" s="6"/>
      <c r="T397" s="6"/>
      <c r="U397" s="4"/>
      <c r="V397" s="4"/>
      <c r="W397" s="4"/>
      <c r="X397" s="4"/>
    </row>
    <row r="398" spans="12:25" ht="14.1" customHeight="1">
      <c r="L398" s="6"/>
      <c r="M398" s="6"/>
      <c r="N398" s="6"/>
      <c r="O398" s="6"/>
      <c r="P398" s="6"/>
      <c r="Q398" s="6"/>
      <c r="R398" s="6"/>
      <c r="S398" s="6"/>
      <c r="T398" s="6"/>
      <c r="U398" s="4"/>
      <c r="V398" s="4"/>
      <c r="W398" s="4"/>
      <c r="X398" s="4"/>
    </row>
    <row r="399" spans="12:25" ht="14.1" customHeight="1">
      <c r="L399" s="6"/>
      <c r="M399" s="6"/>
      <c r="N399" s="6"/>
      <c r="O399" s="6"/>
      <c r="P399" s="6"/>
      <c r="Q399" s="6"/>
      <c r="R399" s="6"/>
      <c r="S399" s="6"/>
      <c r="T399" s="6"/>
      <c r="U399" s="4"/>
      <c r="V399" s="4"/>
      <c r="W399" s="4"/>
      <c r="X399" s="4"/>
    </row>
    <row r="400" spans="12:25" ht="14.1" customHeight="1">
      <c r="L400" s="6"/>
      <c r="M400" s="6"/>
      <c r="N400" s="6"/>
      <c r="O400" s="6"/>
      <c r="P400" s="6"/>
      <c r="Q400" s="6"/>
      <c r="R400" s="6"/>
      <c r="S400" s="6"/>
      <c r="T400" s="6"/>
      <c r="U400" s="4"/>
      <c r="V400" s="4"/>
      <c r="W400" s="4"/>
      <c r="X400" s="4"/>
    </row>
    <row r="401" spans="12:24" ht="14.1" customHeight="1">
      <c r="L401" s="6"/>
      <c r="M401" s="6"/>
      <c r="N401" s="6"/>
      <c r="O401" s="6"/>
      <c r="P401" s="6"/>
      <c r="Q401" s="6"/>
      <c r="R401" s="6"/>
      <c r="S401" s="6"/>
      <c r="T401" s="6"/>
      <c r="U401" s="4"/>
      <c r="V401" s="4"/>
      <c r="W401" s="4"/>
      <c r="X401" s="4"/>
    </row>
    <row r="402" spans="12:24" ht="14.1" customHeight="1">
      <c r="L402" s="6"/>
      <c r="M402" s="6"/>
      <c r="N402" s="6"/>
      <c r="O402" s="6"/>
      <c r="P402" s="6"/>
      <c r="Q402" s="6"/>
      <c r="R402" s="6"/>
      <c r="S402" s="6"/>
      <c r="T402" s="6"/>
      <c r="U402" s="4"/>
      <c r="V402" s="4"/>
      <c r="W402" s="4"/>
      <c r="X402" s="4"/>
    </row>
    <row r="403" spans="12:24" ht="14.1" customHeight="1">
      <c r="L403" s="6"/>
      <c r="M403" s="6"/>
      <c r="N403" s="6"/>
      <c r="O403" s="6"/>
      <c r="P403" s="6"/>
      <c r="Q403" s="6"/>
      <c r="R403" s="6"/>
      <c r="S403" s="6"/>
      <c r="T403" s="6"/>
      <c r="U403" s="4"/>
      <c r="V403" s="4"/>
      <c r="W403" s="4"/>
      <c r="X403" s="4"/>
    </row>
    <row r="404" spans="12:24" ht="14.1" customHeight="1">
      <c r="L404" s="6"/>
      <c r="M404" s="6"/>
      <c r="N404" s="6"/>
      <c r="O404" s="6"/>
      <c r="P404" s="6"/>
      <c r="Q404" s="6"/>
      <c r="R404" s="6"/>
      <c r="S404" s="6"/>
      <c r="T404" s="6"/>
      <c r="U404" s="4"/>
      <c r="V404" s="4"/>
      <c r="W404" s="4"/>
      <c r="X404" s="4"/>
    </row>
    <row r="405" spans="12:24" ht="14.1" customHeight="1">
      <c r="L405" s="6"/>
      <c r="M405" s="6"/>
      <c r="N405" s="6"/>
      <c r="O405" s="6"/>
      <c r="P405" s="6"/>
      <c r="Q405" s="6"/>
      <c r="R405" s="6"/>
      <c r="S405" s="6"/>
      <c r="T405" s="6"/>
      <c r="U405" s="4"/>
      <c r="V405" s="4"/>
      <c r="W405" s="4"/>
      <c r="X405" s="4"/>
    </row>
    <row r="406" spans="12:24" ht="14.1" customHeight="1">
      <c r="L406" s="6"/>
      <c r="M406" s="6"/>
      <c r="N406" s="6"/>
      <c r="O406" s="6"/>
      <c r="P406" s="6"/>
      <c r="Q406" s="6"/>
      <c r="R406" s="6"/>
      <c r="S406" s="6"/>
      <c r="T406" s="6"/>
      <c r="U406" s="6"/>
    </row>
    <row r="407" spans="12:24">
      <c r="L407" s="6"/>
      <c r="M407" s="6"/>
      <c r="N407" s="6"/>
      <c r="O407" s="6"/>
      <c r="P407" s="6"/>
      <c r="Q407" s="6"/>
      <c r="R407" s="6"/>
      <c r="S407" s="6"/>
      <c r="T407" s="6"/>
      <c r="U407" s="6"/>
    </row>
    <row r="408" spans="12:24">
      <c r="L408" s="6"/>
      <c r="M408" s="6"/>
      <c r="N408" s="6"/>
      <c r="O408" s="6"/>
      <c r="P408" s="6"/>
      <c r="Q408" s="6"/>
      <c r="R408" s="6"/>
      <c r="S408" s="6"/>
      <c r="T408" s="6"/>
      <c r="U408" s="6"/>
    </row>
    <row r="409" spans="12:24">
      <c r="L409" s="6"/>
      <c r="M409" s="6"/>
      <c r="N409" s="6"/>
      <c r="O409" s="6"/>
      <c r="P409" s="6"/>
      <c r="Q409" s="6"/>
      <c r="R409" s="6"/>
      <c r="S409" s="6"/>
      <c r="T409" s="6"/>
      <c r="U409" s="6"/>
    </row>
    <row r="410" spans="12:24">
      <c r="L410" s="6"/>
      <c r="M410" s="6"/>
      <c r="N410" s="6"/>
      <c r="O410" s="6"/>
      <c r="P410" s="6"/>
      <c r="Q410" s="6"/>
      <c r="R410" s="6"/>
      <c r="S410" s="6"/>
      <c r="T410" s="6"/>
      <c r="U410" s="6"/>
    </row>
    <row r="411" spans="12:24">
      <c r="L411" s="6"/>
      <c r="M411" s="6"/>
      <c r="N411" s="6"/>
      <c r="O411" s="6"/>
      <c r="P411" s="6"/>
      <c r="Q411" s="6"/>
      <c r="R411" s="6"/>
      <c r="S411" s="6"/>
      <c r="T411" s="6"/>
    </row>
    <row r="412" spans="12:24">
      <c r="L412" s="6"/>
      <c r="M412" s="6"/>
      <c r="N412" s="6"/>
      <c r="O412" s="6"/>
      <c r="P412" s="6"/>
      <c r="Q412" s="6"/>
      <c r="R412" s="6"/>
      <c r="S412" s="6"/>
    </row>
    <row r="413" spans="12:24">
      <c r="L413" s="6"/>
      <c r="M413" s="6"/>
      <c r="N413" s="6"/>
      <c r="O413" s="6"/>
      <c r="P413" s="6"/>
      <c r="Q413" s="6"/>
      <c r="R413" s="6"/>
      <c r="S413" s="6"/>
    </row>
    <row r="414" spans="12:24">
      <c r="L414" s="6"/>
      <c r="M414" s="6"/>
      <c r="N414" s="6"/>
      <c r="O414" s="6"/>
      <c r="P414" s="6"/>
      <c r="Q414" s="6"/>
      <c r="R414" s="6"/>
      <c r="S414" s="6"/>
    </row>
    <row r="415" spans="12:24">
      <c r="L415" s="6"/>
      <c r="M415" s="6"/>
      <c r="N415" s="6"/>
      <c r="O415" s="6"/>
      <c r="P415" s="6"/>
      <c r="Q415" s="6"/>
      <c r="R415" s="6"/>
      <c r="S415" s="6"/>
    </row>
    <row r="416" spans="12:24">
      <c r="L416" s="6"/>
      <c r="M416" s="6"/>
      <c r="N416" s="6"/>
      <c r="O416" s="6"/>
      <c r="P416" s="6"/>
      <c r="Q416" s="6"/>
      <c r="R416" s="6"/>
      <c r="S416" s="6"/>
    </row>
    <row r="417" spans="12:19">
      <c r="L417" s="6"/>
      <c r="M417" s="6"/>
      <c r="N417" s="6"/>
      <c r="O417" s="6"/>
      <c r="P417" s="6"/>
      <c r="Q417" s="6"/>
      <c r="R417" s="6"/>
      <c r="S417" s="6"/>
    </row>
    <row r="418" spans="12:19">
      <c r="L418" s="6"/>
      <c r="M418" s="6"/>
      <c r="N418" s="6"/>
      <c r="O418" s="6"/>
      <c r="P418" s="6"/>
      <c r="Q418" s="6"/>
      <c r="R418" s="6"/>
      <c r="S418" s="6"/>
    </row>
    <row r="419" spans="12:19">
      <c r="L419" s="6"/>
      <c r="M419" s="6"/>
      <c r="N419" s="6"/>
      <c r="O419" s="6"/>
      <c r="P419" s="6"/>
      <c r="Q419" s="6"/>
      <c r="R419" s="6"/>
      <c r="S419" s="6"/>
    </row>
    <row r="420" spans="12:19">
      <c r="L420" s="6"/>
      <c r="M420" s="6"/>
      <c r="N420" s="6"/>
      <c r="O420" s="6"/>
      <c r="P420" s="6"/>
      <c r="Q420" s="6"/>
      <c r="R420" s="6"/>
      <c r="S420" s="6"/>
    </row>
    <row r="421" spans="12:19">
      <c r="L421" s="6"/>
      <c r="M421" s="6"/>
      <c r="N421" s="6"/>
      <c r="O421" s="6"/>
      <c r="P421" s="6"/>
      <c r="Q421" s="6"/>
      <c r="R421" s="6"/>
      <c r="S421" s="6"/>
    </row>
    <row r="422" spans="12:19">
      <c r="L422" s="6"/>
      <c r="M422" s="6"/>
      <c r="N422" s="6"/>
      <c r="O422" s="6"/>
      <c r="P422" s="6"/>
      <c r="Q422" s="6"/>
      <c r="R422" s="6"/>
      <c r="S422" s="6"/>
    </row>
    <row r="423" spans="12:19">
      <c r="L423" s="6"/>
      <c r="M423" s="6"/>
      <c r="N423" s="6"/>
      <c r="O423" s="6"/>
      <c r="P423" s="6"/>
      <c r="Q423" s="6"/>
      <c r="R423" s="6"/>
      <c r="S423" s="6"/>
    </row>
    <row r="424" spans="12:19">
      <c r="L424" s="6"/>
      <c r="M424" s="6"/>
      <c r="N424" s="6"/>
      <c r="O424" s="6"/>
      <c r="P424" s="6"/>
      <c r="Q424" s="6"/>
      <c r="R424" s="6"/>
      <c r="S424" s="6"/>
    </row>
    <row r="425" spans="12:19">
      <c r="L425" s="6"/>
      <c r="M425" s="6"/>
      <c r="N425" s="6"/>
      <c r="O425" s="6"/>
      <c r="P425" s="6"/>
      <c r="Q425" s="6"/>
      <c r="R425" s="6"/>
      <c r="S425" s="6"/>
    </row>
    <row r="426" spans="12:19">
      <c r="L426" s="6"/>
      <c r="M426" s="6"/>
      <c r="N426" s="6"/>
      <c r="O426" s="6"/>
      <c r="P426" s="6"/>
      <c r="Q426" s="6"/>
      <c r="R426" s="6"/>
      <c r="S426" s="6"/>
    </row>
    <row r="427" spans="12:19">
      <c r="L427" s="6"/>
      <c r="M427" s="6"/>
      <c r="N427" s="6"/>
      <c r="O427" s="6"/>
      <c r="P427" s="6"/>
      <c r="Q427" s="6"/>
      <c r="R427" s="6"/>
      <c r="S427" s="6"/>
    </row>
    <row r="428" spans="12:19">
      <c r="L428" s="6"/>
      <c r="M428" s="6"/>
      <c r="N428" s="6"/>
      <c r="O428" s="6"/>
      <c r="P428" s="6"/>
      <c r="Q428" s="6"/>
      <c r="R428" s="6"/>
      <c r="S428" s="6"/>
    </row>
    <row r="429" spans="12:19">
      <c r="L429" s="6"/>
      <c r="M429" s="6"/>
      <c r="N429" s="6"/>
      <c r="O429" s="6"/>
      <c r="P429" s="6"/>
      <c r="Q429" s="6"/>
      <c r="R429" s="6"/>
      <c r="S429" s="6"/>
    </row>
    <row r="430" spans="12:19">
      <c r="L430" s="6"/>
      <c r="M430" s="6"/>
      <c r="N430" s="6"/>
      <c r="O430" s="6"/>
      <c r="P430" s="6"/>
      <c r="Q430" s="6"/>
      <c r="R430" s="6"/>
      <c r="S430" s="6"/>
    </row>
    <row r="431" spans="12:19">
      <c r="L431" s="6"/>
      <c r="M431" s="6"/>
      <c r="N431" s="6"/>
      <c r="O431" s="6"/>
      <c r="P431" s="6"/>
      <c r="Q431" s="6"/>
      <c r="R431" s="6"/>
      <c r="S431" s="6"/>
    </row>
    <row r="432" spans="12:19">
      <c r="L432" s="6"/>
      <c r="M432" s="6"/>
      <c r="N432" s="6"/>
      <c r="O432" s="6"/>
      <c r="P432" s="6"/>
      <c r="Q432" s="6"/>
      <c r="R432" s="6"/>
      <c r="S432" s="6"/>
    </row>
    <row r="433" spans="12:19">
      <c r="L433" s="6"/>
      <c r="M433" s="6"/>
      <c r="N433" s="6"/>
      <c r="O433" s="6"/>
      <c r="P433" s="6"/>
      <c r="Q433" s="6"/>
      <c r="R433" s="6"/>
      <c r="S433" s="6"/>
    </row>
    <row r="434" spans="12:19">
      <c r="L434" s="6"/>
      <c r="M434" s="6"/>
      <c r="N434" s="6"/>
      <c r="O434" s="6"/>
      <c r="P434" s="6"/>
      <c r="Q434" s="6"/>
      <c r="R434" s="6"/>
      <c r="S434" s="6"/>
    </row>
    <row r="435" spans="12:19">
      <c r="L435" s="6"/>
      <c r="M435" s="6"/>
      <c r="N435" s="6"/>
      <c r="O435" s="6"/>
      <c r="P435" s="6"/>
      <c r="Q435" s="6"/>
      <c r="R435" s="6"/>
      <c r="S435" s="6"/>
    </row>
    <row r="436" spans="12:19">
      <c r="L436" s="6"/>
      <c r="M436" s="6"/>
      <c r="N436" s="6"/>
      <c r="O436" s="6"/>
      <c r="P436" s="6"/>
      <c r="Q436" s="6"/>
      <c r="R436" s="6"/>
      <c r="S436" s="6"/>
    </row>
    <row r="437" spans="12:19">
      <c r="L437" s="6"/>
      <c r="M437" s="6"/>
      <c r="N437" s="6"/>
      <c r="O437" s="6"/>
      <c r="P437" s="6"/>
      <c r="Q437" s="6"/>
      <c r="R437" s="6"/>
      <c r="S437" s="6"/>
    </row>
    <row r="438" spans="12:19">
      <c r="L438" s="6"/>
      <c r="M438" s="6"/>
      <c r="N438" s="6"/>
      <c r="O438" s="6"/>
      <c r="P438" s="6"/>
      <c r="Q438" s="6"/>
      <c r="R438" s="6"/>
      <c r="S438" s="6"/>
    </row>
    <row r="439" spans="12:19">
      <c r="L439" s="6"/>
      <c r="M439" s="6"/>
      <c r="N439" s="6"/>
      <c r="O439" s="6"/>
      <c r="P439" s="6"/>
      <c r="Q439" s="6"/>
      <c r="R439" s="6"/>
      <c r="S439" s="6"/>
    </row>
    <row r="440" spans="12:19">
      <c r="L440" s="6"/>
      <c r="M440" s="6"/>
      <c r="N440" s="6"/>
      <c r="O440" s="6"/>
      <c r="P440" s="6"/>
      <c r="Q440" s="6"/>
      <c r="R440" s="6"/>
      <c r="S440" s="6"/>
    </row>
    <row r="441" spans="12:19">
      <c r="L441" s="6"/>
      <c r="M441" s="6"/>
      <c r="N441" s="6"/>
      <c r="O441" s="6"/>
      <c r="P441" s="6"/>
      <c r="Q441" s="6"/>
      <c r="R441" s="6"/>
      <c r="S441" s="6"/>
    </row>
    <row r="442" spans="12:19">
      <c r="L442" s="6"/>
      <c r="M442" s="6"/>
      <c r="N442" s="6"/>
      <c r="O442" s="6"/>
      <c r="P442" s="6"/>
      <c r="Q442" s="6"/>
      <c r="R442" s="6"/>
      <c r="S442" s="6"/>
    </row>
    <row r="443" spans="12:19">
      <c r="L443" s="6"/>
      <c r="M443" s="6"/>
      <c r="N443" s="6"/>
      <c r="O443" s="6"/>
      <c r="P443" s="6"/>
      <c r="Q443" s="6"/>
      <c r="R443" s="6"/>
      <c r="S443" s="6"/>
    </row>
    <row r="444" spans="12:19">
      <c r="L444" s="6"/>
      <c r="M444" s="6"/>
      <c r="N444" s="6"/>
      <c r="O444" s="6"/>
      <c r="P444" s="6"/>
      <c r="Q444" s="6"/>
      <c r="R444" s="6"/>
      <c r="S444" s="6"/>
    </row>
    <row r="445" spans="12:19">
      <c r="L445" s="6"/>
      <c r="M445" s="6"/>
      <c r="N445" s="6"/>
      <c r="O445" s="6"/>
      <c r="P445" s="6"/>
      <c r="Q445" s="6"/>
      <c r="R445" s="6"/>
      <c r="S445" s="6"/>
    </row>
    <row r="446" spans="12:19">
      <c r="L446" s="6"/>
      <c r="M446" s="6"/>
      <c r="N446" s="6"/>
      <c r="O446" s="6"/>
      <c r="P446" s="6"/>
      <c r="Q446" s="6"/>
      <c r="R446" s="6"/>
      <c r="S446" s="6"/>
    </row>
    <row r="447" spans="12:19">
      <c r="L447" s="6"/>
      <c r="M447" s="6"/>
      <c r="N447" s="6"/>
      <c r="O447" s="6"/>
      <c r="P447" s="6"/>
      <c r="Q447" s="6"/>
      <c r="R447" s="6"/>
      <c r="S447" s="6"/>
    </row>
    <row r="448" spans="12:19">
      <c r="L448" s="6"/>
      <c r="M448" s="6"/>
      <c r="N448" s="6"/>
      <c r="O448" s="6"/>
      <c r="P448" s="6"/>
      <c r="Q448" s="6"/>
      <c r="R448" s="6"/>
      <c r="S448" s="6"/>
    </row>
    <row r="449" spans="12:19">
      <c r="L449" s="6"/>
      <c r="M449" s="6"/>
      <c r="N449" s="6"/>
      <c r="O449" s="6"/>
      <c r="P449" s="6"/>
      <c r="Q449" s="6"/>
      <c r="R449" s="6"/>
      <c r="S449" s="6"/>
    </row>
    <row r="450" spans="12:19">
      <c r="L450" s="6"/>
      <c r="M450" s="6"/>
      <c r="N450" s="6"/>
      <c r="O450" s="6"/>
      <c r="P450" s="6"/>
      <c r="Q450" s="6"/>
      <c r="R450" s="6"/>
      <c r="S450" s="6"/>
    </row>
    <row r="451" spans="12:19">
      <c r="L451" s="6"/>
      <c r="M451" s="6"/>
      <c r="N451" s="6"/>
      <c r="O451" s="6"/>
      <c r="P451" s="6"/>
      <c r="Q451" s="6"/>
      <c r="R451" s="6"/>
      <c r="S451" s="6"/>
    </row>
    <row r="452" spans="12:19">
      <c r="L452" s="6"/>
      <c r="M452" s="6"/>
      <c r="N452" s="6"/>
      <c r="O452" s="6"/>
      <c r="P452" s="6"/>
      <c r="Q452" s="6"/>
      <c r="R452" s="6"/>
      <c r="S452" s="6"/>
    </row>
    <row r="453" spans="12:19">
      <c r="L453" s="6"/>
      <c r="M453" s="6"/>
      <c r="N453" s="6"/>
      <c r="O453" s="6"/>
      <c r="P453" s="6"/>
      <c r="Q453" s="6"/>
      <c r="R453" s="6"/>
      <c r="S453" s="6"/>
    </row>
    <row r="454" spans="12:19">
      <c r="L454" s="6"/>
      <c r="M454" s="6"/>
      <c r="N454" s="6"/>
      <c r="O454" s="6"/>
      <c r="P454" s="6"/>
      <c r="Q454" s="6"/>
      <c r="R454" s="6"/>
      <c r="S454" s="6"/>
    </row>
    <row r="455" spans="12:19">
      <c r="L455" s="6"/>
      <c r="M455" s="6"/>
      <c r="N455" s="6"/>
      <c r="O455" s="6"/>
      <c r="P455" s="6"/>
      <c r="Q455" s="6"/>
      <c r="R455" s="6"/>
      <c r="S455" s="6"/>
    </row>
    <row r="456" spans="12:19">
      <c r="L456" s="6"/>
      <c r="M456" s="6"/>
      <c r="N456" s="6"/>
      <c r="O456" s="6"/>
      <c r="P456" s="6"/>
      <c r="Q456" s="6"/>
      <c r="R456" s="6"/>
      <c r="S456" s="6"/>
    </row>
    <row r="457" spans="12:19">
      <c r="L457" s="6"/>
      <c r="M457" s="6"/>
      <c r="N457" s="6"/>
      <c r="O457" s="6"/>
      <c r="P457" s="6"/>
      <c r="Q457" s="6"/>
      <c r="R457" s="6"/>
      <c r="S457" s="6"/>
    </row>
    <row r="458" spans="12:19">
      <c r="L458" s="6"/>
      <c r="M458" s="6"/>
      <c r="N458" s="6"/>
      <c r="O458" s="6"/>
      <c r="P458" s="6"/>
      <c r="Q458" s="6"/>
      <c r="R458" s="6"/>
      <c r="S458" s="6"/>
    </row>
    <row r="459" spans="12:19">
      <c r="L459" s="6"/>
      <c r="M459" s="6"/>
      <c r="N459" s="6"/>
      <c r="O459" s="6"/>
      <c r="P459" s="6"/>
      <c r="Q459" s="6"/>
      <c r="R459" s="6"/>
      <c r="S459" s="6"/>
    </row>
    <row r="460" spans="12:19">
      <c r="L460" s="6"/>
      <c r="M460" s="6"/>
      <c r="N460" s="6"/>
      <c r="O460" s="6"/>
      <c r="P460" s="6"/>
      <c r="Q460" s="6"/>
      <c r="R460" s="6"/>
      <c r="S460" s="6"/>
    </row>
    <row r="461" spans="12:19">
      <c r="L461" s="6"/>
      <c r="M461" s="6"/>
      <c r="N461" s="6"/>
      <c r="O461" s="6"/>
      <c r="P461" s="6"/>
      <c r="Q461" s="6"/>
      <c r="R461" s="6"/>
      <c r="S461" s="6"/>
    </row>
    <row r="462" spans="12:19">
      <c r="L462" s="6"/>
      <c r="M462" s="6"/>
      <c r="N462" s="6"/>
      <c r="O462" s="6"/>
      <c r="P462" s="6"/>
      <c r="Q462" s="6"/>
      <c r="R462" s="6"/>
      <c r="S462" s="6"/>
    </row>
    <row r="463" spans="12:19">
      <c r="L463" s="6"/>
      <c r="M463" s="6"/>
      <c r="N463" s="6"/>
      <c r="O463" s="6"/>
      <c r="P463" s="6"/>
      <c r="Q463" s="6"/>
      <c r="R463" s="6"/>
      <c r="S463" s="6"/>
    </row>
    <row r="464" spans="12:19">
      <c r="L464" s="6"/>
      <c r="M464" s="6"/>
      <c r="N464" s="6"/>
      <c r="O464" s="6"/>
      <c r="P464" s="6"/>
      <c r="Q464" s="6"/>
      <c r="R464" s="6"/>
      <c r="S464" s="6"/>
    </row>
    <row r="465" spans="12:19">
      <c r="L465" s="6"/>
      <c r="M465" s="6"/>
      <c r="N465" s="6"/>
      <c r="O465" s="6"/>
      <c r="P465" s="6"/>
      <c r="Q465" s="6"/>
      <c r="R465" s="6"/>
      <c r="S465" s="6"/>
    </row>
    <row r="466" spans="12:19">
      <c r="L466" s="6"/>
      <c r="M466" s="6"/>
      <c r="N466" s="6"/>
      <c r="O466" s="6"/>
      <c r="P466" s="6"/>
      <c r="Q466" s="6"/>
      <c r="R466" s="6"/>
      <c r="S466" s="6"/>
    </row>
    <row r="467" spans="12:19">
      <c r="L467" s="6"/>
      <c r="M467" s="6"/>
      <c r="N467" s="6"/>
      <c r="O467" s="6"/>
      <c r="P467" s="6"/>
      <c r="Q467" s="6"/>
      <c r="R467" s="6"/>
      <c r="S467" s="6"/>
    </row>
    <row r="468" spans="12:19">
      <c r="L468" s="6"/>
      <c r="M468" s="6"/>
      <c r="N468" s="6"/>
      <c r="O468" s="6"/>
      <c r="P468" s="6"/>
      <c r="Q468" s="6"/>
      <c r="R468" s="6"/>
      <c r="S468" s="6"/>
    </row>
    <row r="469" spans="12:19">
      <c r="M469" s="6"/>
      <c r="N469" s="6"/>
      <c r="O469" s="6"/>
      <c r="P469" s="6"/>
      <c r="Q469" s="6"/>
      <c r="R469" s="6"/>
      <c r="S469" s="6"/>
    </row>
    <row r="470" spans="12:19">
      <c r="M470" s="6"/>
      <c r="N470" s="6"/>
      <c r="O470" s="6"/>
      <c r="P470" s="6"/>
    </row>
  </sheetData>
  <sheetProtection password="DF3F" sheet="1" objects="1" scenarios="1"/>
  <mergeCells count="478">
    <mergeCell ref="P10:P11"/>
    <mergeCell ref="Q10:R10"/>
    <mergeCell ref="U10:U11"/>
    <mergeCell ref="V10:V11"/>
    <mergeCell ref="G264:J264"/>
    <mergeCell ref="D185:J185"/>
    <mergeCell ref="B13:D13"/>
    <mergeCell ref="L40:Q40"/>
    <mergeCell ref="B35:D35"/>
    <mergeCell ref="B15:D15"/>
    <mergeCell ref="Z9:AF9"/>
    <mergeCell ref="AJ10:AK10"/>
    <mergeCell ref="AH9:AK9"/>
    <mergeCell ref="AF11:AF15"/>
    <mergeCell ref="AE10:AF10"/>
    <mergeCell ref="Z18:AF19"/>
    <mergeCell ref="AA20:AF21"/>
    <mergeCell ref="Z20:Z21"/>
    <mergeCell ref="S76:S77"/>
    <mergeCell ref="P76:P77"/>
    <mergeCell ref="G353:J353"/>
    <mergeCell ref="G294:J294"/>
    <mergeCell ref="G235:J235"/>
    <mergeCell ref="G176:J176"/>
    <mergeCell ref="G117:J117"/>
    <mergeCell ref="G129:H129"/>
    <mergeCell ref="G279:H279"/>
    <mergeCell ref="G221:J221"/>
    <mergeCell ref="O76:O77"/>
    <mergeCell ref="P70:P71"/>
    <mergeCell ref="Q70:R70"/>
    <mergeCell ref="N70:N71"/>
    <mergeCell ref="O70:O71"/>
    <mergeCell ref="N76:N77"/>
    <mergeCell ref="Q76:R76"/>
    <mergeCell ref="L76:L77"/>
    <mergeCell ref="B14:D14"/>
    <mergeCell ref="L33:Q33"/>
    <mergeCell ref="B40:D40"/>
    <mergeCell ref="B29:D29"/>
    <mergeCell ref="B16:D16"/>
    <mergeCell ref="B19:D19"/>
    <mergeCell ref="B25:D25"/>
    <mergeCell ref="B27:D27"/>
    <mergeCell ref="B37:D37"/>
    <mergeCell ref="L32:Q32"/>
    <mergeCell ref="G27:H27"/>
    <mergeCell ref="L36:Q36"/>
    <mergeCell ref="I24:J24"/>
    <mergeCell ref="B20:D20"/>
    <mergeCell ref="L65:S65"/>
    <mergeCell ref="B39:D39"/>
    <mergeCell ref="B38:D38"/>
    <mergeCell ref="B53:D53"/>
    <mergeCell ref="B47:D47"/>
    <mergeCell ref="L43:S43"/>
    <mergeCell ref="B55:D55"/>
    <mergeCell ref="M70:M71"/>
    <mergeCell ref="B71:D71"/>
    <mergeCell ref="B66:C66"/>
    <mergeCell ref="G43:H43"/>
    <mergeCell ref="B67:C67"/>
    <mergeCell ref="L66:M66"/>
    <mergeCell ref="G70:H70"/>
    <mergeCell ref="S70:S71"/>
    <mergeCell ref="B114:D114"/>
    <mergeCell ref="L70:L71"/>
    <mergeCell ref="G58:J58"/>
    <mergeCell ref="B70:D70"/>
    <mergeCell ref="B84:D84"/>
    <mergeCell ref="B91:D91"/>
    <mergeCell ref="B88:D88"/>
    <mergeCell ref="B89:D89"/>
    <mergeCell ref="C65:J65"/>
    <mergeCell ref="G19:J19"/>
    <mergeCell ref="B126:C126"/>
    <mergeCell ref="B73:D73"/>
    <mergeCell ref="B82:D82"/>
    <mergeCell ref="B54:D54"/>
    <mergeCell ref="D66:J66"/>
    <mergeCell ref="B46:D46"/>
    <mergeCell ref="B74:D74"/>
    <mergeCell ref="B45:D45"/>
    <mergeCell ref="I25:J25"/>
    <mergeCell ref="B7:C7"/>
    <mergeCell ref="B8:C8"/>
    <mergeCell ref="D8:J8"/>
    <mergeCell ref="D7:J7"/>
    <mergeCell ref="B30:D30"/>
    <mergeCell ref="B12:D12"/>
    <mergeCell ref="G11:H11"/>
    <mergeCell ref="B24:D24"/>
    <mergeCell ref="B11:D11"/>
    <mergeCell ref="G12:J12"/>
    <mergeCell ref="B21:D21"/>
    <mergeCell ref="B22:D22"/>
    <mergeCell ref="B44:D44"/>
    <mergeCell ref="B31:D31"/>
    <mergeCell ref="G146:J146"/>
    <mergeCell ref="I57:J57"/>
    <mergeCell ref="B99:D99"/>
    <mergeCell ref="B107:D107"/>
    <mergeCell ref="B106:D106"/>
    <mergeCell ref="B23:D23"/>
    <mergeCell ref="B28:D28"/>
    <mergeCell ref="I41:J41"/>
    <mergeCell ref="B57:D57"/>
    <mergeCell ref="B32:D32"/>
    <mergeCell ref="B95:D95"/>
    <mergeCell ref="D67:J67"/>
    <mergeCell ref="B41:D41"/>
    <mergeCell ref="G35:J35"/>
    <mergeCell ref="B43:D43"/>
    <mergeCell ref="B86:D86"/>
    <mergeCell ref="B148:D148"/>
    <mergeCell ref="B134:D134"/>
    <mergeCell ref="B174:D174"/>
    <mergeCell ref="B184:C184"/>
    <mergeCell ref="B175:D175"/>
    <mergeCell ref="B165:D165"/>
    <mergeCell ref="B162:D162"/>
    <mergeCell ref="D184:J184"/>
    <mergeCell ref="B185:C185"/>
    <mergeCell ref="B189:D189"/>
    <mergeCell ref="B102:D102"/>
    <mergeCell ref="B150:D150"/>
    <mergeCell ref="B145:D145"/>
    <mergeCell ref="B80:D80"/>
    <mergeCell ref="B97:D97"/>
    <mergeCell ref="B115:D115"/>
    <mergeCell ref="C183:J183"/>
    <mergeCell ref="B96:D96"/>
    <mergeCell ref="B198:D198"/>
    <mergeCell ref="B172:D172"/>
    <mergeCell ref="C182:J182"/>
    <mergeCell ref="I174:J174"/>
    <mergeCell ref="G189:J189"/>
    <mergeCell ref="B81:D81"/>
    <mergeCell ref="B196:D196"/>
    <mergeCell ref="B191:D191"/>
    <mergeCell ref="B188:D188"/>
    <mergeCell ref="B170:D170"/>
    <mergeCell ref="B116:D116"/>
    <mergeCell ref="B113:D113"/>
    <mergeCell ref="B125:C125"/>
    <mergeCell ref="B112:D112"/>
    <mergeCell ref="B143:D143"/>
    <mergeCell ref="B221:D221"/>
    <mergeCell ref="B192:D192"/>
    <mergeCell ref="B193:D193"/>
    <mergeCell ref="B217:D217"/>
    <mergeCell ref="B156:D156"/>
    <mergeCell ref="B132:D132"/>
    <mergeCell ref="B142:D142"/>
    <mergeCell ref="B158:D158"/>
    <mergeCell ref="B159:D159"/>
    <mergeCell ref="B157:D157"/>
    <mergeCell ref="B79:D79"/>
    <mergeCell ref="B139:D139"/>
    <mergeCell ref="B131:D131"/>
    <mergeCell ref="B146:D146"/>
    <mergeCell ref="B133:D133"/>
    <mergeCell ref="B130:D130"/>
    <mergeCell ref="B138:D138"/>
    <mergeCell ref="C180:J180"/>
    <mergeCell ref="B173:D173"/>
    <mergeCell ref="B171:D171"/>
    <mergeCell ref="B164:D164"/>
    <mergeCell ref="B169:D169"/>
    <mergeCell ref="G162:J162"/>
    <mergeCell ref="B147:D147"/>
    <mergeCell ref="B163:D163"/>
    <mergeCell ref="G248:J248"/>
    <mergeCell ref="G161:H161"/>
    <mergeCell ref="G220:H220"/>
    <mergeCell ref="B206:D206"/>
    <mergeCell ref="B199:D199"/>
    <mergeCell ref="B166:D166"/>
    <mergeCell ref="B216:D216"/>
    <mergeCell ref="B212:D212"/>
    <mergeCell ref="B205:D205"/>
    <mergeCell ref="B218:D218"/>
    <mergeCell ref="B252:D252"/>
    <mergeCell ref="B255:D255"/>
    <mergeCell ref="B272:D272"/>
    <mergeCell ref="B263:D263"/>
    <mergeCell ref="B277:D277"/>
    <mergeCell ref="B208:D208"/>
    <mergeCell ref="B220:D220"/>
    <mergeCell ref="B214:D214"/>
    <mergeCell ref="B231:D231"/>
    <mergeCell ref="B232:D232"/>
    <mergeCell ref="B283:D283"/>
    <mergeCell ref="B282:D282"/>
    <mergeCell ref="B273:D273"/>
    <mergeCell ref="B284:D284"/>
    <mergeCell ref="B271:D271"/>
    <mergeCell ref="B247:D247"/>
    <mergeCell ref="B261:D261"/>
    <mergeCell ref="B259:D259"/>
    <mergeCell ref="B250:D250"/>
    <mergeCell ref="B265:D265"/>
    <mergeCell ref="B311:D311"/>
    <mergeCell ref="B303:C303"/>
    <mergeCell ref="B307:D307"/>
    <mergeCell ref="B308:D308"/>
    <mergeCell ref="B293:D293"/>
    <mergeCell ref="B264:D264"/>
    <mergeCell ref="B289:D289"/>
    <mergeCell ref="B274:D274"/>
    <mergeCell ref="B268:D268"/>
    <mergeCell ref="B292:D292"/>
    <mergeCell ref="B350:D350"/>
    <mergeCell ref="B351:D351"/>
    <mergeCell ref="B352:D352"/>
    <mergeCell ref="G314:J314"/>
    <mergeCell ref="B338:D338"/>
    <mergeCell ref="G338:H338"/>
    <mergeCell ref="B339:D339"/>
    <mergeCell ref="G339:J339"/>
    <mergeCell ref="B341:D341"/>
    <mergeCell ref="B342:D342"/>
    <mergeCell ref="B343:D343"/>
    <mergeCell ref="B346:D346"/>
    <mergeCell ref="B348:D348"/>
    <mergeCell ref="B349:D349"/>
    <mergeCell ref="B310:D310"/>
    <mergeCell ref="L110:S110"/>
    <mergeCell ref="B340:D340"/>
    <mergeCell ref="G145:H145"/>
    <mergeCell ref="I175:J175"/>
    <mergeCell ref="B302:C302"/>
    <mergeCell ref="I352:J352"/>
    <mergeCell ref="S10:S11"/>
    <mergeCell ref="L109:S109"/>
    <mergeCell ref="L105:S106"/>
    <mergeCell ref="P101:Q101"/>
    <mergeCell ref="P102:Q102"/>
    <mergeCell ref="G346:J346"/>
    <mergeCell ref="I143:J143"/>
    <mergeCell ref="I159:J159"/>
    <mergeCell ref="G169:J169"/>
    <mergeCell ref="B290:D290"/>
    <mergeCell ref="B291:D291"/>
    <mergeCell ref="B287:D287"/>
    <mergeCell ref="B281:D281"/>
    <mergeCell ref="L7:M7"/>
    <mergeCell ref="L8:M8"/>
    <mergeCell ref="M10:M11"/>
    <mergeCell ref="L44:S45"/>
    <mergeCell ref="R38:S38"/>
    <mergeCell ref="L38:Q38"/>
    <mergeCell ref="R8:S8"/>
    <mergeCell ref="R34:S34"/>
    <mergeCell ref="R40:S40"/>
    <mergeCell ref="L39:Q39"/>
    <mergeCell ref="L34:Q34"/>
    <mergeCell ref="R33:S33"/>
    <mergeCell ref="R32:S32"/>
    <mergeCell ref="R39:S39"/>
    <mergeCell ref="N10:N11"/>
    <mergeCell ref="R36:S36"/>
    <mergeCell ref="O10:O11"/>
    <mergeCell ref="L10:L11"/>
    <mergeCell ref="G86:H86"/>
    <mergeCell ref="G87:J87"/>
    <mergeCell ref="G51:J51"/>
    <mergeCell ref="L67:M67"/>
    <mergeCell ref="L63:S63"/>
    <mergeCell ref="L64:S64"/>
    <mergeCell ref="G28:J28"/>
    <mergeCell ref="R67:S67"/>
    <mergeCell ref="B72:D72"/>
    <mergeCell ref="B83:D83"/>
    <mergeCell ref="B87:D87"/>
    <mergeCell ref="B98:D98"/>
    <mergeCell ref="B78:D78"/>
    <mergeCell ref="B90:D90"/>
    <mergeCell ref="B94:D94"/>
    <mergeCell ref="B75:D75"/>
    <mergeCell ref="X128:X129"/>
    <mergeCell ref="V126:X126"/>
    <mergeCell ref="L112:S115"/>
    <mergeCell ref="M100:O100"/>
    <mergeCell ref="L107:S108"/>
    <mergeCell ref="W128:W129"/>
    <mergeCell ref="U124:X124"/>
    <mergeCell ref="M101:O101"/>
    <mergeCell ref="M102:O102"/>
    <mergeCell ref="P100:Q100"/>
    <mergeCell ref="V67:X67"/>
    <mergeCell ref="U128:U129"/>
    <mergeCell ref="V128:V129"/>
    <mergeCell ref="V66:X66"/>
    <mergeCell ref="V125:X125"/>
    <mergeCell ref="V69:V70"/>
    <mergeCell ref="W69:W70"/>
    <mergeCell ref="U121:X121"/>
    <mergeCell ref="U122:X122"/>
    <mergeCell ref="U123:X123"/>
    <mergeCell ref="U64:X64"/>
    <mergeCell ref="U65:X65"/>
    <mergeCell ref="W10:W11"/>
    <mergeCell ref="X10:X11"/>
    <mergeCell ref="I293:J293"/>
    <mergeCell ref="I277:J277"/>
    <mergeCell ref="G44:J44"/>
    <mergeCell ref="G71:J71"/>
    <mergeCell ref="I83:J83"/>
    <mergeCell ref="C64:J64"/>
    <mergeCell ref="I115:J115"/>
    <mergeCell ref="G137:J137"/>
    <mergeCell ref="I100:J100"/>
    <mergeCell ref="G110:J110"/>
    <mergeCell ref="I99:J99"/>
    <mergeCell ref="M76:M77"/>
    <mergeCell ref="G94:J94"/>
    <mergeCell ref="I84:J84"/>
    <mergeCell ref="G78:J78"/>
    <mergeCell ref="G263:H263"/>
    <mergeCell ref="G102:H102"/>
    <mergeCell ref="G130:J130"/>
    <mergeCell ref="I142:J142"/>
    <mergeCell ref="I116:J116"/>
    <mergeCell ref="G103:J103"/>
    <mergeCell ref="G247:H247"/>
    <mergeCell ref="I260:J260"/>
    <mergeCell ref="D126:J126"/>
    <mergeCell ref="B213:D213"/>
    <mergeCell ref="I351:J351"/>
    <mergeCell ref="B314:D314"/>
    <mergeCell ref="B316:D316"/>
    <mergeCell ref="B317:D317"/>
    <mergeCell ref="I319:J319"/>
    <mergeCell ref="I292:J292"/>
    <mergeCell ref="I320:J320"/>
    <mergeCell ref="G323:J323"/>
    <mergeCell ref="B322:D322"/>
    <mergeCell ref="B306:D306"/>
    <mergeCell ref="B332:D332"/>
    <mergeCell ref="I336:J336"/>
    <mergeCell ref="B326:D326"/>
    <mergeCell ref="B336:D336"/>
    <mergeCell ref="B333:D333"/>
    <mergeCell ref="B334:D334"/>
    <mergeCell ref="G330:J330"/>
    <mergeCell ref="B335:D335"/>
    <mergeCell ref="I335:J335"/>
    <mergeCell ref="B327:D327"/>
    <mergeCell ref="G212:J212"/>
    <mergeCell ref="B222:D222"/>
    <mergeCell ref="I218:J218"/>
    <mergeCell ref="G205:J205"/>
    <mergeCell ref="B200:D200"/>
    <mergeCell ref="B201:D201"/>
    <mergeCell ref="I202:J202"/>
    <mergeCell ref="B204:D204"/>
    <mergeCell ref="B202:D202"/>
    <mergeCell ref="B207:D207"/>
    <mergeCell ref="B275:D275"/>
    <mergeCell ref="I276:J276"/>
    <mergeCell ref="G280:J280"/>
    <mergeCell ref="B279:D279"/>
    <mergeCell ref="I217:J217"/>
    <mergeCell ref="I233:J233"/>
    <mergeCell ref="B267:D267"/>
    <mergeCell ref="B260:D260"/>
    <mergeCell ref="B257:D257"/>
    <mergeCell ref="B248:D248"/>
    <mergeCell ref="B325:D325"/>
    <mergeCell ref="B276:D276"/>
    <mergeCell ref="G322:H322"/>
    <mergeCell ref="B318:D318"/>
    <mergeCell ref="B323:D323"/>
    <mergeCell ref="B319:D319"/>
    <mergeCell ref="C298:J298"/>
    <mergeCell ref="G306:H306"/>
    <mergeCell ref="G287:J287"/>
    <mergeCell ref="B309:D309"/>
    <mergeCell ref="G307:J307"/>
    <mergeCell ref="B331:D331"/>
    <mergeCell ref="B251:D251"/>
    <mergeCell ref="C299:J299"/>
    <mergeCell ref="C300:J300"/>
    <mergeCell ref="C301:J301"/>
    <mergeCell ref="B315:D315"/>
    <mergeCell ref="G255:J255"/>
    <mergeCell ref="B280:D280"/>
    <mergeCell ref="B324:D324"/>
    <mergeCell ref="B288:D288"/>
    <mergeCell ref="B215:D215"/>
    <mergeCell ref="B249:D249"/>
    <mergeCell ref="B224:D224"/>
    <mergeCell ref="B234:D234"/>
    <mergeCell ref="B228:D228"/>
    <mergeCell ref="D244:J244"/>
    <mergeCell ref="B266:D266"/>
    <mergeCell ref="G271:J271"/>
    <mergeCell ref="B258:D258"/>
    <mergeCell ref="B347:D347"/>
    <mergeCell ref="D302:J302"/>
    <mergeCell ref="D303:J303"/>
    <mergeCell ref="B229:D229"/>
    <mergeCell ref="B256:D256"/>
    <mergeCell ref="G228:J228"/>
    <mergeCell ref="B244:C244"/>
    <mergeCell ref="B330:D330"/>
    <mergeCell ref="B320:D320"/>
    <mergeCell ref="I261:J261"/>
    <mergeCell ref="B105:D105"/>
    <mergeCell ref="B103:D103"/>
    <mergeCell ref="B149:D149"/>
    <mergeCell ref="C121:J121"/>
    <mergeCell ref="B104:D104"/>
    <mergeCell ref="I158:J158"/>
    <mergeCell ref="G153:J153"/>
    <mergeCell ref="B137:D137"/>
    <mergeCell ref="B141:D141"/>
    <mergeCell ref="B155:D155"/>
    <mergeCell ref="I201:J201"/>
    <mergeCell ref="C123:J123"/>
    <mergeCell ref="C124:J124"/>
    <mergeCell ref="B190:D190"/>
    <mergeCell ref="B129:D129"/>
    <mergeCell ref="B140:D140"/>
    <mergeCell ref="G196:J196"/>
    <mergeCell ref="B153:D153"/>
    <mergeCell ref="B161:D161"/>
    <mergeCell ref="B197:D197"/>
    <mergeCell ref="B100:D100"/>
    <mergeCell ref="B111:D111"/>
    <mergeCell ref="C241:J241"/>
    <mergeCell ref="C242:J242"/>
    <mergeCell ref="B154:D154"/>
    <mergeCell ref="C181:J181"/>
    <mergeCell ref="B209:D209"/>
    <mergeCell ref="G188:H188"/>
    <mergeCell ref="G204:H204"/>
    <mergeCell ref="D125:J125"/>
    <mergeCell ref="C3:J3"/>
    <mergeCell ref="C4:J4"/>
    <mergeCell ref="C5:J5"/>
    <mergeCell ref="C6:J6"/>
    <mergeCell ref="C62:J62"/>
    <mergeCell ref="C63:J63"/>
    <mergeCell ref="B36:D36"/>
    <mergeCell ref="I40:J40"/>
    <mergeCell ref="B56:D56"/>
    <mergeCell ref="B52:D52"/>
    <mergeCell ref="C239:J239"/>
    <mergeCell ref="C240:J240"/>
    <mergeCell ref="I234:J234"/>
    <mergeCell ref="D243:J243"/>
    <mergeCell ref="B243:C243"/>
    <mergeCell ref="B223:D223"/>
    <mergeCell ref="B230:D230"/>
    <mergeCell ref="B233:D233"/>
    <mergeCell ref="B225:D225"/>
    <mergeCell ref="U6:X6"/>
    <mergeCell ref="U62:X62"/>
    <mergeCell ref="U63:X63"/>
    <mergeCell ref="V7:X7"/>
    <mergeCell ref="V8:X8"/>
    <mergeCell ref="C122:J122"/>
    <mergeCell ref="B48:D48"/>
    <mergeCell ref="B51:D51"/>
    <mergeCell ref="I56:J56"/>
    <mergeCell ref="B110:D110"/>
    <mergeCell ref="X69:X70"/>
    <mergeCell ref="U69:U70"/>
    <mergeCell ref="L3:S3"/>
    <mergeCell ref="L4:S4"/>
    <mergeCell ref="L5:S5"/>
    <mergeCell ref="L6:S6"/>
    <mergeCell ref="L62:S62"/>
    <mergeCell ref="U3:X3"/>
    <mergeCell ref="U4:X4"/>
    <mergeCell ref="U5:X5"/>
  </mergeCells>
  <phoneticPr fontId="0" type="noConversion"/>
  <conditionalFormatting sqref="N73:N75 N30">
    <cfRule type="expression" dxfId="4" priority="40" stopIfTrue="1">
      <formula>$L$30="PARCELAS"</formula>
    </cfRule>
  </conditionalFormatting>
  <conditionalFormatting sqref="O76:S77 O70:S71">
    <cfRule type="expression" dxfId="3" priority="9" stopIfTrue="1">
      <formula>SIT_ATUAL&lt;&gt;"SIM"</formula>
    </cfRule>
  </conditionalFormatting>
  <conditionalFormatting sqref="O97:P97 R97 L70:S74">
    <cfRule type="expression" dxfId="2" priority="6" stopIfTrue="1">
      <formula>$L$12=""</formula>
    </cfRule>
  </conditionalFormatting>
  <conditionalFormatting sqref="L76:S77">
    <cfRule type="expression" dxfId="1" priority="5" stopIfTrue="1">
      <formula>PARC_DD = 0</formula>
    </cfRule>
  </conditionalFormatting>
  <conditionalFormatting sqref="P96:S97">
    <cfRule type="expression" dxfId="0" priority="1" stopIfTrue="1">
      <formula>PARC_DD=0</formula>
    </cfRule>
  </conditionalFormatting>
  <pageMargins left="1.1811023622047245" right="0.19685039370078741" top="0.19685039370078741" bottom="0.19685039370078741" header="0" footer="0"/>
  <pageSetup paperSize="9" orientation="portrait" blackAndWhite="1" r:id="rId1"/>
  <headerFooter alignWithMargins="0"/>
  <drawing r:id="rId2"/>
  <picture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FW28"/>
  <sheetViews>
    <sheetView showGridLines="0" topLeftCell="V1" workbookViewId="0">
      <pane ySplit="5" topLeftCell="A6" activePane="bottomLeft" state="frozen"/>
      <selection pane="bottomLeft" activeCell="AZ6" sqref="AZ6:AZ23"/>
    </sheetView>
  </sheetViews>
  <sheetFormatPr defaultRowHeight="12.75"/>
  <cols>
    <col min="1" max="1" width="1.42578125" style="20" customWidth="1"/>
    <col min="2" max="2" width="5.5703125" style="20" customWidth="1"/>
    <col min="3" max="3" width="10" style="20" customWidth="1"/>
    <col min="4" max="4" width="11.5703125" style="20" customWidth="1"/>
    <col min="5" max="7" width="10.7109375" style="20" customWidth="1"/>
    <col min="8" max="8" width="11.85546875" style="20" customWidth="1"/>
    <col min="9" max="9" width="10.7109375" style="20" customWidth="1"/>
    <col min="10" max="10" width="9" style="20" customWidth="1"/>
    <col min="11" max="11" width="9.42578125" style="20" customWidth="1"/>
    <col min="12" max="12" width="9.85546875" style="20" customWidth="1"/>
    <col min="13" max="13" width="10.85546875" style="20" customWidth="1"/>
    <col min="14" max="16" width="10.7109375" style="20" customWidth="1"/>
    <col min="17" max="17" width="5.7109375" style="20" customWidth="1"/>
    <col min="18" max="18" width="10.7109375" style="20" customWidth="1"/>
    <col min="19" max="19" width="5.7109375" style="20" customWidth="1"/>
    <col min="20" max="30" width="10.7109375" style="20" customWidth="1"/>
    <col min="31" max="31" width="7.140625" style="20" customWidth="1"/>
    <col min="32" max="33" width="8.140625" style="20" customWidth="1"/>
    <col min="34" max="34" width="1.85546875" style="20" customWidth="1"/>
    <col min="35" max="35" width="7.7109375" style="20" customWidth="1"/>
    <col min="36" max="36" width="10.7109375" style="20" customWidth="1"/>
    <col min="37" max="37" width="5.7109375" style="20" customWidth="1"/>
    <col min="38" max="39" width="10.7109375" style="20" customWidth="1"/>
    <col min="40" max="40" width="5.7109375" style="20" customWidth="1"/>
    <col min="41" max="41" width="10.7109375" style="20" customWidth="1"/>
    <col min="42" max="42" width="8.85546875" style="20" customWidth="1"/>
    <col min="43" max="43" width="5.7109375" style="20" customWidth="1"/>
    <col min="44" max="45" width="10.7109375" style="20" customWidth="1"/>
    <col min="46" max="46" width="5.7109375" style="20" customWidth="1"/>
    <col min="47" max="47" width="9.42578125" style="20" customWidth="1"/>
    <col min="48" max="48" width="8.7109375" style="20" customWidth="1"/>
    <col min="49" max="49" width="5.7109375" style="20" customWidth="1"/>
    <col min="50" max="50" width="8.85546875" style="20" customWidth="1"/>
    <col min="51" max="51" width="1.85546875" style="20" customWidth="1"/>
    <col min="52" max="54" width="3.7109375" style="20" customWidth="1"/>
    <col min="55" max="55" width="2" style="20" customWidth="1"/>
    <col min="56" max="57" width="6.140625" style="20" customWidth="1"/>
    <col min="58" max="58" width="10.7109375" style="20" customWidth="1"/>
    <col min="59" max="59" width="11.85546875" style="20" customWidth="1"/>
    <col min="60" max="60" width="10.7109375" style="20" customWidth="1"/>
    <col min="61" max="61" width="10.28515625" style="20" customWidth="1"/>
    <col min="62" max="62" width="9.140625" style="20" customWidth="1"/>
    <col min="63" max="63" width="9.42578125" style="20" customWidth="1"/>
    <col min="64" max="68" width="10.7109375" style="20" customWidth="1"/>
    <col min="69" max="69" width="8.140625" style="20" bestFit="1" customWidth="1"/>
    <col min="70" max="70" width="2" style="20" customWidth="1"/>
    <col min="71" max="71" width="6.28515625" style="20" bestFit="1" customWidth="1"/>
    <col min="72" max="72" width="10.7109375" style="20" customWidth="1"/>
    <col min="73" max="73" width="5.7109375" style="20" customWidth="1"/>
    <col min="74" max="75" width="10.7109375" style="20" customWidth="1"/>
    <col min="76" max="76" width="5.7109375" style="20" customWidth="1"/>
    <col min="77" max="78" width="10.7109375" style="20" customWidth="1"/>
    <col min="79" max="79" width="5.7109375" style="20" customWidth="1"/>
    <col min="80" max="81" width="10.7109375" style="20" customWidth="1"/>
    <col min="82" max="82" width="5.7109375" style="20" customWidth="1"/>
    <col min="83" max="84" width="10.7109375" style="20" customWidth="1"/>
    <col min="85" max="85" width="5.7109375" style="20" customWidth="1"/>
    <col min="86" max="86" width="10.7109375" style="20" customWidth="1"/>
    <col min="87" max="87" width="2" style="20" customWidth="1"/>
    <col min="88" max="89" width="6.140625" style="20" customWidth="1"/>
    <col min="90" max="90" width="10.7109375" style="20" customWidth="1"/>
    <col min="91" max="91" width="11.85546875" style="20" customWidth="1"/>
    <col min="92" max="94" width="10.7109375" style="20" customWidth="1"/>
    <col min="95" max="95" width="11.85546875" style="20" customWidth="1"/>
    <col min="96" max="97" width="10.7109375" style="20" customWidth="1"/>
    <col min="98" max="98" width="10.28515625" style="20" customWidth="1"/>
    <col min="99" max="99" width="9.85546875" style="20" customWidth="1"/>
    <col min="100" max="100" width="9.140625" style="20" customWidth="1"/>
    <col min="101" max="101" width="9.42578125" style="20" customWidth="1"/>
    <col min="102" max="102" width="9.140625" style="20" customWidth="1"/>
    <col min="103" max="103" width="9.42578125" style="20" customWidth="1"/>
    <col min="104" max="111" width="10.7109375" style="20" customWidth="1"/>
    <col min="112" max="112" width="10" style="20" customWidth="1"/>
    <col min="113" max="113" width="10.7109375" style="20" customWidth="1"/>
    <col min="114" max="114" width="2" style="20" customWidth="1"/>
    <col min="115" max="116" width="10.7109375" style="20" customWidth="1"/>
    <col min="117" max="117" width="5.7109375" style="20" customWidth="1"/>
    <col min="118" max="119" width="10.7109375" style="20" customWidth="1"/>
    <col min="120" max="120" width="5.7109375" style="20" customWidth="1"/>
    <col min="121" max="122" width="10.7109375" style="20" customWidth="1"/>
    <col min="123" max="123" width="5.7109375" style="20" customWidth="1"/>
    <col min="124" max="125" width="10.7109375" style="20" customWidth="1"/>
    <col min="126" max="126" width="5.7109375" style="20" customWidth="1"/>
    <col min="127" max="128" width="10.7109375" style="20" customWidth="1"/>
    <col min="129" max="129" width="5.7109375" style="20" customWidth="1"/>
    <col min="130" max="130" width="10.7109375" style="20" customWidth="1"/>
    <col min="131" max="131" width="2" style="20" customWidth="1"/>
    <col min="132" max="132" width="9.28515625" style="20" customWidth="1"/>
    <col min="133" max="133" width="9.28515625" style="20" bestFit="1" customWidth="1"/>
    <col min="134" max="134" width="9.7109375" style="20" customWidth="1"/>
    <col min="135" max="135" width="10" style="20" customWidth="1"/>
    <col min="136" max="136" width="11.140625" style="20" customWidth="1"/>
    <col min="137" max="137" width="2" style="20" customWidth="1"/>
    <col min="138" max="138" width="9.140625" style="20"/>
    <col min="139" max="139" width="6" style="20" customWidth="1"/>
    <col min="140" max="140" width="2.28515625" style="20" customWidth="1"/>
    <col min="141" max="141" width="7.28515625" style="20" customWidth="1"/>
    <col min="142" max="142" width="8.28515625" style="20" customWidth="1"/>
    <col min="143" max="143" width="9.140625" style="20"/>
    <col min="144" max="144" width="9.7109375" style="20" customWidth="1"/>
    <col min="145" max="145" width="8.85546875" style="20" customWidth="1"/>
    <col min="146" max="146" width="10.42578125" style="20" customWidth="1"/>
    <col min="147" max="148" width="9.140625" style="20"/>
    <col min="149" max="149" width="2" style="20" customWidth="1"/>
    <col min="150" max="150" width="50.140625" style="20" customWidth="1"/>
    <col min="151" max="151" width="8.7109375" style="20" bestFit="1" customWidth="1"/>
    <col min="152" max="152" width="9.85546875" style="20" bestFit="1" customWidth="1"/>
    <col min="153" max="153" width="2" style="20" customWidth="1"/>
    <col min="154" max="154" width="9.140625" style="20"/>
    <col min="155" max="155" width="6.5703125" style="20" customWidth="1"/>
    <col min="156" max="156" width="2" style="20" customWidth="1"/>
    <col min="157" max="157" width="10.42578125" style="20" customWidth="1"/>
    <col min="158" max="158" width="9.42578125" style="20" customWidth="1"/>
    <col min="159" max="159" width="8.7109375" style="20" customWidth="1"/>
    <col min="160" max="160" width="9.7109375" style="20" customWidth="1"/>
    <col min="161" max="161" width="8.85546875" style="20" customWidth="1"/>
    <col min="162" max="162" width="10.42578125" style="20" customWidth="1"/>
    <col min="163" max="164" width="9.140625" style="20"/>
    <col min="165" max="165" width="2.140625" style="20" customWidth="1"/>
    <col min="166" max="166" width="28.28515625" style="20" bestFit="1" customWidth="1"/>
    <col min="167" max="167" width="9.28515625" style="20" customWidth="1"/>
    <col min="168" max="168" width="9.42578125" style="20" bestFit="1" customWidth="1"/>
    <col min="169" max="169" width="2.140625" style="20" customWidth="1"/>
    <col min="170" max="170" width="8.28515625" style="20" bestFit="1" customWidth="1"/>
    <col min="171" max="171" width="8.7109375" style="20" bestFit="1" customWidth="1"/>
    <col min="172" max="172" width="10.28515625" style="20" customWidth="1"/>
    <col min="173" max="173" width="11.28515625" style="20" customWidth="1"/>
    <col min="174" max="174" width="10.5703125" style="20" customWidth="1"/>
    <col min="175" max="175" width="10.140625" style="20" bestFit="1" customWidth="1"/>
    <col min="176" max="176" width="11.28515625" style="20" customWidth="1"/>
    <col min="177" max="177" width="12" style="20" customWidth="1"/>
    <col min="178" max="178" width="7.140625" style="20" customWidth="1"/>
    <col min="179" max="179" width="7.28515625" style="20" customWidth="1"/>
    <col min="180" max="180" width="2.140625" style="20" customWidth="1"/>
    <col min="181" max="16384" width="9.140625" style="20"/>
  </cols>
  <sheetData>
    <row r="1" spans="2:179" ht="9.9499999999999993" customHeight="1">
      <c r="FW1" s="343"/>
    </row>
    <row r="2" spans="2:179" ht="18" customHeight="1">
      <c r="B2" s="200" t="s">
        <v>180</v>
      </c>
      <c r="C2" s="201"/>
      <c r="D2" s="202"/>
      <c r="E2" s="202"/>
      <c r="F2" s="202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202"/>
      <c r="S2" s="202"/>
      <c r="T2" s="202"/>
      <c r="U2" s="202"/>
      <c r="V2" s="202"/>
      <c r="W2" s="202"/>
      <c r="X2" s="202"/>
      <c r="Y2" s="202"/>
      <c r="Z2" s="202"/>
      <c r="AA2" s="202"/>
      <c r="AB2" s="202"/>
      <c r="AC2" s="202"/>
      <c r="AD2" s="202"/>
      <c r="AE2" s="202"/>
      <c r="AF2" s="201"/>
      <c r="AG2" s="203"/>
      <c r="AI2" s="520" t="s">
        <v>85</v>
      </c>
      <c r="AJ2" s="521"/>
      <c r="AK2" s="521"/>
      <c r="AL2" s="521"/>
      <c r="AM2" s="521"/>
      <c r="AN2" s="521"/>
      <c r="AO2" s="521"/>
      <c r="AP2" s="521"/>
      <c r="AQ2" s="521"/>
      <c r="AR2" s="521"/>
      <c r="AS2" s="521"/>
      <c r="AT2" s="521"/>
      <c r="AU2" s="521"/>
      <c r="AV2" s="521"/>
      <c r="AW2" s="521"/>
      <c r="AX2" s="522"/>
      <c r="AZ2" s="517" t="s">
        <v>93</v>
      </c>
      <c r="BA2" s="517" t="s">
        <v>132</v>
      </c>
      <c r="BB2" s="517" t="s">
        <v>190</v>
      </c>
      <c r="BD2" s="200" t="s">
        <v>189</v>
      </c>
      <c r="BE2" s="201"/>
      <c r="BF2" s="213"/>
      <c r="BG2" s="213"/>
      <c r="BH2" s="213"/>
      <c r="BI2" s="213"/>
      <c r="BJ2" s="213"/>
      <c r="BK2" s="213"/>
      <c r="BL2" s="213"/>
      <c r="BM2" s="213"/>
      <c r="BN2" s="213"/>
      <c r="BO2" s="213"/>
      <c r="BP2" s="213"/>
      <c r="BQ2" s="214"/>
      <c r="BS2" s="520" t="s">
        <v>85</v>
      </c>
      <c r="BT2" s="521"/>
      <c r="BU2" s="521"/>
      <c r="BV2" s="521"/>
      <c r="BW2" s="521"/>
      <c r="BX2" s="521"/>
      <c r="BY2" s="521"/>
      <c r="BZ2" s="521"/>
      <c r="CA2" s="521"/>
      <c r="CB2" s="521"/>
      <c r="CC2" s="521"/>
      <c r="CD2" s="521"/>
      <c r="CE2" s="521"/>
      <c r="CF2" s="521"/>
      <c r="CG2" s="521"/>
      <c r="CH2" s="522"/>
      <c r="CJ2" s="200" t="s">
        <v>182</v>
      </c>
      <c r="CK2" s="201"/>
      <c r="CL2" s="213"/>
      <c r="CM2" s="213"/>
      <c r="CN2" s="213"/>
      <c r="CO2" s="213"/>
      <c r="CP2" s="213"/>
      <c r="CQ2" s="213"/>
      <c r="CR2" s="213"/>
      <c r="CS2" s="213"/>
      <c r="CT2" s="213"/>
      <c r="CU2" s="213"/>
      <c r="CV2" s="213"/>
      <c r="CW2" s="213"/>
      <c r="CX2" s="213"/>
      <c r="CY2" s="213"/>
      <c r="CZ2" s="213"/>
      <c r="DA2" s="213"/>
      <c r="DB2" s="213"/>
      <c r="DC2" s="213"/>
      <c r="DD2" s="213"/>
      <c r="DE2" s="213"/>
      <c r="DF2" s="213"/>
      <c r="DG2" s="213"/>
      <c r="DH2" s="213"/>
      <c r="DI2" s="214"/>
      <c r="DK2" s="520" t="s">
        <v>85</v>
      </c>
      <c r="DL2" s="521"/>
      <c r="DM2" s="521"/>
      <c r="DN2" s="521"/>
      <c r="DO2" s="521"/>
      <c r="DP2" s="521"/>
      <c r="DQ2" s="521"/>
      <c r="DR2" s="521"/>
      <c r="DS2" s="521"/>
      <c r="DT2" s="521"/>
      <c r="DU2" s="521"/>
      <c r="DV2" s="521"/>
      <c r="DW2" s="521"/>
      <c r="DX2" s="521"/>
      <c r="DY2" s="521"/>
      <c r="DZ2" s="522"/>
      <c r="EB2" s="215"/>
      <c r="EC2" s="213"/>
      <c r="ED2" s="213"/>
      <c r="EE2" s="213"/>
      <c r="EF2" s="214"/>
      <c r="EH2" s="507" t="s">
        <v>92</v>
      </c>
      <c r="EI2" s="508"/>
      <c r="EK2" s="513" t="s">
        <v>92</v>
      </c>
      <c r="EL2" s="513"/>
      <c r="EM2" s="513"/>
      <c r="EN2" s="513"/>
      <c r="EO2" s="513"/>
      <c r="EP2" s="513"/>
      <c r="EQ2" s="513"/>
      <c r="ER2" s="513"/>
      <c r="ET2" s="335" t="s">
        <v>204</v>
      </c>
      <c r="EU2" s="217">
        <f>IF(DAT_DIST1="","",LOOKUP(DAT_DIST1,tabelas!CQ:CQ,tabelas!CR:CR))</f>
        <v>2.835700000000001</v>
      </c>
      <c r="EV2" s="167" t="s">
        <v>307</v>
      </c>
      <c r="EX2" s="507" t="s">
        <v>128</v>
      </c>
      <c r="EY2" s="508"/>
      <c r="FA2" s="513" t="s">
        <v>99</v>
      </c>
      <c r="FB2" s="513"/>
      <c r="FC2" s="513"/>
      <c r="FD2" s="513"/>
      <c r="FE2" s="513"/>
      <c r="FF2" s="513"/>
      <c r="FG2" s="513"/>
      <c r="FH2" s="513"/>
      <c r="FJ2" s="335" t="s">
        <v>205</v>
      </c>
      <c r="FK2" s="339">
        <f ca="1">+LOOKUP(DAT_FIM,tabelas!CN:CN,tabelas!CO:CO)</f>
        <v>1</v>
      </c>
      <c r="FL2" s="167" t="s">
        <v>304</v>
      </c>
      <c r="FN2" s="531" t="s">
        <v>113</v>
      </c>
      <c r="FO2" s="531"/>
      <c r="FP2" s="531"/>
      <c r="FQ2" s="531"/>
      <c r="FR2" s="531"/>
      <c r="FS2" s="531"/>
      <c r="FT2" s="531"/>
      <c r="FU2" s="531"/>
      <c r="FW2" s="344" t="s">
        <v>174</v>
      </c>
    </row>
    <row r="3" spans="2:179" ht="18" customHeight="1">
      <c r="B3" s="529" t="s">
        <v>170</v>
      </c>
      <c r="C3" s="529" t="s">
        <v>54</v>
      </c>
      <c r="D3" s="504" t="s">
        <v>82</v>
      </c>
      <c r="E3" s="504"/>
      <c r="F3" s="504"/>
      <c r="G3" s="504"/>
      <c r="H3" s="504"/>
      <c r="I3" s="504" t="s">
        <v>172</v>
      </c>
      <c r="J3" s="504"/>
      <c r="K3" s="504"/>
      <c r="L3" s="504"/>
      <c r="M3" s="504"/>
      <c r="N3" s="504"/>
      <c r="O3" s="524" t="s">
        <v>76</v>
      </c>
      <c r="P3" s="525"/>
      <c r="Q3" s="513" t="s">
        <v>137</v>
      </c>
      <c r="R3" s="513"/>
      <c r="S3" s="513"/>
      <c r="T3" s="513"/>
      <c r="U3" s="526" t="s">
        <v>83</v>
      </c>
      <c r="V3" s="511" t="s">
        <v>168</v>
      </c>
      <c r="W3" s="528"/>
      <c r="X3" s="512"/>
      <c r="Y3" s="505" t="s">
        <v>178</v>
      </c>
      <c r="Z3" s="511" t="s">
        <v>39</v>
      </c>
      <c r="AA3" s="528"/>
      <c r="AB3" s="528"/>
      <c r="AC3" s="528"/>
      <c r="AD3" s="512"/>
      <c r="AE3" s="526" t="s">
        <v>38</v>
      </c>
      <c r="AF3" s="527" t="s">
        <v>171</v>
      </c>
      <c r="AG3" s="527" t="s">
        <v>187</v>
      </c>
      <c r="AI3" s="523" t="s">
        <v>27</v>
      </c>
      <c r="AJ3" s="514" t="s">
        <v>9</v>
      </c>
      <c r="AK3" s="515"/>
      <c r="AL3" s="516"/>
      <c r="AM3" s="514" t="s">
        <v>10</v>
      </c>
      <c r="AN3" s="515">
        <v>0.15</v>
      </c>
      <c r="AO3" s="516"/>
      <c r="AP3" s="514" t="s">
        <v>11</v>
      </c>
      <c r="AQ3" s="515"/>
      <c r="AR3" s="516"/>
      <c r="AS3" s="514" t="s">
        <v>13</v>
      </c>
      <c r="AT3" s="515"/>
      <c r="AU3" s="516"/>
      <c r="AV3" s="514" t="s">
        <v>26</v>
      </c>
      <c r="AW3" s="515"/>
      <c r="AX3" s="516"/>
      <c r="AZ3" s="518"/>
      <c r="BA3" s="518"/>
      <c r="BB3" s="518"/>
      <c r="BD3" s="523" t="s">
        <v>188</v>
      </c>
      <c r="BE3" s="523" t="s">
        <v>167</v>
      </c>
      <c r="BF3" s="505" t="s">
        <v>54</v>
      </c>
      <c r="BG3" s="526" t="s">
        <v>82</v>
      </c>
      <c r="BH3" s="537" t="s">
        <v>141</v>
      </c>
      <c r="BI3" s="537" t="s">
        <v>76</v>
      </c>
      <c r="BJ3" s="513" t="s">
        <v>137</v>
      </c>
      <c r="BK3" s="513"/>
      <c r="BL3" s="504" t="s">
        <v>83</v>
      </c>
      <c r="BM3" s="526" t="s">
        <v>227</v>
      </c>
      <c r="BN3" s="537" t="s">
        <v>168</v>
      </c>
      <c r="BO3" s="504" t="s">
        <v>84</v>
      </c>
      <c r="BP3" s="511" t="s">
        <v>39</v>
      </c>
      <c r="BQ3" s="512"/>
      <c r="BS3" s="523" t="s">
        <v>27</v>
      </c>
      <c r="BT3" s="514" t="s">
        <v>9</v>
      </c>
      <c r="BU3" s="515"/>
      <c r="BV3" s="516"/>
      <c r="BW3" s="514" t="s">
        <v>10</v>
      </c>
      <c r="BX3" s="515">
        <v>0.15</v>
      </c>
      <c r="BY3" s="516"/>
      <c r="BZ3" s="514" t="s">
        <v>11</v>
      </c>
      <c r="CA3" s="515"/>
      <c r="CB3" s="516"/>
      <c r="CC3" s="514" t="s">
        <v>13</v>
      </c>
      <c r="CD3" s="515"/>
      <c r="CE3" s="516"/>
      <c r="CF3" s="514" t="s">
        <v>26</v>
      </c>
      <c r="CG3" s="515"/>
      <c r="CH3" s="516"/>
      <c r="CJ3" s="523" t="s">
        <v>167</v>
      </c>
      <c r="CK3" s="523" t="s">
        <v>167</v>
      </c>
      <c r="CL3" s="505" t="s">
        <v>54</v>
      </c>
      <c r="CM3" s="504" t="s">
        <v>82</v>
      </c>
      <c r="CN3" s="504"/>
      <c r="CO3" s="504"/>
      <c r="CP3" s="504"/>
      <c r="CQ3" s="504"/>
      <c r="CR3" s="537" t="s">
        <v>141</v>
      </c>
      <c r="CS3" s="539"/>
      <c r="CT3" s="524" t="s">
        <v>76</v>
      </c>
      <c r="CU3" s="525"/>
      <c r="CV3" s="513" t="s">
        <v>137</v>
      </c>
      <c r="CW3" s="513"/>
      <c r="CX3" s="513"/>
      <c r="CY3" s="513"/>
      <c r="CZ3" s="504" t="s">
        <v>83</v>
      </c>
      <c r="DA3" s="504" t="s">
        <v>227</v>
      </c>
      <c r="DB3" s="511" t="s">
        <v>168</v>
      </c>
      <c r="DC3" s="512"/>
      <c r="DD3" s="504" t="s">
        <v>84</v>
      </c>
      <c r="DE3" s="513" t="s">
        <v>39</v>
      </c>
      <c r="DF3" s="513"/>
      <c r="DG3" s="513"/>
      <c r="DH3" s="513"/>
      <c r="DI3" s="513"/>
      <c r="DK3" s="523" t="s">
        <v>27</v>
      </c>
      <c r="DL3" s="514" t="s">
        <v>9</v>
      </c>
      <c r="DM3" s="515"/>
      <c r="DN3" s="516"/>
      <c r="DO3" s="514" t="s">
        <v>10</v>
      </c>
      <c r="DP3" s="515">
        <v>0.15</v>
      </c>
      <c r="DQ3" s="516"/>
      <c r="DR3" s="514" t="s">
        <v>11</v>
      </c>
      <c r="DS3" s="515"/>
      <c r="DT3" s="516"/>
      <c r="DU3" s="514" t="s">
        <v>13</v>
      </c>
      <c r="DV3" s="515"/>
      <c r="DW3" s="516"/>
      <c r="DX3" s="514" t="s">
        <v>26</v>
      </c>
      <c r="DY3" s="515"/>
      <c r="DZ3" s="516"/>
      <c r="EB3" s="523" t="s">
        <v>181</v>
      </c>
      <c r="EC3" s="523" t="s">
        <v>169</v>
      </c>
      <c r="ED3" s="506" t="s">
        <v>143</v>
      </c>
      <c r="EE3" s="506" t="s">
        <v>144</v>
      </c>
      <c r="EF3" s="506" t="s">
        <v>183</v>
      </c>
      <c r="EH3" s="509"/>
      <c r="EI3" s="510"/>
      <c r="EK3" s="513" t="s">
        <v>95</v>
      </c>
      <c r="EL3" s="513" t="s">
        <v>16</v>
      </c>
      <c r="EM3" s="513" t="s">
        <v>15</v>
      </c>
      <c r="EN3" s="507" t="s">
        <v>71</v>
      </c>
      <c r="EO3" s="508"/>
      <c r="EP3" s="507" t="s">
        <v>72</v>
      </c>
      <c r="EQ3" s="508"/>
      <c r="ER3" s="513" t="s">
        <v>98</v>
      </c>
      <c r="ET3" s="335" t="s">
        <v>203</v>
      </c>
      <c r="EU3" s="246">
        <f>+COD_JCM</f>
        <v>1</v>
      </c>
      <c r="EX3" s="509"/>
      <c r="EY3" s="510"/>
      <c r="FA3" s="513" t="s">
        <v>95</v>
      </c>
      <c r="FB3" s="513" t="s">
        <v>16</v>
      </c>
      <c r="FC3" s="513" t="s">
        <v>15</v>
      </c>
      <c r="FD3" s="507" t="s">
        <v>71</v>
      </c>
      <c r="FE3" s="508"/>
      <c r="FF3" s="507" t="s">
        <v>72</v>
      </c>
      <c r="FG3" s="508"/>
      <c r="FH3" s="513" t="s">
        <v>98</v>
      </c>
      <c r="FJ3" s="335" t="s">
        <v>206</v>
      </c>
      <c r="FK3" s="338">
        <f ca="1">+IF(ISNA(MATCH(DAT_FIM,tabelas!CQ:CQ,0)),0,LOOKUP(DAT_FIM,tabelas!CQ:CQ,tabelas!CR:CR))</f>
        <v>1.09E-2</v>
      </c>
      <c r="FL3" s="167" t="s">
        <v>305</v>
      </c>
      <c r="FN3" s="332" t="s">
        <v>303</v>
      </c>
      <c r="FO3" s="332" t="s">
        <v>16</v>
      </c>
      <c r="FP3" s="332" t="s">
        <v>15</v>
      </c>
      <c r="FQ3" s="332" t="s">
        <v>49</v>
      </c>
      <c r="FR3" s="332" t="s">
        <v>15</v>
      </c>
      <c r="FS3" s="332" t="s">
        <v>44</v>
      </c>
      <c r="FT3" s="332" t="s">
        <v>15</v>
      </c>
      <c r="FU3" s="332" t="s">
        <v>118</v>
      </c>
      <c r="FW3" s="345" t="s">
        <v>184</v>
      </c>
    </row>
    <row r="4" spans="2:179" ht="18" customHeight="1">
      <c r="B4" s="529"/>
      <c r="C4" s="529"/>
      <c r="D4" s="526" t="s">
        <v>173</v>
      </c>
      <c r="E4" s="509" t="s">
        <v>136</v>
      </c>
      <c r="F4" s="530"/>
      <c r="G4" s="510"/>
      <c r="H4" s="526" t="s">
        <v>174</v>
      </c>
      <c r="I4" s="526" t="s">
        <v>176</v>
      </c>
      <c r="J4" s="524" t="s">
        <v>133</v>
      </c>
      <c r="K4" s="541"/>
      <c r="L4" s="525"/>
      <c r="M4" s="524" t="s">
        <v>175</v>
      </c>
      <c r="N4" s="525"/>
      <c r="O4" s="526" t="s">
        <v>173</v>
      </c>
      <c r="P4" s="526" t="s">
        <v>174</v>
      </c>
      <c r="Q4" s="511" t="s">
        <v>173</v>
      </c>
      <c r="R4" s="512"/>
      <c r="S4" s="511" t="s">
        <v>174</v>
      </c>
      <c r="T4" s="512"/>
      <c r="U4" s="529"/>
      <c r="V4" s="505" t="s">
        <v>226</v>
      </c>
      <c r="W4" s="505" t="s">
        <v>173</v>
      </c>
      <c r="X4" s="505" t="s">
        <v>174</v>
      </c>
      <c r="Y4" s="523"/>
      <c r="Z4" s="507" t="s">
        <v>173</v>
      </c>
      <c r="AA4" s="536"/>
      <c r="AB4" s="508"/>
      <c r="AC4" s="513" t="s">
        <v>179</v>
      </c>
      <c r="AD4" s="513"/>
      <c r="AE4" s="529"/>
      <c r="AF4" s="527"/>
      <c r="AG4" s="527"/>
      <c r="AI4" s="523"/>
      <c r="AJ4" s="204"/>
      <c r="AK4" s="205"/>
      <c r="AL4" s="206"/>
      <c r="AM4" s="204"/>
      <c r="AN4" s="205"/>
      <c r="AO4" s="206"/>
      <c r="AP4" s="207"/>
      <c r="AQ4" s="208"/>
      <c r="AR4" s="209"/>
      <c r="AS4" s="207"/>
      <c r="AT4" s="208"/>
      <c r="AU4" s="209"/>
      <c r="AV4" s="207"/>
      <c r="AW4" s="208"/>
      <c r="AX4" s="209"/>
      <c r="AZ4" s="518"/>
      <c r="BA4" s="518"/>
      <c r="BB4" s="518"/>
      <c r="BD4" s="523"/>
      <c r="BE4" s="523"/>
      <c r="BF4" s="523"/>
      <c r="BG4" s="527"/>
      <c r="BH4" s="538"/>
      <c r="BI4" s="538"/>
      <c r="BJ4" s="511" t="s">
        <v>173</v>
      </c>
      <c r="BK4" s="512"/>
      <c r="BL4" s="504"/>
      <c r="BM4" s="529"/>
      <c r="BN4" s="538"/>
      <c r="BO4" s="504"/>
      <c r="BP4" s="511" t="s">
        <v>173</v>
      </c>
      <c r="BQ4" s="512"/>
      <c r="BS4" s="523"/>
      <c r="BT4" s="204"/>
      <c r="BU4" s="205"/>
      <c r="BV4" s="206"/>
      <c r="BW4" s="204"/>
      <c r="BX4" s="205"/>
      <c r="BY4" s="206"/>
      <c r="BZ4" s="207"/>
      <c r="CA4" s="208"/>
      <c r="CB4" s="209"/>
      <c r="CC4" s="207"/>
      <c r="CD4" s="208"/>
      <c r="CE4" s="209"/>
      <c r="CF4" s="207"/>
      <c r="CG4" s="208"/>
      <c r="CH4" s="209"/>
      <c r="CJ4" s="523"/>
      <c r="CK4" s="523"/>
      <c r="CL4" s="523"/>
      <c r="CM4" s="526" t="s">
        <v>173</v>
      </c>
      <c r="CN4" s="509" t="s">
        <v>136</v>
      </c>
      <c r="CO4" s="530"/>
      <c r="CP4" s="510"/>
      <c r="CQ4" s="526" t="s">
        <v>174</v>
      </c>
      <c r="CR4" s="538"/>
      <c r="CS4" s="540"/>
      <c r="CT4" s="526" t="s">
        <v>173</v>
      </c>
      <c r="CU4" s="526" t="s">
        <v>174</v>
      </c>
      <c r="CV4" s="511" t="s">
        <v>173</v>
      </c>
      <c r="CW4" s="512"/>
      <c r="CX4" s="511" t="s">
        <v>174</v>
      </c>
      <c r="CY4" s="512"/>
      <c r="CZ4" s="504"/>
      <c r="DA4" s="504"/>
      <c r="DB4" s="505" t="s">
        <v>173</v>
      </c>
      <c r="DC4" s="505" t="s">
        <v>174</v>
      </c>
      <c r="DD4" s="504"/>
      <c r="DE4" s="513" t="s">
        <v>173</v>
      </c>
      <c r="DF4" s="513"/>
      <c r="DG4" s="513"/>
      <c r="DH4" s="513" t="s">
        <v>179</v>
      </c>
      <c r="DI4" s="513"/>
      <c r="DK4" s="523"/>
      <c r="DL4" s="204"/>
      <c r="DM4" s="205"/>
      <c r="DN4" s="206"/>
      <c r="DO4" s="204"/>
      <c r="DP4" s="205"/>
      <c r="DQ4" s="206"/>
      <c r="DR4" s="207"/>
      <c r="DS4" s="208"/>
      <c r="DT4" s="209"/>
      <c r="DU4" s="207"/>
      <c r="DV4" s="208"/>
      <c r="DW4" s="209"/>
      <c r="DX4" s="207"/>
      <c r="DY4" s="208"/>
      <c r="DZ4" s="209"/>
      <c r="EB4" s="523"/>
      <c r="EC4" s="523"/>
      <c r="ED4" s="513"/>
      <c r="EE4" s="513"/>
      <c r="EF4" s="513"/>
      <c r="EH4" s="505" t="s">
        <v>96</v>
      </c>
      <c r="EI4" s="505" t="s">
        <v>97</v>
      </c>
      <c r="EK4" s="513"/>
      <c r="EL4" s="513"/>
      <c r="EM4" s="513"/>
      <c r="EN4" s="509"/>
      <c r="EO4" s="510"/>
      <c r="EP4" s="509"/>
      <c r="EQ4" s="510"/>
      <c r="ER4" s="513"/>
      <c r="ET4" s="335" t="s">
        <v>202</v>
      </c>
      <c r="EU4" s="217">
        <f>+LOOKUP(EDATE(DAT_DIST1,1),tabelas!CN:CN,tabelas!CO:CO)</f>
        <v>1</v>
      </c>
      <c r="EV4" s="167" t="s">
        <v>308</v>
      </c>
      <c r="EX4" s="505" t="s">
        <v>96</v>
      </c>
      <c r="EY4" s="505" t="s">
        <v>97</v>
      </c>
      <c r="FA4" s="513"/>
      <c r="FB4" s="513"/>
      <c r="FC4" s="513"/>
      <c r="FD4" s="509"/>
      <c r="FE4" s="510"/>
      <c r="FF4" s="509"/>
      <c r="FG4" s="510"/>
      <c r="FH4" s="513"/>
      <c r="FJ4" s="335" t="s">
        <v>216</v>
      </c>
      <c r="FK4" s="246">
        <f>COUNTIF(FA6:FA23,"&gt;0")</f>
        <v>2</v>
      </c>
      <c r="FL4" s="167" t="s">
        <v>306</v>
      </c>
      <c r="FN4" s="38" t="s">
        <v>145</v>
      </c>
      <c r="FO4" s="327" t="str">
        <f>+IF(LIMITA_AJUIZ="SIM",DAT_DIST1,"")</f>
        <v/>
      </c>
      <c r="FP4" s="218" t="str">
        <f>+IF(FO4&lt;&gt;"",EU16,"")</f>
        <v/>
      </c>
      <c r="FQ4" s="339">
        <f ca="1">+IF(DAT_DIST1="","",LOOKUP(DAT_DIST1,tabelas!CN:CN,tabelas!CO:CO)/IND_CM_FIM)</f>
        <v>1</v>
      </c>
      <c r="FR4" s="218" t="str">
        <f>+IF(FO4="","",ROUND(FP4*FQ4,2))</f>
        <v/>
      </c>
      <c r="FS4" s="338">
        <f ca="1">+IF(DAT_DIST1="","",LOOKUP(DAT_DIST1,tabelas!CQ:CQ,tabelas!CR:CR)-IND_JR_FIM)</f>
        <v>2.8248000000000011</v>
      </c>
      <c r="FT4" s="218" t="str">
        <f>+IF(FO4="","",ROUND(FR4*FS4,2))</f>
        <v/>
      </c>
      <c r="FU4" s="218" t="str">
        <f>+IF(FO4="","",FR4+FT4)</f>
        <v/>
      </c>
      <c r="FW4" s="344" t="s">
        <v>185</v>
      </c>
    </row>
    <row r="5" spans="2:179" ht="18" customHeight="1">
      <c r="B5" s="527"/>
      <c r="C5" s="527"/>
      <c r="D5" s="527"/>
      <c r="E5" s="199" t="s">
        <v>134</v>
      </c>
      <c r="F5" s="199" t="s">
        <v>135</v>
      </c>
      <c r="G5" s="199" t="s">
        <v>118</v>
      </c>
      <c r="H5" s="527"/>
      <c r="I5" s="527"/>
      <c r="J5" s="198" t="s">
        <v>33</v>
      </c>
      <c r="K5" s="198" t="s">
        <v>173</v>
      </c>
      <c r="L5" s="198" t="s">
        <v>174</v>
      </c>
      <c r="M5" s="198" t="s">
        <v>173</v>
      </c>
      <c r="N5" s="198" t="s">
        <v>174</v>
      </c>
      <c r="O5" s="527"/>
      <c r="P5" s="527"/>
      <c r="Q5" s="199" t="s">
        <v>177</v>
      </c>
      <c r="R5" s="199" t="s">
        <v>6</v>
      </c>
      <c r="S5" s="199" t="s">
        <v>177</v>
      </c>
      <c r="T5" s="199" t="s">
        <v>6</v>
      </c>
      <c r="U5" s="527"/>
      <c r="V5" s="506"/>
      <c r="W5" s="506"/>
      <c r="X5" s="506"/>
      <c r="Y5" s="506"/>
      <c r="Z5" s="199" t="s">
        <v>139</v>
      </c>
      <c r="AA5" s="199" t="s">
        <v>140</v>
      </c>
      <c r="AB5" s="198" t="s">
        <v>27</v>
      </c>
      <c r="AC5" s="199" t="s">
        <v>140</v>
      </c>
      <c r="AD5" s="198" t="s">
        <v>27</v>
      </c>
      <c r="AE5" s="527"/>
      <c r="AF5" s="504"/>
      <c r="AG5" s="504"/>
      <c r="AI5" s="506"/>
      <c r="AJ5" s="210" t="s">
        <v>7</v>
      </c>
      <c r="AK5" s="211" t="s">
        <v>8</v>
      </c>
      <c r="AL5" s="212" t="s">
        <v>6</v>
      </c>
      <c r="AM5" s="210" t="s">
        <v>7</v>
      </c>
      <c r="AN5" s="211" t="s">
        <v>8</v>
      </c>
      <c r="AO5" s="212" t="s">
        <v>6</v>
      </c>
      <c r="AP5" s="210" t="s">
        <v>7</v>
      </c>
      <c r="AQ5" s="211" t="s">
        <v>8</v>
      </c>
      <c r="AR5" s="212" t="s">
        <v>6</v>
      </c>
      <c r="AS5" s="210" t="s">
        <v>7</v>
      </c>
      <c r="AT5" s="211" t="s">
        <v>8</v>
      </c>
      <c r="AU5" s="212" t="s">
        <v>6</v>
      </c>
      <c r="AV5" s="210" t="s">
        <v>7</v>
      </c>
      <c r="AW5" s="211" t="s">
        <v>8</v>
      </c>
      <c r="AX5" s="212" t="s">
        <v>6</v>
      </c>
      <c r="AZ5" s="519"/>
      <c r="BA5" s="519"/>
      <c r="BB5" s="519"/>
      <c r="BD5" s="506"/>
      <c r="BE5" s="506"/>
      <c r="BF5" s="506"/>
      <c r="BG5" s="198" t="s">
        <v>173</v>
      </c>
      <c r="BH5" s="198" t="s">
        <v>173</v>
      </c>
      <c r="BI5" s="198" t="s">
        <v>173</v>
      </c>
      <c r="BJ5" s="199" t="s">
        <v>177</v>
      </c>
      <c r="BK5" s="199" t="s">
        <v>6</v>
      </c>
      <c r="BL5" s="504"/>
      <c r="BM5" s="527"/>
      <c r="BN5" s="198" t="s">
        <v>173</v>
      </c>
      <c r="BO5" s="504"/>
      <c r="BP5" s="199" t="s">
        <v>140</v>
      </c>
      <c r="BQ5" s="198" t="s">
        <v>27</v>
      </c>
      <c r="BS5" s="506"/>
      <c r="BT5" s="210" t="s">
        <v>7</v>
      </c>
      <c r="BU5" s="211" t="s">
        <v>8</v>
      </c>
      <c r="BV5" s="212" t="s">
        <v>6</v>
      </c>
      <c r="BW5" s="210" t="s">
        <v>7</v>
      </c>
      <c r="BX5" s="211" t="s">
        <v>8</v>
      </c>
      <c r="BY5" s="212" t="s">
        <v>6</v>
      </c>
      <c r="BZ5" s="210" t="s">
        <v>7</v>
      </c>
      <c r="CA5" s="211" t="s">
        <v>8</v>
      </c>
      <c r="CB5" s="212" t="s">
        <v>6</v>
      </c>
      <c r="CC5" s="210" t="s">
        <v>7</v>
      </c>
      <c r="CD5" s="211" t="s">
        <v>8</v>
      </c>
      <c r="CE5" s="212" t="s">
        <v>6</v>
      </c>
      <c r="CF5" s="210" t="s">
        <v>7</v>
      </c>
      <c r="CG5" s="211" t="s">
        <v>8</v>
      </c>
      <c r="CH5" s="212" t="s">
        <v>6</v>
      </c>
      <c r="CJ5" s="506"/>
      <c r="CK5" s="506"/>
      <c r="CL5" s="506"/>
      <c r="CM5" s="527"/>
      <c r="CN5" s="199" t="s">
        <v>134</v>
      </c>
      <c r="CO5" s="199" t="s">
        <v>135</v>
      </c>
      <c r="CP5" s="199" t="s">
        <v>118</v>
      </c>
      <c r="CQ5" s="527"/>
      <c r="CR5" s="198" t="s">
        <v>173</v>
      </c>
      <c r="CS5" s="198" t="s">
        <v>174</v>
      </c>
      <c r="CT5" s="527"/>
      <c r="CU5" s="527"/>
      <c r="CV5" s="199" t="s">
        <v>177</v>
      </c>
      <c r="CW5" s="199" t="s">
        <v>6</v>
      </c>
      <c r="CX5" s="199" t="s">
        <v>177</v>
      </c>
      <c r="CY5" s="199" t="s">
        <v>6</v>
      </c>
      <c r="CZ5" s="504"/>
      <c r="DA5" s="504"/>
      <c r="DB5" s="506"/>
      <c r="DC5" s="506"/>
      <c r="DD5" s="504"/>
      <c r="DE5" s="199" t="s">
        <v>139</v>
      </c>
      <c r="DF5" s="199" t="s">
        <v>140</v>
      </c>
      <c r="DG5" s="198" t="s">
        <v>27</v>
      </c>
      <c r="DH5" s="199" t="s">
        <v>140</v>
      </c>
      <c r="DI5" s="198" t="s">
        <v>27</v>
      </c>
      <c r="DK5" s="506"/>
      <c r="DL5" s="210" t="s">
        <v>7</v>
      </c>
      <c r="DM5" s="211" t="s">
        <v>8</v>
      </c>
      <c r="DN5" s="212" t="s">
        <v>6</v>
      </c>
      <c r="DO5" s="210" t="s">
        <v>7</v>
      </c>
      <c r="DP5" s="211" t="s">
        <v>8</v>
      </c>
      <c r="DQ5" s="212" t="s">
        <v>6</v>
      </c>
      <c r="DR5" s="210" t="s">
        <v>7</v>
      </c>
      <c r="DS5" s="211" t="s">
        <v>8</v>
      </c>
      <c r="DT5" s="212" t="s">
        <v>6</v>
      </c>
      <c r="DU5" s="210" t="s">
        <v>7</v>
      </c>
      <c r="DV5" s="211" t="s">
        <v>8</v>
      </c>
      <c r="DW5" s="212" t="s">
        <v>6</v>
      </c>
      <c r="DX5" s="210" t="s">
        <v>7</v>
      </c>
      <c r="DY5" s="211" t="s">
        <v>8</v>
      </c>
      <c r="DZ5" s="212" t="s">
        <v>6</v>
      </c>
      <c r="EB5" s="506"/>
      <c r="EC5" s="506"/>
      <c r="ED5" s="513"/>
      <c r="EE5" s="513"/>
      <c r="EF5" s="513"/>
      <c r="EH5" s="506"/>
      <c r="EI5" s="506"/>
      <c r="EK5" s="513" t="s">
        <v>95</v>
      </c>
      <c r="EL5" s="513" t="s">
        <v>94</v>
      </c>
      <c r="EM5" s="513" t="s">
        <v>15</v>
      </c>
      <c r="EN5" s="199" t="s">
        <v>49</v>
      </c>
      <c r="EO5" s="199" t="s">
        <v>15</v>
      </c>
      <c r="EP5" s="199" t="s">
        <v>44</v>
      </c>
      <c r="EQ5" s="199" t="s">
        <v>15</v>
      </c>
      <c r="ER5" s="513"/>
      <c r="ES5" s="26"/>
      <c r="ET5" s="335" t="s">
        <v>217</v>
      </c>
      <c r="EU5" s="246">
        <f>COUNTIF(EK6:EK23,"&gt;0")</f>
        <v>0</v>
      </c>
      <c r="EV5" s="167" t="s">
        <v>309</v>
      </c>
      <c r="EW5" s="26"/>
      <c r="EX5" s="506"/>
      <c r="EY5" s="506" t="s">
        <v>97</v>
      </c>
      <c r="FA5" s="513" t="s">
        <v>95</v>
      </c>
      <c r="FB5" s="513" t="s">
        <v>94</v>
      </c>
      <c r="FC5" s="513" t="s">
        <v>15</v>
      </c>
      <c r="FD5" s="199" t="s">
        <v>49</v>
      </c>
      <c r="FE5" s="199" t="s">
        <v>15</v>
      </c>
      <c r="FF5" s="199" t="s">
        <v>44</v>
      </c>
      <c r="FG5" s="199" t="s">
        <v>15</v>
      </c>
      <c r="FH5" s="513"/>
      <c r="FJ5" s="335" t="s">
        <v>300</v>
      </c>
      <c r="FK5" s="218">
        <f ca="1">SUM(FE:FE)</f>
        <v>1504.85</v>
      </c>
      <c r="FN5" s="38" t="s">
        <v>72</v>
      </c>
      <c r="FO5" s="327" t="str">
        <f>+FO4</f>
        <v/>
      </c>
      <c r="FP5" s="218" t="str">
        <f>+IF(FO5&lt;&gt;"",EU17,"")</f>
        <v/>
      </c>
      <c r="FQ5" s="339">
        <f ca="1">+FQ4</f>
        <v>1</v>
      </c>
      <c r="FR5" s="218" t="str">
        <f>+IF(FO5="","",ROUND(FP5*FQ5,2))</f>
        <v/>
      </c>
      <c r="FS5" s="341">
        <v>0</v>
      </c>
      <c r="FT5" s="342">
        <v>0</v>
      </c>
      <c r="FU5" s="218" t="str">
        <f>+IF(FO5="","",FR5+FT5)</f>
        <v/>
      </c>
      <c r="FW5" s="346" t="s">
        <v>186</v>
      </c>
    </row>
    <row r="6" spans="2:179" ht="18" customHeight="1">
      <c r="B6" s="216">
        <f>+IF(cadastro!B14="","",cadastro!B14)</f>
        <v>1996</v>
      </c>
      <c r="C6" s="217" t="str">
        <f>+IF(cadastro!C14="","",cadastro!C14)</f>
        <v>COMPLETA</v>
      </c>
      <c r="D6" s="218">
        <f>+IF(cadastro!D14="","",cadastro!D14)</f>
        <v>40510.26</v>
      </c>
      <c r="E6" s="218">
        <f t="shared" ref="E6:E23" si="0">IF(B6="","",SUMIF(COL_ANO,ROUND(B6,0),col_valor1))</f>
        <v>0</v>
      </c>
      <c r="F6" s="218">
        <f t="shared" ref="F6:F23" si="1">IF(B6="","",SUMIF(COL_ANO,ROUND(B6,0),col_valor))</f>
        <v>6309.91</v>
      </c>
      <c r="G6" s="218">
        <f t="shared" ref="G6:G23" si="2">IF(B6="","",F6-E6)</f>
        <v>6309.91</v>
      </c>
      <c r="H6" s="218">
        <f t="shared" ref="H6:H23" si="3">IF(B6="","",D6-G6)</f>
        <v>34200.350000000006</v>
      </c>
      <c r="I6" s="218">
        <f>+IF(cadastro!C14="","",IF(cadastro!C14="COMPLETA",IF(cadastro!E14="","",cadastro!E14),0))</f>
        <v>13326.62</v>
      </c>
      <c r="J6" s="218" t="str">
        <f>+IF(OR(cadastro!B14="",cadastro!C14="COMPLETA"),"",LOOKUP(cadastro!B14,tabelas!AQ:AQ,tabelas!BH:BH))</f>
        <v/>
      </c>
      <c r="K6" s="218" t="str">
        <f t="shared" ref="K6:K23" si="4">+IF(J6="","",ROUND(D6*0.2,2))</f>
        <v/>
      </c>
      <c r="L6" s="218" t="str">
        <f t="shared" ref="L6:L23" si="5">+IF(J6="","",ROUND(H6*0.2,2))</f>
        <v/>
      </c>
      <c r="M6" s="218">
        <f>+IF(C6="COMPLETA",IF(I6="","",I6),IF(J6="","",IF(J6&gt;K6,K6,J6)))</f>
        <v>13326.62</v>
      </c>
      <c r="N6" s="218">
        <f>+IF(C6="COMPLETA",IF(I6="","",I6),IF(J6="","",IF(J6&gt;L6,L6,J6)))</f>
        <v>13326.62</v>
      </c>
      <c r="O6" s="218">
        <f t="shared" ref="O6:O23" si="6">+IF(B6="","",D6-M6)</f>
        <v>27183.64</v>
      </c>
      <c r="P6" s="218">
        <f t="shared" ref="P6:P23" si="7">+IF(B6="","",H6-N6)</f>
        <v>20873.730000000003</v>
      </c>
      <c r="Q6" s="220">
        <f t="shared" ref="Q6:Q23" si="8">+IF(B6="","",IF(O6&gt;AJ6,AK6,IF(O6&gt;AM6,AN6,IF(O6&gt;AP6,AQ6,IF(O6&gt;AS6,AT6,AW6)))))</f>
        <v>0.25</v>
      </c>
      <c r="R6" s="218">
        <f t="shared" ref="R6:R23" si="9">+IF(B6="","",IF(O6&gt;AJ6,AL6,IF(O6&gt;AM6,AO6,IF(O6&gt;AP6,AR6,IF(O6&gt;AS6,AU6,AX6)))))</f>
        <v>3780</v>
      </c>
      <c r="S6" s="220">
        <f t="shared" ref="S6:S23" si="10">+IF(B6="","",IF(P6&gt;AJ6,AK6,IF(P6&gt;AM6,AN6,IF(P6&gt;AP6,AQ6,IF(P6&gt;AS6,AT6,AW6)))))</f>
        <v>0.15</v>
      </c>
      <c r="T6" s="218">
        <f t="shared" ref="T6:T23" si="11">+IF(B6="","",IF(P6&gt;AJ6,AL6,IF(P6&gt;AM6,AO6,IF(P6&gt;AP6,AR6,IF(P6&gt;AS6,AU6,AX6)))))</f>
        <v>1620</v>
      </c>
      <c r="U6" s="218">
        <f>+IF(OR(C6="SIMPLIFICADA",cadastro!G14=""),0,cadastro!G14)</f>
        <v>0</v>
      </c>
      <c r="V6" s="218">
        <f>+IF(cadastro!F14="",0,cadastro!F14)</f>
        <v>0</v>
      </c>
      <c r="W6" s="218">
        <f>+IF(B6="","",IF(ROUND((O6*Q6)-R6,2)+V6-U6&lt;0,0,ROUND((O6*Q6)-R6,2)+V6-U6))</f>
        <v>3015.91</v>
      </c>
      <c r="X6" s="218">
        <f>+IF(B6="","",IF(ROUND((P6*S6)-T6,2)+V6-U6&lt;0,0,ROUND((P6*S6)-T6,2)+V6-U6))</f>
        <v>1511.06</v>
      </c>
      <c r="Y6" s="218">
        <f>+IF(cadastro!H14="","",cadastro!H14)</f>
        <v>2342.81</v>
      </c>
      <c r="Z6" s="218">
        <f>+IF(cadastro!J14="","",IF(LEFT(AB6,1)="R",-1,1)*cadastro!J14)</f>
        <v>673.1</v>
      </c>
      <c r="AA6" s="218">
        <f t="shared" ref="AA6:AA23" si="12">+IF(B6="","",W6-Y6)</f>
        <v>673.09999999999991</v>
      </c>
      <c r="AB6" s="217" t="str">
        <f t="shared" ref="AB6:AB23" si="13">+IF(B6="","",IF(AA6&lt;0,"RESTITUIR","PAGAR"))</f>
        <v>PAGAR</v>
      </c>
      <c r="AC6" s="218">
        <f t="shared" ref="AC6:AC23" si="14">+IF(B6="","",X6-Y6)</f>
        <v>-831.75</v>
      </c>
      <c r="AD6" s="217" t="str">
        <f t="shared" ref="AD6:AD23" si="15">+IF(B6="","",IF(AC6&lt;0,"RESTITUIR","PAGAR"))</f>
        <v>RESTITUIR</v>
      </c>
      <c r="AE6" s="217" t="str">
        <f>+IF(Z6="","",IF(ABS(ABS(Z6)-ABS(AA6))&lt;10,"OK","ERRO"))</f>
        <v>OK</v>
      </c>
      <c r="AF6" s="216">
        <f t="shared" ref="AF6:AF23" si="16">+IF(AE6="OK",B6+AZ6/1000,"")</f>
        <v>1996.001</v>
      </c>
      <c r="AG6" s="216">
        <f>+IF(B6&lt;&gt;"",B6+AZ6/1000,"")</f>
        <v>1996.001</v>
      </c>
      <c r="AH6" s="26"/>
      <c r="AI6" s="216" t="str">
        <f>+IF(B6="","",LOOKUP(B6,tabelas!AQ:AQ,tabelas!AR:AR))</f>
        <v>MOEDA</v>
      </c>
      <c r="AJ6" s="371">
        <f>+IF(B6="","",LOOKUP(B6,tabelas!AQ:AQ,tabelas!AT:AT))</f>
        <v>21600.01</v>
      </c>
      <c r="AK6" s="219">
        <f>+IF(B6="","",LOOKUP(B6,tabelas!AQ:AQ,tabelas!AS:AS))</f>
        <v>0.25</v>
      </c>
      <c r="AL6" s="371">
        <f>+IF(B6="","",LOOKUP(B6,tabelas!AQ:AQ,tabelas!AU:AU))</f>
        <v>3780</v>
      </c>
      <c r="AM6" s="371">
        <f>+IF(B6="","",LOOKUP(B6,tabelas!AQ:AQ,tabelas!AW:AW))</f>
        <v>10800.01</v>
      </c>
      <c r="AN6" s="219">
        <f>+IF(B6="","",LOOKUP(B6,tabelas!AQ:AQ,tabelas!AV:AV))</f>
        <v>0.15</v>
      </c>
      <c r="AO6" s="371">
        <f>+IF(B6="","",LOOKUP(B6,tabelas!AQ:AQ,tabelas!AX:AX))</f>
        <v>1620</v>
      </c>
      <c r="AP6" s="371">
        <f>+IF(B6="","",LOOKUP(B6,tabelas!AQ:AQ,tabelas!AZ:AZ))</f>
        <v>0</v>
      </c>
      <c r="AQ6" s="219">
        <f>+IF(B6="","",LOOKUP(B6,tabelas!AQ:AQ,tabelas!AY:AY))</f>
        <v>0</v>
      </c>
      <c r="AR6" s="371">
        <f>+IF(B6="","",LOOKUP(B6,tabelas!AQ:AQ,tabelas!BA:BA))</f>
        <v>0</v>
      </c>
      <c r="AS6" s="371">
        <f>+IF(B6="","",LOOKUP(B6,tabelas!AQ:AQ,tabelas!BC:BC))</f>
        <v>0</v>
      </c>
      <c r="AT6" s="219">
        <f>+IF(B6="","",LOOKUP(B6,tabelas!AQ:AQ,tabelas!BB:BB))</f>
        <v>0</v>
      </c>
      <c r="AU6" s="371">
        <f>+IF(B6="","",LOOKUP(B6,tabelas!AQ:AQ,tabelas!BD:BD))</f>
        <v>0</v>
      </c>
      <c r="AV6" s="371">
        <f>+IF(B6="","",LOOKUP(B6,tabelas!AQ:AQ,tabelas!BF:BF))</f>
        <v>0</v>
      </c>
      <c r="AW6" s="219">
        <f>+IF(B6="","",LOOKUP(B6,tabelas!AQ:AQ,tabelas!BE:BE))</f>
        <v>0</v>
      </c>
      <c r="AX6" s="371">
        <f>+IF(B6="","",LOOKUP(B6,tabelas!AQ:AQ,tabelas!BG:BG))</f>
        <v>0</v>
      </c>
      <c r="AY6" s="26"/>
      <c r="AZ6" s="38">
        <v>1</v>
      </c>
      <c r="BA6" s="225">
        <f>+IF(ISERR(ROUND((CJ6-ROUND(CJ6,0))*1000,0))=TRUE,"",ROUND((CJ6-ROUND(CJ6,0))*1000,0))</f>
        <v>1</v>
      </c>
      <c r="BB6" s="225">
        <f>+IF(ISERR(ROUND((BD6-ROUND(BD6,0))*1000,0))=TRUE,"",ROUND((BD6-ROUND(BD6,0))*1000,0))</f>
        <v>1</v>
      </c>
      <c r="BC6" s="26"/>
      <c r="BD6" s="221">
        <f t="shared" ref="BD6:BD23" si="17">+IF(ISERR(SMALL(AG:AG,AZ6))=TRUE,"",SMALL(AG:AG,AZ6))</f>
        <v>1996.001</v>
      </c>
      <c r="BE6" s="226">
        <f>+IF(BD6="","",ROUND(BD6,0))</f>
        <v>1996</v>
      </c>
      <c r="BF6" s="228" t="str">
        <f t="shared" ref="BF6:BF23" si="18">+IF(BB6="","",LOOKUP(BB6,AZ:AZ,C:C))</f>
        <v>COMPLETA</v>
      </c>
      <c r="BG6" s="228">
        <f t="shared" ref="BG6:BG23" si="19">+IF(BB6="","",LOOKUP(BB6,AZ:AZ,D:D))</f>
        <v>40510.26</v>
      </c>
      <c r="BH6" s="228">
        <f t="shared" ref="BH6:BH23" si="20">+IF(BB6="","",LOOKUP(BB6,AZ:AZ,M:M))</f>
        <v>13326.62</v>
      </c>
      <c r="BI6" s="228">
        <f t="shared" ref="BI6:BI23" si="21">+IF(BB6="","",LOOKUP(BB6,AZ:AZ,O:O))</f>
        <v>27183.64</v>
      </c>
      <c r="BJ6" s="219">
        <f t="shared" ref="BJ6:BJ23" si="22">+IF(BB6="","",LOOKUP(BB6,AZ:AZ,Q:Q))</f>
        <v>0.25</v>
      </c>
      <c r="BK6" s="217">
        <f t="shared" ref="BK6:BK23" si="23">+IF(BB6="","",LOOKUP(BB6,AZ:AZ,R:R))</f>
        <v>3780</v>
      </c>
      <c r="BL6" s="228">
        <f t="shared" ref="BL6:BL23" si="24">+IF(BB6="","",LOOKUP(BB6,AZ:AZ,U:U))</f>
        <v>0</v>
      </c>
      <c r="BM6" s="228">
        <f t="shared" ref="BM6:BM23" si="25">+IF(BB6="","",LOOKUP(BB6,AZ:AZ,V:V))</f>
        <v>0</v>
      </c>
      <c r="BN6" s="217">
        <f t="shared" ref="BN6:BN23" si="26">+IF(BB6="","",LOOKUP(BB6,AZ:AZ,W:W))</f>
        <v>3015.91</v>
      </c>
      <c r="BO6" s="228">
        <f t="shared" ref="BO6:BO23" si="27">+IF(BB6="","",LOOKUP(BB6,AZ:AZ,Y:Y))</f>
        <v>2342.81</v>
      </c>
      <c r="BP6" s="228">
        <f t="shared" ref="BP6:BP23" si="28">+IF(BB6="","",LOOKUP(BB6,AZ:AZ,AA:AA))</f>
        <v>673.09999999999991</v>
      </c>
      <c r="BQ6" s="228" t="str">
        <f t="shared" ref="BQ6:BQ23" si="29">+IF(BB6="","",LOOKUP(BB6,AZ:AZ,AB:AB))</f>
        <v>PAGAR</v>
      </c>
      <c r="BR6" s="26"/>
      <c r="BS6" s="216" t="str">
        <f>+IF(BD6="","",LOOKUP(BD6,tabelas!AQ:AQ,tabelas!AR:AR))</f>
        <v>MOEDA</v>
      </c>
      <c r="BT6" s="217">
        <f>+IF(BD6="","",LOOKUP(BD6,tabelas!AQ:AQ,tabelas!AT:AT))</f>
        <v>21600.01</v>
      </c>
      <c r="BU6" s="219">
        <f>+IF(BD6="","",LOOKUP(BD6,tabelas!AQ:AQ,tabelas!AS:AS))</f>
        <v>0.25</v>
      </c>
      <c r="BV6" s="217">
        <f>+IF(BD6="","",LOOKUP(BD6,tabelas!AQ:AQ,tabelas!AU:AU))</f>
        <v>3780</v>
      </c>
      <c r="BW6" s="217">
        <f>+IF(BD6="","",LOOKUP(BD6,tabelas!AQ:AQ,tabelas!AW:AW))</f>
        <v>10800.01</v>
      </c>
      <c r="BX6" s="219">
        <f>+IF(BD6="","",LOOKUP(BD6,tabelas!AQ:AQ,tabelas!AV:AV))</f>
        <v>0.15</v>
      </c>
      <c r="BY6" s="217">
        <f>+IF(BD6="","",LOOKUP(BD6,tabelas!AQ:AQ,tabelas!AX:AX))</f>
        <v>1620</v>
      </c>
      <c r="BZ6" s="217">
        <f>+IF(BD6="","",LOOKUP(BD6,tabelas!AQ:AQ,tabelas!AZ:AZ))</f>
        <v>0</v>
      </c>
      <c r="CA6" s="219">
        <f>+IF(BD6="","",LOOKUP(BD6,tabelas!AQ:AQ,tabelas!AY:AY))</f>
        <v>0</v>
      </c>
      <c r="CB6" s="217">
        <f>+IF(BD6="","",LOOKUP(BD6,tabelas!AQ:AQ,tabelas!BA:BA))</f>
        <v>0</v>
      </c>
      <c r="CC6" s="217">
        <f>+IF(BD6="","",LOOKUP(BD6,tabelas!AQ:AQ,tabelas!BC:BC))</f>
        <v>0</v>
      </c>
      <c r="CD6" s="219">
        <f>+IF(BD6="","",LOOKUP(BD6,tabelas!AQ:AQ,tabelas!BB:BB))</f>
        <v>0</v>
      </c>
      <c r="CE6" s="217">
        <f>+IF(BD6="","",LOOKUP(BD6,tabelas!AQ:AQ,tabelas!BD:BD))</f>
        <v>0</v>
      </c>
      <c r="CF6" s="217">
        <f>+IF(BD6="","",LOOKUP(BD6,tabelas!AQ:AQ,tabelas!BF:BF))</f>
        <v>0</v>
      </c>
      <c r="CG6" s="219">
        <f>+IF(BD6="","",LOOKUP(BD6,tabelas!AQ:AQ,tabelas!BE:BE))</f>
        <v>0</v>
      </c>
      <c r="CH6" s="217">
        <f>+IF(BD6="","",LOOKUP(BD6,tabelas!AQ:AQ,tabelas!BG:BG))</f>
        <v>0</v>
      </c>
      <c r="CI6" s="26"/>
      <c r="CJ6" s="221">
        <f t="shared" ref="CJ6:CJ23" si="30">+IF(ISERR(SMALL(AF:AF,AZ6))=TRUE,"",SMALL(AF:AF,AZ6))</f>
        <v>1996.001</v>
      </c>
      <c r="CK6" s="227">
        <f>+IF(CJ6="","",ROUND(CJ6,0))</f>
        <v>1996</v>
      </c>
      <c r="CL6" s="217" t="str">
        <f t="shared" ref="CL6:CL23" si="31">+IF(BA6="","",LOOKUP(BA6,AZ:AZ,C:C))</f>
        <v>COMPLETA</v>
      </c>
      <c r="CM6" s="217">
        <f t="shared" ref="CM6:CM23" si="32">+IF(BA6="","",LOOKUP(BA6,AZ:AZ,D:D))</f>
        <v>40510.26</v>
      </c>
      <c r="CN6" s="217">
        <f t="shared" ref="CN6:CN23" si="33">+IF(BA6="","",LOOKUP(BA6,AZ:AZ,E:E))</f>
        <v>0</v>
      </c>
      <c r="CO6" s="217">
        <f t="shared" ref="CO6:CO23" si="34">+IF(BA6="","",LOOKUP(BA6,AZ:AZ,F:F))</f>
        <v>6309.91</v>
      </c>
      <c r="CP6" s="217">
        <f t="shared" ref="CP6:CP23" si="35">+IF(BA6="","",LOOKUP(BA6,AZ:AZ,G:G))</f>
        <v>6309.91</v>
      </c>
      <c r="CQ6" s="217">
        <f t="shared" ref="CQ6:CQ23" si="36">IF(CJ6="","",CM6-CP6)</f>
        <v>34200.350000000006</v>
      </c>
      <c r="CR6" s="217">
        <f t="shared" ref="CR6:CR23" si="37">+IF(BA6="","",LOOKUP(BA6,AZ:AZ,M:M))</f>
        <v>13326.62</v>
      </c>
      <c r="CS6" s="217">
        <f t="shared" ref="CS6:CS23" si="38">+IF(BA6="","",LOOKUP(BA6,AZ:AZ,N:N))</f>
        <v>13326.62</v>
      </c>
      <c r="CT6" s="228">
        <f t="shared" ref="CT6:CT23" si="39">+IF(BA6="","",LOOKUP(BA6,AZ:AZ,O:O))</f>
        <v>27183.64</v>
      </c>
      <c r="CU6" s="217">
        <f t="shared" ref="CU6:CU23" si="40">+IF(BA6="","",LOOKUP(BA6,AZ:AZ,P:P))</f>
        <v>20873.730000000003</v>
      </c>
      <c r="CV6" s="223">
        <f t="shared" ref="CV6:CV23" si="41">+IF(BA6="","",LOOKUP(BA6,AZ:AZ,Q:Q))</f>
        <v>0.25</v>
      </c>
      <c r="CW6" s="229">
        <f t="shared" ref="CW6:CW23" si="42">+IF(BA6="","",LOOKUP(BA6,AZ:AZ,R:R))</f>
        <v>3780</v>
      </c>
      <c r="CX6" s="223">
        <f t="shared" ref="CX6:CX23" si="43">+IF(BA6="","",LOOKUP(BA6,AZ:AZ,S:S))</f>
        <v>0.15</v>
      </c>
      <c r="CY6" s="229">
        <f t="shared" ref="CY6:CY23" si="44">+IF(BA6="","",LOOKUP(BA6,AZ:AZ,T:T))</f>
        <v>1620</v>
      </c>
      <c r="CZ6" s="228">
        <f t="shared" ref="CZ6:CZ23" si="45">+IF(BA6="","",LOOKUP(BA6,AZ:AZ,U:U))</f>
        <v>0</v>
      </c>
      <c r="DA6" s="228">
        <f t="shared" ref="DA6:DA23" si="46">+IF(BA6="","",LOOKUP(BA6,AZ:AZ,V:V))</f>
        <v>0</v>
      </c>
      <c r="DB6" s="230">
        <f t="shared" ref="DB6:DB23" si="47">+IF(BA6="","",LOOKUP(BA6,AZ:AZ,W:W))</f>
        <v>3015.91</v>
      </c>
      <c r="DC6" s="217">
        <f t="shared" ref="DC6:DC23" si="48">+IF(BA6="","",LOOKUP(BA6,AZ:AZ,X:X))</f>
        <v>1511.06</v>
      </c>
      <c r="DD6" s="228">
        <f t="shared" ref="DD6:DD23" si="49">+IF(BA6="","",LOOKUP(BA6,AZ:AZ,Y:Y))</f>
        <v>2342.81</v>
      </c>
      <c r="DE6" s="228">
        <f t="shared" ref="DE6:DE23" si="50">+IF(BA6="","",LOOKUP(BA6,AZ:AZ,Z:Z))</f>
        <v>673.1</v>
      </c>
      <c r="DF6" s="228">
        <f t="shared" ref="DF6:DF23" si="51">+IF(BA6="","",LOOKUP(BA6,AZ:AZ,AA:AA))</f>
        <v>673.09999999999991</v>
      </c>
      <c r="DG6" s="217" t="str">
        <f t="shared" ref="DG6:DG23" si="52">+IF(BA6="","",LOOKUP(BA6,AZ:AZ,AB:AB))</f>
        <v>PAGAR</v>
      </c>
      <c r="DH6" s="217">
        <f t="shared" ref="DH6:DH23" si="53">+IF(BA6="","",LOOKUP(BA6,AZ:AZ,AC:AC))</f>
        <v>-831.75</v>
      </c>
      <c r="DI6" s="217" t="str">
        <f t="shared" ref="DI6:DI23" si="54">+IF(BA6="","",LOOKUP(BA6,AZ:AZ,AD:AD))</f>
        <v>RESTITUIR</v>
      </c>
      <c r="DJ6" s="26"/>
      <c r="DK6" s="216" t="str">
        <f>+IF(CJ6="","",LOOKUP(CJ6,tabelas!AQ:AQ,tabelas!AR:AR))</f>
        <v>MOEDA</v>
      </c>
      <c r="DL6" s="217">
        <f>+IF(CJ6="","",LOOKUP(CJ6,tabelas!AQ:AQ,tabelas!AT:AT))</f>
        <v>21600.01</v>
      </c>
      <c r="DM6" s="219">
        <f>+IF(CJ6="","",LOOKUP(CJ6,tabelas!AQ:AQ,tabelas!AS:AS))</f>
        <v>0.25</v>
      </c>
      <c r="DN6" s="217">
        <f>+IF(CJ6="","",LOOKUP(CJ6,tabelas!AQ:AQ,tabelas!AU:AU))</f>
        <v>3780</v>
      </c>
      <c r="DO6" s="217">
        <f>+IF(CJ6="","",LOOKUP(CJ6,tabelas!AQ:AQ,tabelas!AW:AW))</f>
        <v>10800.01</v>
      </c>
      <c r="DP6" s="219">
        <f>+IF(CJ6="","",LOOKUP(CJ6,tabelas!AQ:AQ,tabelas!AV:AV))</f>
        <v>0.15</v>
      </c>
      <c r="DQ6" s="217">
        <f>+IF(CJ6="","",LOOKUP(CJ6,tabelas!AQ:AQ,tabelas!AX:AX))</f>
        <v>1620</v>
      </c>
      <c r="DR6" s="217">
        <f>+IF(CJ6="","",LOOKUP(CJ6,tabelas!AQ:AQ,tabelas!AZ:AZ))</f>
        <v>0</v>
      </c>
      <c r="DS6" s="219">
        <f>+IF(CJ6="","",LOOKUP(CJ6,tabelas!AQ:AQ,tabelas!AY:AY))</f>
        <v>0</v>
      </c>
      <c r="DT6" s="217">
        <f>+IF(CJ6="","",LOOKUP(CJ6,tabelas!AQ:AQ,tabelas!BA:BA))</f>
        <v>0</v>
      </c>
      <c r="DU6" s="217">
        <f>+IF(CJ6="","",LOOKUP(CJ6,tabelas!AQ:AQ,tabelas!BC:BC))</f>
        <v>0</v>
      </c>
      <c r="DV6" s="219">
        <f>+IF(CJ6="","",LOOKUP(CJ6,tabelas!AQ:AQ,tabelas!BB:BB))</f>
        <v>0</v>
      </c>
      <c r="DW6" s="217">
        <f>+IF(CJ6="","",LOOKUP(CJ6,tabelas!AQ:AQ,tabelas!BD:BD))</f>
        <v>0</v>
      </c>
      <c r="DX6" s="217">
        <f>+IF(CJ6="","",LOOKUP(CJ6,tabelas!AQ:AQ,tabelas!BF:BF))</f>
        <v>0</v>
      </c>
      <c r="DY6" s="219">
        <f>+IF(CJ6="","",LOOKUP(CJ6,tabelas!AQ:AQ,tabelas!BE:BE))</f>
        <v>0</v>
      </c>
      <c r="DZ6" s="217">
        <f>+IF(CJ6="","",LOOKUP(CJ6,tabelas!AQ:AQ,tabelas!BG:BG))</f>
        <v>0</v>
      </c>
      <c r="EA6" s="26"/>
      <c r="EB6" s="326">
        <f>+IF(CJ6="","",LOOKUP(CJ6,tabelas!AQ:AQ,tabelas!BI:BI))</f>
        <v>35551</v>
      </c>
      <c r="EC6" s="222">
        <f t="shared" ref="EC6:EC23" si="55">+IF(CJ6="","",DH6-DF6)</f>
        <v>-1504.85</v>
      </c>
      <c r="ED6" s="231" t="str">
        <f t="shared" ref="ED6:ED23" si="56">+IF(CJ6="","",IF(AND(ROUND(CJ6,0)&gt;1991,ROUND(CJ6,0)&lt;1995),"(em ufir)","(em moeda)"))</f>
        <v>(em moeda)</v>
      </c>
      <c r="EE6" s="222" t="str">
        <f>+IF(CJ6="","",IF(AND(ROUND(CJ6,0)&gt;1991,ROUND(CJ6,0)&lt;1995),LOOKUP(DATE(ROUND(CJ6,0)+1,5,1),tabelas!CC:CC,tabelas!CD:CD),""))</f>
        <v/>
      </c>
      <c r="EF6" s="222">
        <f t="shared" ref="EF6:EF23" si="57">+IF(EE6="",EC6,EC6*EE6)</f>
        <v>-1504.85</v>
      </c>
      <c r="EG6" s="26"/>
      <c r="EH6" s="233" t="str">
        <f t="shared" ref="EH6:EH23" si="58">+IF(LIMITA_AJUIZ&lt;&gt;"SIM","",IF(EB6&lt;=DAT_DIST,EB6+AZ6/1000,""))</f>
        <v/>
      </c>
      <c r="EI6" s="246" t="str">
        <f>+IF(ISERR(ROUND((EL6-DATE(YEAR(EL6),MONTH(EL6),DAY(EL6)))*1000,0))=TRUE,"",ROUND((EL6-DATE(YEAR(EL6),MONTH(EL6),DAY(EL6)))*1000,0))</f>
        <v/>
      </c>
      <c r="EJ6" s="26"/>
      <c r="EK6" s="221" t="str">
        <f>+IF(EL6="","",YEAR(EL6)-1)</f>
        <v/>
      </c>
      <c r="EL6" s="235" t="str">
        <f t="shared" ref="EL6:EL23" si="59">+IF(ISERR(SMALL(EH:EH,AZ6))=TRUE,"",SMALL(EH:EH,AZ6))</f>
        <v/>
      </c>
      <c r="EM6" s="229" t="str">
        <f t="shared" ref="EM6:EM23" si="60">IF(EL6="","",-LOOKUP(EI6,AZ:AZ,EF:EF))</f>
        <v/>
      </c>
      <c r="EN6" s="236" t="str">
        <f>+IF(EL6="","",LOOKUP(EL6,tabelas!CN:CN,tabelas!CO:CO)/IND_CM_DIST)</f>
        <v/>
      </c>
      <c r="EO6" s="229" t="str">
        <f>+IF(EL6="","",ROUND(EM6*EN6,2))</f>
        <v/>
      </c>
      <c r="EP6" s="237" t="str">
        <f>+IF(EL6="","",LOOKUP(EDATE(EL6,0),tabelas!CQ:CQ,tabelas!CR:CR)-IND_JR_DIST)</f>
        <v/>
      </c>
      <c r="EQ6" s="229" t="str">
        <f t="shared" ref="EQ6:EQ23" si="61">+IF(EL6="","",ROUND(EO6*EP6,2))</f>
        <v/>
      </c>
      <c r="ER6" s="229" t="str">
        <f>+IF(EL6="","",EO6+EQ6)</f>
        <v/>
      </c>
      <c r="ES6" s="26"/>
      <c r="ET6" s="335" t="s">
        <v>298</v>
      </c>
      <c r="EU6" s="218">
        <f>SUM(EO:EO)</f>
        <v>0</v>
      </c>
      <c r="EV6" s="26"/>
      <c r="EW6" s="26"/>
      <c r="EX6" s="328">
        <f t="shared" ref="EX6:EX23" si="62">+IF(EB6="","",IF(LIMITA_AJUIZ&lt;&gt;"SIM",EB6+AZ6/1000,IF(EB6&gt;DAT_DIST,EB6+AZ6/1000,"")))</f>
        <v>35551.000999999997</v>
      </c>
      <c r="EY6" s="246">
        <f>+IF(ISERR(ROUND((FB6-DATE(YEAR(FB6),MONTH(FB6),DAY(FB6)))*1000,0))=TRUE,"",ROUND((FB6-DATE(YEAR(FB6),MONTH(FB6),DAY(FB6)))*1000,0))</f>
        <v>1</v>
      </c>
      <c r="EZ6" s="26"/>
      <c r="FA6" s="221">
        <f>+IF(FB6="","",YEAR(FB6)-1)</f>
        <v>1996</v>
      </c>
      <c r="FB6" s="330">
        <f t="shared" ref="FB6:FB23" si="63">+IF(ISERR(SMALL(EX:EX,AZ6))=TRUE,"",SMALL(EX:EX,AZ6))</f>
        <v>35551.000999999997</v>
      </c>
      <c r="FC6" s="229">
        <f t="shared" ref="FC6:FC23" si="64">IF(FB6="","",-LOOKUP(EY6,AZ:AZ,EF:EF))</f>
        <v>1504.85</v>
      </c>
      <c r="FD6" s="236">
        <f ca="1">+IF(FB6="","",LOOKUP(FB6,tabelas!CN:CN,tabelas!CO:CO)/IND_CM_FIM)</f>
        <v>1</v>
      </c>
      <c r="FE6" s="229">
        <f ca="1">+IF(FB6="","",ROUND(FC6*FD6,2))</f>
        <v>1504.85</v>
      </c>
      <c r="FF6" s="237">
        <f ca="1">+IF(FB6="","",LOOKUP(EDATE(FB6,0),tabelas!CQ:CQ,tabelas!CR:CR)-IND_JR_FIM+0.01)</f>
        <v>3.7277000000000009</v>
      </c>
      <c r="FG6" s="229">
        <f t="shared" ref="FG6:FG23" ca="1" si="65">+IF(FB6="","",ROUND(FE6*FF6,2))</f>
        <v>5609.63</v>
      </c>
      <c r="FH6" s="229">
        <f ca="1">+IF(FB6="","",FE6+FG6)</f>
        <v>7114.48</v>
      </c>
      <c r="FJ6" s="335" t="s">
        <v>301</v>
      </c>
      <c r="FK6" s="218">
        <f ca="1">SUM(FG:FG)</f>
        <v>5609.63</v>
      </c>
      <c r="FW6" s="343"/>
    </row>
    <row r="7" spans="2:179" ht="18" customHeight="1">
      <c r="B7" s="216">
        <f>+IF(cadastro!B15="","",cadastro!B15)</f>
        <v>2018</v>
      </c>
      <c r="C7" s="217" t="str">
        <f>+IF(cadastro!C15="","",cadastro!C15)</f>
        <v>COMPLETA</v>
      </c>
      <c r="D7" s="218">
        <f>+IF(cadastro!D15="","",cadastro!D15)</f>
        <v>235766.64</v>
      </c>
      <c r="E7" s="218">
        <f t="shared" si="0"/>
        <v>0</v>
      </c>
      <c r="F7" s="218">
        <f t="shared" si="1"/>
        <v>0</v>
      </c>
      <c r="G7" s="218">
        <f t="shared" si="2"/>
        <v>0</v>
      </c>
      <c r="H7" s="218">
        <f t="shared" si="3"/>
        <v>235766.64</v>
      </c>
      <c r="I7" s="218">
        <f>+IF(cadastro!C15="","",IF(cadastro!C15="COMPLETA",IF(cadastro!E15="","",cadastro!E15),0))</f>
        <v>31982.37</v>
      </c>
      <c r="J7" s="218" t="str">
        <f>+IF(OR(cadastro!B15="",cadastro!C15="COMPLETA"),"",LOOKUP(cadastro!B15,tabelas!AQ:AQ,tabelas!BH:BH))</f>
        <v/>
      </c>
      <c r="K7" s="218" t="str">
        <f t="shared" si="4"/>
        <v/>
      </c>
      <c r="L7" s="218" t="str">
        <f t="shared" si="5"/>
        <v/>
      </c>
      <c r="M7" s="218">
        <f t="shared" ref="M7:M23" si="66">+IF(C7="COMPLETA",IF(I7="","",I7),IF(J7="","",IF(J7&gt;K7,K7,J7)))</f>
        <v>31982.37</v>
      </c>
      <c r="N7" s="218">
        <f t="shared" ref="N7:N23" si="67">+IF(C7="COMPLETA",IF(I7="","",I7),IF(J7="","",IF(J7&gt;L7,L7,J7)))</f>
        <v>31982.37</v>
      </c>
      <c r="O7" s="218">
        <f t="shared" si="6"/>
        <v>203784.27000000002</v>
      </c>
      <c r="P7" s="218">
        <f t="shared" si="7"/>
        <v>203784.27000000002</v>
      </c>
      <c r="Q7" s="220">
        <f t="shared" si="8"/>
        <v>0.27500000000000002</v>
      </c>
      <c r="R7" s="218">
        <f t="shared" si="9"/>
        <v>10432.32</v>
      </c>
      <c r="S7" s="220">
        <f t="shared" si="10"/>
        <v>0.27500000000000002</v>
      </c>
      <c r="T7" s="218">
        <f t="shared" si="11"/>
        <v>10432.32</v>
      </c>
      <c r="U7" s="218">
        <f>+IF(OR(C7="SIMPLIFICADA",cadastro!G15=""),0,cadastro!G15)</f>
        <v>0</v>
      </c>
      <c r="V7" s="218">
        <f>+IF(cadastro!F15="",0,cadastro!F15)</f>
        <v>0</v>
      </c>
      <c r="W7" s="218">
        <f t="shared" ref="W7:W23" si="68">+IF(B7="","",IF(ROUND((O7*Q7)-R7,2)+V7-U7&lt;0,0,ROUND((O7*Q7)-R7,2)+V7-U7))</f>
        <v>45608.35</v>
      </c>
      <c r="X7" s="218">
        <f t="shared" ref="X7:X23" si="69">+IF(B7="","",IF(ROUND((P7*S7)-T7,2)+V7-U7&lt;0,0,ROUND((P7*S7)-T7,2)+V7-U7))</f>
        <v>45608.35</v>
      </c>
      <c r="Y7" s="218">
        <f>+IF(cadastro!H15="","",cadastro!H15)</f>
        <v>48700.08</v>
      </c>
      <c r="Z7" s="218">
        <f>+IF(cadastro!J15="","",IF(LEFT(AB7,1)="R",-1,1)*cadastro!J15)</f>
        <v>-3091.73</v>
      </c>
      <c r="AA7" s="218">
        <f t="shared" si="12"/>
        <v>-3091.7300000000032</v>
      </c>
      <c r="AB7" s="217" t="str">
        <f t="shared" si="13"/>
        <v>RESTITUIR</v>
      </c>
      <c r="AC7" s="218">
        <f t="shared" si="14"/>
        <v>-3091.7300000000032</v>
      </c>
      <c r="AD7" s="217" t="str">
        <f t="shared" si="15"/>
        <v>RESTITUIR</v>
      </c>
      <c r="AE7" s="217" t="str">
        <f t="shared" ref="AE7:AE23" si="70">+IF(Z7="","",IF(ABS(ABS(Z7)-ABS(AA7))&lt;10,"OK","ERRO"))</f>
        <v>OK</v>
      </c>
      <c r="AF7" s="216">
        <f t="shared" si="16"/>
        <v>2018.002</v>
      </c>
      <c r="AG7" s="216">
        <f t="shared" ref="AG7:AG23" si="71">+IF(B7&lt;&gt;"",B7+AZ7/1000,"")</f>
        <v>2018.002</v>
      </c>
      <c r="AH7" s="26"/>
      <c r="AI7" s="216" t="str">
        <f>+IF(B7="","",LOOKUP(B7,tabelas!AQ:AQ,tabelas!AR:AR))</f>
        <v>MOEDA</v>
      </c>
      <c r="AJ7" s="371">
        <f>+IF(B7="","",LOOKUP(B7,tabelas!AQ:AQ,tabelas!AT:AT))</f>
        <v>55976.160000000003</v>
      </c>
      <c r="AK7" s="219">
        <f>+IF(B7="","",LOOKUP(B7,tabelas!AQ:AQ,tabelas!AS:AS))</f>
        <v>0.27500000000000002</v>
      </c>
      <c r="AL7" s="371">
        <f>+IF(B7="","",LOOKUP(B7,tabelas!AQ:AQ,tabelas!AU:AU))</f>
        <v>10432.32</v>
      </c>
      <c r="AM7" s="371">
        <f>+IF(B7="","",LOOKUP(B7,tabelas!AQ:AQ,tabelas!AW:AW))</f>
        <v>45012.61</v>
      </c>
      <c r="AN7" s="219">
        <f>+IF(B7="","",LOOKUP(B7,tabelas!AQ:AQ,tabelas!AV:AV))</f>
        <v>0.22500000000000001</v>
      </c>
      <c r="AO7" s="371">
        <f>+IF(B7="","",LOOKUP(B7,tabelas!AQ:AQ,tabelas!AX:AX))</f>
        <v>7633.51</v>
      </c>
      <c r="AP7" s="371">
        <f>+IF(B7="","",LOOKUP(B7,tabelas!AQ:AQ,tabelas!AZ:AZ))</f>
        <v>33919.81</v>
      </c>
      <c r="AQ7" s="219">
        <f>+IF(B7="","",LOOKUP(B7,tabelas!AQ:AQ,tabelas!AY:AY))</f>
        <v>0.15</v>
      </c>
      <c r="AR7" s="371">
        <f>+IF(B7="","",LOOKUP(B7,tabelas!AQ:AQ,tabelas!BA:BA))</f>
        <v>4257.57</v>
      </c>
      <c r="AS7" s="371">
        <f>+IF(B7="","",LOOKUP(B7,tabelas!AQ:AQ,tabelas!BC:BC))</f>
        <v>22847.77</v>
      </c>
      <c r="AT7" s="219">
        <f>+IF(B7="","",LOOKUP(B7,tabelas!AQ:AQ,tabelas!BB:BB))</f>
        <v>7.4999999999999997E-2</v>
      </c>
      <c r="AU7" s="371">
        <f>+IF(B7="","",LOOKUP(B7,tabelas!AQ:AQ,tabelas!BD:BD))</f>
        <v>1713.58</v>
      </c>
      <c r="AV7" s="371">
        <f>+IF(B7="","",LOOKUP(B7,tabelas!AQ:AQ,tabelas!BF:BF))</f>
        <v>0</v>
      </c>
      <c r="AW7" s="219">
        <f>+IF(B7="","",LOOKUP(B7,tabelas!AQ:AQ,tabelas!BE:BE))</f>
        <v>0</v>
      </c>
      <c r="AX7" s="371">
        <f>+IF(B7="","",LOOKUP(B7,tabelas!AQ:AQ,tabelas!BG:BG))</f>
        <v>0</v>
      </c>
      <c r="AY7" s="26"/>
      <c r="AZ7" s="38">
        <v>2</v>
      </c>
      <c r="BA7" s="225">
        <f t="shared" ref="BA7:BA23" si="72">+IF(ISERR(ROUND((CJ7-ROUND(CJ7,0))*1000,0))=TRUE,"",ROUND((CJ7-ROUND(CJ7,0))*1000,0))</f>
        <v>2</v>
      </c>
      <c r="BB7" s="225">
        <f t="shared" ref="BB7:BB23" si="73">+IF(ISERR(ROUND((BD7-ROUND(BD7,0))*1000,0))=TRUE,"",ROUND((BD7-ROUND(BD7,0))*1000,0))</f>
        <v>2</v>
      </c>
      <c r="BC7" s="26"/>
      <c r="BD7" s="221">
        <f t="shared" si="17"/>
        <v>2018.002</v>
      </c>
      <c r="BE7" s="227">
        <f t="shared" ref="BE7:BE23" si="74">+IF(BD7="","",ROUND(BD7,0))</f>
        <v>2018</v>
      </c>
      <c r="BF7" s="228" t="str">
        <f t="shared" si="18"/>
        <v>COMPLETA</v>
      </c>
      <c r="BG7" s="228">
        <f t="shared" si="19"/>
        <v>235766.64</v>
      </c>
      <c r="BH7" s="228">
        <f t="shared" si="20"/>
        <v>31982.37</v>
      </c>
      <c r="BI7" s="228">
        <f t="shared" si="21"/>
        <v>203784.27000000002</v>
      </c>
      <c r="BJ7" s="219">
        <f t="shared" si="22"/>
        <v>0.27500000000000002</v>
      </c>
      <c r="BK7" s="217">
        <f t="shared" si="23"/>
        <v>10432.32</v>
      </c>
      <c r="BL7" s="228">
        <f t="shared" si="24"/>
        <v>0</v>
      </c>
      <c r="BM7" s="228">
        <f t="shared" si="25"/>
        <v>0</v>
      </c>
      <c r="BN7" s="217">
        <f t="shared" si="26"/>
        <v>45608.35</v>
      </c>
      <c r="BO7" s="228">
        <f t="shared" si="27"/>
        <v>48700.08</v>
      </c>
      <c r="BP7" s="228">
        <f t="shared" si="28"/>
        <v>-3091.7300000000032</v>
      </c>
      <c r="BQ7" s="228" t="str">
        <f t="shared" si="29"/>
        <v>RESTITUIR</v>
      </c>
      <c r="BR7" s="26"/>
      <c r="BS7" s="216" t="str">
        <f>+IF(BD7="","",LOOKUP(BD7,tabelas!AQ:AQ,tabelas!AR:AR))</f>
        <v>MOEDA</v>
      </c>
      <c r="BT7" s="217">
        <f>+IF(BD7="","",LOOKUP(BD7,tabelas!AQ:AQ,tabelas!AT:AT))</f>
        <v>55976.160000000003</v>
      </c>
      <c r="BU7" s="219">
        <f>+IF(BD7="","",LOOKUP(BD7,tabelas!AQ:AQ,tabelas!AS:AS))</f>
        <v>0.27500000000000002</v>
      </c>
      <c r="BV7" s="217">
        <f>+IF(BD7="","",LOOKUP(BD7,tabelas!AQ:AQ,tabelas!AU:AU))</f>
        <v>10432.32</v>
      </c>
      <c r="BW7" s="217">
        <f>+IF(BD7="","",LOOKUP(BD7,tabelas!AQ:AQ,tabelas!AW:AW))</f>
        <v>45012.61</v>
      </c>
      <c r="BX7" s="219">
        <f>+IF(BD7="","",LOOKUP(BD7,tabelas!AQ:AQ,tabelas!AV:AV))</f>
        <v>0.22500000000000001</v>
      </c>
      <c r="BY7" s="217">
        <f>+IF(BD7="","",LOOKUP(BD7,tabelas!AQ:AQ,tabelas!AX:AX))</f>
        <v>7633.51</v>
      </c>
      <c r="BZ7" s="217">
        <f>+IF(BD7="","",LOOKUP(BD7,tabelas!AQ:AQ,tabelas!AZ:AZ))</f>
        <v>33919.81</v>
      </c>
      <c r="CA7" s="219">
        <f>+IF(BD7="","",LOOKUP(BD7,tabelas!AQ:AQ,tabelas!AY:AY))</f>
        <v>0.15</v>
      </c>
      <c r="CB7" s="217">
        <f>+IF(BD7="","",LOOKUP(BD7,tabelas!AQ:AQ,tabelas!BA:BA))</f>
        <v>4257.57</v>
      </c>
      <c r="CC7" s="217">
        <f>+IF(BD7="","",LOOKUP(BD7,tabelas!AQ:AQ,tabelas!BC:BC))</f>
        <v>22847.77</v>
      </c>
      <c r="CD7" s="219">
        <f>+IF(BD7="","",LOOKUP(BD7,tabelas!AQ:AQ,tabelas!BB:BB))</f>
        <v>7.4999999999999997E-2</v>
      </c>
      <c r="CE7" s="217">
        <f>+IF(BD7="","",LOOKUP(BD7,tabelas!AQ:AQ,tabelas!BD:BD))</f>
        <v>1713.58</v>
      </c>
      <c r="CF7" s="217">
        <f>+IF(BD7="","",LOOKUP(BD7,tabelas!AQ:AQ,tabelas!BF:BF))</f>
        <v>0</v>
      </c>
      <c r="CG7" s="219">
        <f>+IF(BD7="","",LOOKUP(BD7,tabelas!AQ:AQ,tabelas!BE:BE))</f>
        <v>0</v>
      </c>
      <c r="CH7" s="217">
        <f>+IF(BD7="","",LOOKUP(BD7,tabelas!AQ:AQ,tabelas!BG:BG))</f>
        <v>0</v>
      </c>
      <c r="CI7" s="26"/>
      <c r="CJ7" s="221">
        <f t="shared" si="30"/>
        <v>2018.002</v>
      </c>
      <c r="CK7" s="227">
        <f t="shared" ref="CK7:CK23" si="75">+IF(CJ7="","",ROUND(CJ7,0))</f>
        <v>2018</v>
      </c>
      <c r="CL7" s="217" t="str">
        <f t="shared" si="31"/>
        <v>COMPLETA</v>
      </c>
      <c r="CM7" s="217">
        <f t="shared" si="32"/>
        <v>235766.64</v>
      </c>
      <c r="CN7" s="217">
        <f t="shared" si="33"/>
        <v>0</v>
      </c>
      <c r="CO7" s="217">
        <f t="shared" si="34"/>
        <v>0</v>
      </c>
      <c r="CP7" s="217">
        <f t="shared" si="35"/>
        <v>0</v>
      </c>
      <c r="CQ7" s="217">
        <f t="shared" si="36"/>
        <v>235766.64</v>
      </c>
      <c r="CR7" s="217">
        <f t="shared" si="37"/>
        <v>31982.37</v>
      </c>
      <c r="CS7" s="217">
        <f t="shared" si="38"/>
        <v>31982.37</v>
      </c>
      <c r="CT7" s="228">
        <f t="shared" si="39"/>
        <v>203784.27000000002</v>
      </c>
      <c r="CU7" s="217">
        <f t="shared" si="40"/>
        <v>203784.27000000002</v>
      </c>
      <c r="CV7" s="223">
        <f t="shared" si="41"/>
        <v>0.27500000000000002</v>
      </c>
      <c r="CW7" s="229">
        <f t="shared" si="42"/>
        <v>10432.32</v>
      </c>
      <c r="CX7" s="223">
        <f t="shared" si="43"/>
        <v>0.27500000000000002</v>
      </c>
      <c r="CY7" s="229">
        <f t="shared" si="44"/>
        <v>10432.32</v>
      </c>
      <c r="CZ7" s="228">
        <f t="shared" si="45"/>
        <v>0</v>
      </c>
      <c r="DA7" s="228">
        <f t="shared" si="46"/>
        <v>0</v>
      </c>
      <c r="DB7" s="230">
        <f t="shared" si="47"/>
        <v>45608.35</v>
      </c>
      <c r="DC7" s="217">
        <f t="shared" si="48"/>
        <v>45608.35</v>
      </c>
      <c r="DD7" s="228">
        <f t="shared" si="49"/>
        <v>48700.08</v>
      </c>
      <c r="DE7" s="228">
        <f t="shared" si="50"/>
        <v>-3091.73</v>
      </c>
      <c r="DF7" s="228">
        <f t="shared" si="51"/>
        <v>-3091.7300000000032</v>
      </c>
      <c r="DG7" s="217" t="str">
        <f t="shared" si="52"/>
        <v>RESTITUIR</v>
      </c>
      <c r="DH7" s="217">
        <f t="shared" si="53"/>
        <v>-3091.7300000000032</v>
      </c>
      <c r="DI7" s="217" t="str">
        <f t="shared" si="54"/>
        <v>RESTITUIR</v>
      </c>
      <c r="DJ7" s="26"/>
      <c r="DK7" s="216" t="str">
        <f>+IF(CJ7="","",LOOKUP(CJ7,tabelas!AQ:AQ,tabelas!AR:AR))</f>
        <v>MOEDA</v>
      </c>
      <c r="DL7" s="217">
        <f>+IF(CJ7="","",LOOKUP(CJ7,tabelas!AQ:AQ,tabelas!AT:AT))</f>
        <v>55976.160000000003</v>
      </c>
      <c r="DM7" s="219">
        <f>+IF(CJ7="","",LOOKUP(CJ7,tabelas!AQ:AQ,tabelas!AS:AS))</f>
        <v>0.27500000000000002</v>
      </c>
      <c r="DN7" s="217">
        <f>+IF(CJ7="","",LOOKUP(CJ7,tabelas!AQ:AQ,tabelas!AU:AU))</f>
        <v>10432.32</v>
      </c>
      <c r="DO7" s="217">
        <f>+IF(CJ7="","",LOOKUP(CJ7,tabelas!AQ:AQ,tabelas!AW:AW))</f>
        <v>45012.61</v>
      </c>
      <c r="DP7" s="219">
        <f>+IF(CJ7="","",LOOKUP(CJ7,tabelas!AQ:AQ,tabelas!AV:AV))</f>
        <v>0.22500000000000001</v>
      </c>
      <c r="DQ7" s="217">
        <f>+IF(CJ7="","",LOOKUP(CJ7,tabelas!AQ:AQ,tabelas!AX:AX))</f>
        <v>7633.51</v>
      </c>
      <c r="DR7" s="217">
        <f>+IF(CJ7="","",LOOKUP(CJ7,tabelas!AQ:AQ,tabelas!AZ:AZ))</f>
        <v>33919.81</v>
      </c>
      <c r="DS7" s="219">
        <f>+IF(CJ7="","",LOOKUP(CJ7,tabelas!AQ:AQ,tabelas!AY:AY))</f>
        <v>0.15</v>
      </c>
      <c r="DT7" s="217">
        <f>+IF(CJ7="","",LOOKUP(CJ7,tabelas!AQ:AQ,tabelas!BA:BA))</f>
        <v>4257.57</v>
      </c>
      <c r="DU7" s="217">
        <f>+IF(CJ7="","",LOOKUP(CJ7,tabelas!AQ:AQ,tabelas!BC:BC))</f>
        <v>22847.77</v>
      </c>
      <c r="DV7" s="219">
        <f>+IF(CJ7="","",LOOKUP(CJ7,tabelas!AQ:AQ,tabelas!BB:BB))</f>
        <v>7.4999999999999997E-2</v>
      </c>
      <c r="DW7" s="217">
        <f>+IF(CJ7="","",LOOKUP(CJ7,tabelas!AQ:AQ,tabelas!BD:BD))</f>
        <v>1713.58</v>
      </c>
      <c r="DX7" s="217">
        <f>+IF(CJ7="","",LOOKUP(CJ7,tabelas!AQ:AQ,tabelas!BF:BF))</f>
        <v>0</v>
      </c>
      <c r="DY7" s="219">
        <f>+IF(CJ7="","",LOOKUP(CJ7,tabelas!AQ:AQ,tabelas!BE:BE))</f>
        <v>0</v>
      </c>
      <c r="DZ7" s="217">
        <f>+IF(CJ7="","",LOOKUP(CJ7,tabelas!AQ:AQ,tabelas!BG:BG))</f>
        <v>0</v>
      </c>
      <c r="EA7" s="26"/>
      <c r="EB7" s="326">
        <f>+IF(CJ7="","",LOOKUP(CJ7,tabelas!AQ:AQ,tabelas!BI:BI))</f>
        <v>43586</v>
      </c>
      <c r="EC7" s="222">
        <f t="shared" si="55"/>
        <v>0</v>
      </c>
      <c r="ED7" s="231" t="str">
        <f t="shared" si="56"/>
        <v>(em moeda)</v>
      </c>
      <c r="EE7" s="222" t="str">
        <f>+IF(CJ7="","",IF(AND(ROUND(CJ7,0)&gt;1991,ROUND(CJ7,0)&lt;1995),LOOKUP(DATE(ROUND(CJ7,0)+1,5,1),tabelas!CC:CC,tabelas!CD:CD),""))</f>
        <v/>
      </c>
      <c r="EF7" s="222">
        <f t="shared" si="57"/>
        <v>0</v>
      </c>
      <c r="EG7" s="26"/>
      <c r="EH7" s="233" t="str">
        <f t="shared" si="58"/>
        <v/>
      </c>
      <c r="EI7" s="246" t="str">
        <f t="shared" ref="EI7:EI23" si="76">+IF(ISERR(ROUND((EL7-DATE(YEAR(EL7),MONTH(EL7),DAY(EL7)))*1000,0))=TRUE,"",ROUND((EL7-DATE(YEAR(EL7),MONTH(EL7),DAY(EL7)))*1000,0))</f>
        <v/>
      </c>
      <c r="EJ7" s="26"/>
      <c r="EK7" s="221" t="str">
        <f t="shared" ref="EK7:EK23" si="77">+IF(EL7="","",YEAR(EL7)-1)</f>
        <v/>
      </c>
      <c r="EL7" s="235" t="str">
        <f t="shared" si="59"/>
        <v/>
      </c>
      <c r="EM7" s="229" t="str">
        <f t="shared" si="60"/>
        <v/>
      </c>
      <c r="EN7" s="236" t="str">
        <f>+IF(EL7="","",LOOKUP(EL7,tabelas!CN:CN,tabelas!CO:CO)/IND_CM_DIST)</f>
        <v/>
      </c>
      <c r="EO7" s="229" t="str">
        <f t="shared" ref="EO7:EO23" si="78">+IF(EL7="","",ROUND(EM7*EN7,2))</f>
        <v/>
      </c>
      <c r="EP7" s="237" t="str">
        <f>+IF(EL7="","",LOOKUP(EDATE(EL7,0),tabelas!CQ:CQ,tabelas!CR:CR)-IND_JR_DIST)</f>
        <v/>
      </c>
      <c r="EQ7" s="229" t="str">
        <f t="shared" si="61"/>
        <v/>
      </c>
      <c r="ER7" s="229" t="str">
        <f t="shared" ref="ER7:ER23" si="79">+IF(EL7="","",EO7+EQ7)</f>
        <v/>
      </c>
      <c r="ES7" s="26"/>
      <c r="ET7" s="335" t="s">
        <v>297</v>
      </c>
      <c r="EU7" s="218">
        <f>SUM(EQ:EQ)</f>
        <v>0</v>
      </c>
      <c r="EV7" s="26"/>
      <c r="EW7" s="26"/>
      <c r="EX7" s="328">
        <f t="shared" si="62"/>
        <v>43586.002</v>
      </c>
      <c r="EY7" s="246">
        <f t="shared" ref="EY7:EY23" si="80">+IF(ISERR(ROUND((FB7-DATE(YEAR(FB7),MONTH(FB7),DAY(FB7)))*1000,0))=TRUE,"",ROUND((FB7-DATE(YEAR(FB7),MONTH(FB7),DAY(FB7)))*1000,0))</f>
        <v>2</v>
      </c>
      <c r="EZ7" s="26"/>
      <c r="FA7" s="221">
        <f t="shared" ref="FA7:FA23" si="81">+IF(FB7="","",YEAR(FB7)-1)</f>
        <v>2018</v>
      </c>
      <c r="FB7" s="330">
        <f t="shared" si="63"/>
        <v>43586.002</v>
      </c>
      <c r="FC7" s="229">
        <f t="shared" si="64"/>
        <v>0</v>
      </c>
      <c r="FD7" s="236">
        <f ca="1">+IF(FB7="","",LOOKUP(FB7,tabelas!CN:CN,tabelas!CO:CO)/IND_CM_FIM)</f>
        <v>1</v>
      </c>
      <c r="FE7" s="229">
        <f t="shared" ref="FE7:FE23" ca="1" si="82">+IF(FB7="","",ROUND(FC7*FD7,2))</f>
        <v>0</v>
      </c>
      <c r="FF7" s="237">
        <f ca="1">+IF(FB7="","",LOOKUP(EDATE(FB7,0),tabelas!CQ:CQ,tabelas!CR:CR)-IND_JR_FIM+0.01)</f>
        <v>0.67600000000000005</v>
      </c>
      <c r="FG7" s="229">
        <f t="shared" ca="1" si="65"/>
        <v>0</v>
      </c>
      <c r="FH7" s="229">
        <f t="shared" ref="FH7:FH23" ca="1" si="83">+IF(FB7="","",FE7+FG7)</f>
        <v>0</v>
      </c>
      <c r="FJ7" s="335" t="s">
        <v>299</v>
      </c>
      <c r="FK7" s="218">
        <f ca="1">SUM(FH:FH)</f>
        <v>7114.48</v>
      </c>
      <c r="FW7" s="347" t="s">
        <v>165</v>
      </c>
    </row>
    <row r="8" spans="2:179" ht="18" customHeight="1">
      <c r="B8" s="216" t="str">
        <f>+IF(cadastro!B16="","",cadastro!B16)</f>
        <v/>
      </c>
      <c r="C8" s="217" t="str">
        <f>+IF(cadastro!C16="","",cadastro!C16)</f>
        <v/>
      </c>
      <c r="D8" s="218" t="str">
        <f>+IF(cadastro!D16="","",cadastro!D16)</f>
        <v/>
      </c>
      <c r="E8" s="218" t="str">
        <f t="shared" si="0"/>
        <v/>
      </c>
      <c r="F8" s="218" t="str">
        <f t="shared" si="1"/>
        <v/>
      </c>
      <c r="G8" s="218" t="str">
        <f t="shared" si="2"/>
        <v/>
      </c>
      <c r="H8" s="218" t="str">
        <f t="shared" si="3"/>
        <v/>
      </c>
      <c r="I8" s="218" t="str">
        <f>+IF(cadastro!C16="","",IF(cadastro!C16="COMPLETA",IF(cadastro!E16="","",cadastro!E16),0))</f>
        <v/>
      </c>
      <c r="J8" s="218" t="str">
        <f>+IF(OR(cadastro!B16="",cadastro!C16="COMPLETA"),"",LOOKUP(cadastro!B16,tabelas!AQ:AQ,tabelas!BH:BH))</f>
        <v/>
      </c>
      <c r="K8" s="218" t="str">
        <f t="shared" si="4"/>
        <v/>
      </c>
      <c r="L8" s="218" t="str">
        <f t="shared" si="5"/>
        <v/>
      </c>
      <c r="M8" s="218" t="str">
        <f t="shared" si="66"/>
        <v/>
      </c>
      <c r="N8" s="218" t="str">
        <f t="shared" si="67"/>
        <v/>
      </c>
      <c r="O8" s="218" t="str">
        <f t="shared" si="6"/>
        <v/>
      </c>
      <c r="P8" s="218" t="str">
        <f t="shared" si="7"/>
        <v/>
      </c>
      <c r="Q8" s="220" t="str">
        <f t="shared" si="8"/>
        <v/>
      </c>
      <c r="R8" s="218" t="str">
        <f t="shared" si="9"/>
        <v/>
      </c>
      <c r="S8" s="220" t="str">
        <f t="shared" si="10"/>
        <v/>
      </c>
      <c r="T8" s="218" t="str">
        <f t="shared" si="11"/>
        <v/>
      </c>
      <c r="U8" s="218">
        <f>+IF(OR(C8="SIMPLIFICADA",cadastro!G16=""),0,cadastro!G16)</f>
        <v>0</v>
      </c>
      <c r="V8" s="218">
        <f>+IF(cadastro!F16="",0,cadastro!F16)</f>
        <v>0</v>
      </c>
      <c r="W8" s="218" t="str">
        <f t="shared" si="68"/>
        <v/>
      </c>
      <c r="X8" s="218" t="str">
        <f t="shared" si="69"/>
        <v/>
      </c>
      <c r="Y8" s="218" t="str">
        <f>+IF(cadastro!H16="","",cadastro!H16)</f>
        <v/>
      </c>
      <c r="Z8" s="218" t="str">
        <f>+IF(cadastro!J16="","",IF(LEFT(AB8,1)="R",-1,1)*cadastro!J16)</f>
        <v/>
      </c>
      <c r="AA8" s="218" t="str">
        <f t="shared" si="12"/>
        <v/>
      </c>
      <c r="AB8" s="217" t="str">
        <f t="shared" si="13"/>
        <v/>
      </c>
      <c r="AC8" s="218" t="str">
        <f t="shared" si="14"/>
        <v/>
      </c>
      <c r="AD8" s="217" t="str">
        <f t="shared" si="15"/>
        <v/>
      </c>
      <c r="AE8" s="217" t="str">
        <f t="shared" si="70"/>
        <v/>
      </c>
      <c r="AF8" s="216" t="str">
        <f t="shared" si="16"/>
        <v/>
      </c>
      <c r="AG8" s="216" t="str">
        <f t="shared" si="71"/>
        <v/>
      </c>
      <c r="AH8" s="26"/>
      <c r="AI8" s="216" t="str">
        <f>+IF(B8="","",LOOKUP(B8,tabelas!AQ:AQ,tabelas!AR:AR))</f>
        <v/>
      </c>
      <c r="AJ8" s="371" t="str">
        <f>+IF(B8="","",LOOKUP(B8,tabelas!AQ:AQ,tabelas!AT:AT))</f>
        <v/>
      </c>
      <c r="AK8" s="219" t="str">
        <f>+IF(B8="","",LOOKUP(B8,tabelas!AQ:AQ,tabelas!AS:AS))</f>
        <v/>
      </c>
      <c r="AL8" s="371" t="str">
        <f>+IF(B8="","",LOOKUP(B8,tabelas!AQ:AQ,tabelas!AU:AU))</f>
        <v/>
      </c>
      <c r="AM8" s="371" t="str">
        <f>+IF(B8="","",LOOKUP(B8,tabelas!AQ:AQ,tabelas!AW:AW))</f>
        <v/>
      </c>
      <c r="AN8" s="219" t="str">
        <f>+IF(B8="","",LOOKUP(B8,tabelas!AQ:AQ,tabelas!AV:AV))</f>
        <v/>
      </c>
      <c r="AO8" s="371" t="str">
        <f>+IF(B8="","",LOOKUP(B8,tabelas!AQ:AQ,tabelas!AX:AX))</f>
        <v/>
      </c>
      <c r="AP8" s="371" t="str">
        <f>+IF(B8="","",LOOKUP(B8,tabelas!AQ:AQ,tabelas!AZ:AZ))</f>
        <v/>
      </c>
      <c r="AQ8" s="219" t="str">
        <f>+IF(B8="","",LOOKUP(B8,tabelas!AQ:AQ,tabelas!AY:AY))</f>
        <v/>
      </c>
      <c r="AR8" s="371" t="str">
        <f>+IF(B8="","",LOOKUP(B8,tabelas!AQ:AQ,tabelas!BA:BA))</f>
        <v/>
      </c>
      <c r="AS8" s="371" t="str">
        <f>+IF(B8="","",LOOKUP(B8,tabelas!AQ:AQ,tabelas!BC:BC))</f>
        <v/>
      </c>
      <c r="AT8" s="219" t="str">
        <f>+IF(B8="","",LOOKUP(B8,tabelas!AQ:AQ,tabelas!BB:BB))</f>
        <v/>
      </c>
      <c r="AU8" s="371" t="str">
        <f>+IF(B8="","",LOOKUP(B8,tabelas!AQ:AQ,tabelas!BD:BD))</f>
        <v/>
      </c>
      <c r="AV8" s="371" t="str">
        <f>+IF(B8="","",LOOKUP(B8,tabelas!AQ:AQ,tabelas!BF:BF))</f>
        <v/>
      </c>
      <c r="AW8" s="219" t="str">
        <f>+IF(B8="","",LOOKUP(B8,tabelas!AQ:AQ,tabelas!BE:BE))</f>
        <v/>
      </c>
      <c r="AX8" s="371" t="str">
        <f>+IF(B8="","",LOOKUP(B8,tabelas!AQ:AQ,tabelas!BG:BG))</f>
        <v/>
      </c>
      <c r="AY8" s="26"/>
      <c r="AZ8" s="38">
        <v>3</v>
      </c>
      <c r="BA8" s="225" t="str">
        <f t="shared" si="72"/>
        <v/>
      </c>
      <c r="BB8" s="225" t="str">
        <f t="shared" si="73"/>
        <v/>
      </c>
      <c r="BC8" s="26"/>
      <c r="BD8" s="221" t="str">
        <f t="shared" si="17"/>
        <v/>
      </c>
      <c r="BE8" s="227" t="str">
        <f t="shared" si="74"/>
        <v/>
      </c>
      <c r="BF8" s="228" t="str">
        <f t="shared" si="18"/>
        <v/>
      </c>
      <c r="BG8" s="228" t="str">
        <f t="shared" si="19"/>
        <v/>
      </c>
      <c r="BH8" s="228" t="str">
        <f t="shared" si="20"/>
        <v/>
      </c>
      <c r="BI8" s="228" t="str">
        <f t="shared" si="21"/>
        <v/>
      </c>
      <c r="BJ8" s="219" t="str">
        <f t="shared" si="22"/>
        <v/>
      </c>
      <c r="BK8" s="217" t="str">
        <f t="shared" si="23"/>
        <v/>
      </c>
      <c r="BL8" s="228" t="str">
        <f t="shared" si="24"/>
        <v/>
      </c>
      <c r="BM8" s="228" t="str">
        <f t="shared" si="25"/>
        <v/>
      </c>
      <c r="BN8" s="217" t="str">
        <f t="shared" si="26"/>
        <v/>
      </c>
      <c r="BO8" s="228" t="str">
        <f t="shared" si="27"/>
        <v/>
      </c>
      <c r="BP8" s="228" t="str">
        <f t="shared" si="28"/>
        <v/>
      </c>
      <c r="BQ8" s="228" t="str">
        <f t="shared" si="29"/>
        <v/>
      </c>
      <c r="BR8" s="26"/>
      <c r="BS8" s="216" t="str">
        <f>+IF(BD8="","",LOOKUP(BD8,tabelas!AQ:AQ,tabelas!AR:AR))</f>
        <v/>
      </c>
      <c r="BT8" s="217" t="str">
        <f>+IF(BD8="","",LOOKUP(BD8,tabelas!AQ:AQ,tabelas!AT:AT))</f>
        <v/>
      </c>
      <c r="BU8" s="219" t="str">
        <f>+IF(BD8="","",LOOKUP(BD8,tabelas!AQ:AQ,tabelas!AS:AS))</f>
        <v/>
      </c>
      <c r="BV8" s="217" t="str">
        <f>+IF(BD8="","",LOOKUP(BD8,tabelas!AQ:AQ,tabelas!AU:AU))</f>
        <v/>
      </c>
      <c r="BW8" s="217" t="str">
        <f>+IF(BD8="","",LOOKUP(BD8,tabelas!AQ:AQ,tabelas!AW:AW))</f>
        <v/>
      </c>
      <c r="BX8" s="219" t="str">
        <f>+IF(BD8="","",LOOKUP(BD8,tabelas!AQ:AQ,tabelas!AV:AV))</f>
        <v/>
      </c>
      <c r="BY8" s="217" t="str">
        <f>+IF(BD8="","",LOOKUP(BD8,tabelas!AQ:AQ,tabelas!AX:AX))</f>
        <v/>
      </c>
      <c r="BZ8" s="217" t="str">
        <f>+IF(BD8="","",LOOKUP(BD8,tabelas!AQ:AQ,tabelas!AZ:AZ))</f>
        <v/>
      </c>
      <c r="CA8" s="219" t="str">
        <f>+IF(BD8="","",LOOKUP(BD8,tabelas!AQ:AQ,tabelas!AY:AY))</f>
        <v/>
      </c>
      <c r="CB8" s="217" t="str">
        <f>+IF(BD8="","",LOOKUP(BD8,tabelas!AQ:AQ,tabelas!BA:BA))</f>
        <v/>
      </c>
      <c r="CC8" s="217" t="str">
        <f>+IF(BD8="","",LOOKUP(BD8,tabelas!AQ:AQ,tabelas!BC:BC))</f>
        <v/>
      </c>
      <c r="CD8" s="219" t="str">
        <f>+IF(BD8="","",LOOKUP(BD8,tabelas!AQ:AQ,tabelas!BB:BB))</f>
        <v/>
      </c>
      <c r="CE8" s="217" t="str">
        <f>+IF(BD8="","",LOOKUP(BD8,tabelas!AQ:AQ,tabelas!BD:BD))</f>
        <v/>
      </c>
      <c r="CF8" s="217" t="str">
        <f>+IF(BD8="","",LOOKUP(BD8,tabelas!AQ:AQ,tabelas!BF:BF))</f>
        <v/>
      </c>
      <c r="CG8" s="219" t="str">
        <f>+IF(BD8="","",LOOKUP(BD8,tabelas!AQ:AQ,tabelas!BE:BE))</f>
        <v/>
      </c>
      <c r="CH8" s="217" t="str">
        <f>+IF(BD8="","",LOOKUP(BD8,tabelas!AQ:AQ,tabelas!BG:BG))</f>
        <v/>
      </c>
      <c r="CI8" s="26"/>
      <c r="CJ8" s="221" t="str">
        <f t="shared" si="30"/>
        <v/>
      </c>
      <c r="CK8" s="227" t="str">
        <f t="shared" si="75"/>
        <v/>
      </c>
      <c r="CL8" s="217" t="str">
        <f t="shared" si="31"/>
        <v/>
      </c>
      <c r="CM8" s="217" t="str">
        <f t="shared" si="32"/>
        <v/>
      </c>
      <c r="CN8" s="217" t="str">
        <f t="shared" si="33"/>
        <v/>
      </c>
      <c r="CO8" s="217" t="str">
        <f t="shared" si="34"/>
        <v/>
      </c>
      <c r="CP8" s="217" t="str">
        <f t="shared" si="35"/>
        <v/>
      </c>
      <c r="CQ8" s="217" t="str">
        <f t="shared" si="36"/>
        <v/>
      </c>
      <c r="CR8" s="217" t="str">
        <f t="shared" si="37"/>
        <v/>
      </c>
      <c r="CS8" s="217" t="str">
        <f t="shared" si="38"/>
        <v/>
      </c>
      <c r="CT8" s="228" t="str">
        <f t="shared" si="39"/>
        <v/>
      </c>
      <c r="CU8" s="217" t="str">
        <f t="shared" si="40"/>
        <v/>
      </c>
      <c r="CV8" s="223" t="str">
        <f t="shared" si="41"/>
        <v/>
      </c>
      <c r="CW8" s="229" t="str">
        <f t="shared" si="42"/>
        <v/>
      </c>
      <c r="CX8" s="223" t="str">
        <f t="shared" si="43"/>
        <v/>
      </c>
      <c r="CY8" s="229" t="str">
        <f t="shared" si="44"/>
        <v/>
      </c>
      <c r="CZ8" s="228" t="str">
        <f t="shared" si="45"/>
        <v/>
      </c>
      <c r="DA8" s="228" t="str">
        <f t="shared" si="46"/>
        <v/>
      </c>
      <c r="DB8" s="230" t="str">
        <f t="shared" si="47"/>
        <v/>
      </c>
      <c r="DC8" s="217" t="str">
        <f t="shared" si="48"/>
        <v/>
      </c>
      <c r="DD8" s="228" t="str">
        <f t="shared" si="49"/>
        <v/>
      </c>
      <c r="DE8" s="228" t="str">
        <f t="shared" si="50"/>
        <v/>
      </c>
      <c r="DF8" s="228" t="str">
        <f t="shared" si="51"/>
        <v/>
      </c>
      <c r="DG8" s="217" t="str">
        <f t="shared" si="52"/>
        <v/>
      </c>
      <c r="DH8" s="217" t="str">
        <f t="shared" si="53"/>
        <v/>
      </c>
      <c r="DI8" s="217" t="str">
        <f t="shared" si="54"/>
        <v/>
      </c>
      <c r="DJ8" s="26"/>
      <c r="DK8" s="216" t="str">
        <f>+IF(CJ8="","",LOOKUP(CJ8,tabelas!AQ:AQ,tabelas!AR:AR))</f>
        <v/>
      </c>
      <c r="DL8" s="217" t="str">
        <f>+IF(CJ8="","",LOOKUP(CJ8,tabelas!AQ:AQ,tabelas!AT:AT))</f>
        <v/>
      </c>
      <c r="DM8" s="219" t="str">
        <f>+IF(CJ8="","",LOOKUP(CJ8,tabelas!AQ:AQ,tabelas!AS:AS))</f>
        <v/>
      </c>
      <c r="DN8" s="217" t="str">
        <f>+IF(CJ8="","",LOOKUP(CJ8,tabelas!AQ:AQ,tabelas!AU:AU))</f>
        <v/>
      </c>
      <c r="DO8" s="217" t="str">
        <f>+IF(CJ8="","",LOOKUP(CJ8,tabelas!AQ:AQ,tabelas!AW:AW))</f>
        <v/>
      </c>
      <c r="DP8" s="219" t="str">
        <f>+IF(CJ8="","",LOOKUP(CJ8,tabelas!AQ:AQ,tabelas!AV:AV))</f>
        <v/>
      </c>
      <c r="DQ8" s="217" t="str">
        <f>+IF(CJ8="","",LOOKUP(CJ8,tabelas!AQ:AQ,tabelas!AX:AX))</f>
        <v/>
      </c>
      <c r="DR8" s="217" t="str">
        <f>+IF(CJ8="","",LOOKUP(CJ8,tabelas!AQ:AQ,tabelas!AZ:AZ))</f>
        <v/>
      </c>
      <c r="DS8" s="219" t="str">
        <f>+IF(CJ8="","",LOOKUP(CJ8,tabelas!AQ:AQ,tabelas!AY:AY))</f>
        <v/>
      </c>
      <c r="DT8" s="217" t="str">
        <f>+IF(CJ8="","",LOOKUP(CJ8,tabelas!AQ:AQ,tabelas!BA:BA))</f>
        <v/>
      </c>
      <c r="DU8" s="217" t="str">
        <f>+IF(CJ8="","",LOOKUP(CJ8,tabelas!AQ:AQ,tabelas!BC:BC))</f>
        <v/>
      </c>
      <c r="DV8" s="219" t="str">
        <f>+IF(CJ8="","",LOOKUP(CJ8,tabelas!AQ:AQ,tabelas!BB:BB))</f>
        <v/>
      </c>
      <c r="DW8" s="217" t="str">
        <f>+IF(CJ8="","",LOOKUP(CJ8,tabelas!AQ:AQ,tabelas!BD:BD))</f>
        <v/>
      </c>
      <c r="DX8" s="217" t="str">
        <f>+IF(CJ8="","",LOOKUP(CJ8,tabelas!AQ:AQ,tabelas!BF:BF))</f>
        <v/>
      </c>
      <c r="DY8" s="219" t="str">
        <f>+IF(CJ8="","",LOOKUP(CJ8,tabelas!AQ:AQ,tabelas!BE:BE))</f>
        <v/>
      </c>
      <c r="DZ8" s="217" t="str">
        <f>+IF(CJ8="","",LOOKUP(CJ8,tabelas!AQ:AQ,tabelas!BG:BG))</f>
        <v/>
      </c>
      <c r="EA8" s="26"/>
      <c r="EB8" s="326" t="str">
        <f>+IF(CJ8="","",LOOKUP(CJ8,tabelas!AQ:AQ,tabelas!BI:BI))</f>
        <v/>
      </c>
      <c r="EC8" s="222" t="str">
        <f t="shared" si="55"/>
        <v/>
      </c>
      <c r="ED8" s="231" t="str">
        <f t="shared" si="56"/>
        <v/>
      </c>
      <c r="EE8" s="222" t="str">
        <f>+IF(CJ8="","",IF(AND(ROUND(CJ8,0)&gt;1991,ROUND(CJ8,0)&lt;1995),LOOKUP(DATE(ROUND(CJ8,0)+1,5,1),tabelas!CC:CC,tabelas!CD:CD),""))</f>
        <v/>
      </c>
      <c r="EF8" s="222" t="str">
        <f t="shared" si="57"/>
        <v/>
      </c>
      <c r="EG8" s="26"/>
      <c r="EH8" s="233" t="str">
        <f t="shared" si="58"/>
        <v/>
      </c>
      <c r="EI8" s="246" t="str">
        <f t="shared" si="76"/>
        <v/>
      </c>
      <c r="EJ8" s="26"/>
      <c r="EK8" s="221" t="str">
        <f t="shared" si="77"/>
        <v/>
      </c>
      <c r="EL8" s="235" t="str">
        <f t="shared" si="59"/>
        <v/>
      </c>
      <c r="EM8" s="229" t="str">
        <f t="shared" si="60"/>
        <v/>
      </c>
      <c r="EN8" s="236" t="str">
        <f>+IF(EL8="","",LOOKUP(EL8,tabelas!CN:CN,tabelas!CO:CO)/IND_CM_DIST)</f>
        <v/>
      </c>
      <c r="EO8" s="229" t="str">
        <f t="shared" si="78"/>
        <v/>
      </c>
      <c r="EP8" s="237" t="str">
        <f>+IF(EL8="","",LOOKUP(EDATE(EL8,0),tabelas!CQ:CQ,tabelas!CR:CR)-IND_JR_DIST)</f>
        <v/>
      </c>
      <c r="EQ8" s="229" t="str">
        <f t="shared" si="61"/>
        <v/>
      </c>
      <c r="ER8" s="229" t="str">
        <f t="shared" si="79"/>
        <v/>
      </c>
      <c r="ES8" s="26"/>
      <c r="ET8" s="335" t="s">
        <v>299</v>
      </c>
      <c r="EU8" s="218">
        <f>SUM(ER:ER)</f>
        <v>0</v>
      </c>
      <c r="EV8" s="26"/>
      <c r="EW8" s="26"/>
      <c r="EX8" s="328" t="str">
        <f t="shared" si="62"/>
        <v/>
      </c>
      <c r="EY8" s="246" t="str">
        <f t="shared" si="80"/>
        <v/>
      </c>
      <c r="EZ8" s="26"/>
      <c r="FA8" s="221" t="str">
        <f t="shared" si="81"/>
        <v/>
      </c>
      <c r="FB8" s="330" t="str">
        <f t="shared" si="63"/>
        <v/>
      </c>
      <c r="FC8" s="229" t="str">
        <f t="shared" si="64"/>
        <v/>
      </c>
      <c r="FD8" s="236" t="str">
        <f>+IF(FB8="","",LOOKUP(FB8,tabelas!CN:CN,tabelas!CO:CO)/IND_CM_FIM)</f>
        <v/>
      </c>
      <c r="FE8" s="229" t="str">
        <f t="shared" si="82"/>
        <v/>
      </c>
      <c r="FF8" s="237" t="str">
        <f>+IF(FB8="","",LOOKUP(EDATE(FB8,0),tabelas!CQ:CQ,tabelas!CR:CR)-IND_JR_FIM+0.01)</f>
        <v/>
      </c>
      <c r="FG8" s="229" t="str">
        <f t="shared" si="65"/>
        <v/>
      </c>
      <c r="FH8" s="229" t="str">
        <f t="shared" si="83"/>
        <v/>
      </c>
      <c r="FJ8" s="335" t="s">
        <v>302</v>
      </c>
      <c r="FK8" s="340">
        <f ca="1">+LOOKUP(EDATE(DAT_FIM,-1),tabelas!CQ:CQ,tabelas!CR:CR)</f>
        <v>2.3100000000000002E-2</v>
      </c>
      <c r="FW8" s="347" t="s">
        <v>166</v>
      </c>
    </row>
    <row r="9" spans="2:179" ht="18" customHeight="1">
      <c r="B9" s="216" t="str">
        <f>+IF(cadastro!B17="","",cadastro!B17)</f>
        <v/>
      </c>
      <c r="C9" s="217" t="str">
        <f>+IF(cadastro!C17="","",cadastro!C17)</f>
        <v/>
      </c>
      <c r="D9" s="218" t="str">
        <f>+IF(cadastro!D17="","",cadastro!D17)</f>
        <v/>
      </c>
      <c r="E9" s="218" t="str">
        <f t="shared" si="0"/>
        <v/>
      </c>
      <c r="F9" s="218" t="str">
        <f t="shared" si="1"/>
        <v/>
      </c>
      <c r="G9" s="218" t="str">
        <f t="shared" si="2"/>
        <v/>
      </c>
      <c r="H9" s="218" t="str">
        <f t="shared" si="3"/>
        <v/>
      </c>
      <c r="I9" s="218" t="str">
        <f>+IF(cadastro!C17="","",IF(cadastro!C17="COMPLETA",IF(cadastro!E17="","",cadastro!E17),0))</f>
        <v/>
      </c>
      <c r="J9" s="218" t="str">
        <f>+IF(OR(cadastro!B17="",cadastro!C17="COMPLETA"),"",LOOKUP(cadastro!B17,tabelas!AQ:AQ,tabelas!BH:BH))</f>
        <v/>
      </c>
      <c r="K9" s="218" t="str">
        <f t="shared" si="4"/>
        <v/>
      </c>
      <c r="L9" s="218" t="str">
        <f t="shared" si="5"/>
        <v/>
      </c>
      <c r="M9" s="218" t="str">
        <f t="shared" si="66"/>
        <v/>
      </c>
      <c r="N9" s="218" t="str">
        <f t="shared" si="67"/>
        <v/>
      </c>
      <c r="O9" s="218" t="str">
        <f t="shared" si="6"/>
        <v/>
      </c>
      <c r="P9" s="218" t="str">
        <f t="shared" si="7"/>
        <v/>
      </c>
      <c r="Q9" s="220" t="str">
        <f t="shared" si="8"/>
        <v/>
      </c>
      <c r="R9" s="218" t="str">
        <f t="shared" si="9"/>
        <v/>
      </c>
      <c r="S9" s="220" t="str">
        <f t="shared" si="10"/>
        <v/>
      </c>
      <c r="T9" s="218" t="str">
        <f t="shared" si="11"/>
        <v/>
      </c>
      <c r="U9" s="218">
        <f>+IF(OR(C9="SIMPLIFICADA",cadastro!G17=""),0,cadastro!G17)</f>
        <v>0</v>
      </c>
      <c r="V9" s="218">
        <f>+IF(cadastro!F17="",0,cadastro!F17)</f>
        <v>0</v>
      </c>
      <c r="W9" s="218" t="str">
        <f t="shared" si="68"/>
        <v/>
      </c>
      <c r="X9" s="218" t="str">
        <f t="shared" si="69"/>
        <v/>
      </c>
      <c r="Y9" s="218" t="str">
        <f>+IF(cadastro!H17="","",cadastro!H17)</f>
        <v/>
      </c>
      <c r="Z9" s="218" t="str">
        <f>+IF(cadastro!J17="","",IF(LEFT(AB9,1)="R",-1,1)*cadastro!J17)</f>
        <v/>
      </c>
      <c r="AA9" s="218" t="str">
        <f t="shared" si="12"/>
        <v/>
      </c>
      <c r="AB9" s="217" t="str">
        <f t="shared" si="13"/>
        <v/>
      </c>
      <c r="AC9" s="218" t="str">
        <f t="shared" si="14"/>
        <v/>
      </c>
      <c r="AD9" s="217" t="str">
        <f t="shared" si="15"/>
        <v/>
      </c>
      <c r="AE9" s="217" t="str">
        <f t="shared" si="70"/>
        <v/>
      </c>
      <c r="AF9" s="216" t="str">
        <f t="shared" si="16"/>
        <v/>
      </c>
      <c r="AG9" s="216" t="str">
        <f t="shared" si="71"/>
        <v/>
      </c>
      <c r="AH9" s="26"/>
      <c r="AI9" s="216" t="str">
        <f>+IF(B9="","",LOOKUP(B9,tabelas!AQ:AQ,tabelas!AR:AR))</f>
        <v/>
      </c>
      <c r="AJ9" s="371" t="str">
        <f>+IF(B9="","",LOOKUP(B9,tabelas!AQ:AQ,tabelas!AT:AT))</f>
        <v/>
      </c>
      <c r="AK9" s="219" t="str">
        <f>+IF(B9="","",LOOKUP(B9,tabelas!AQ:AQ,tabelas!AS:AS))</f>
        <v/>
      </c>
      <c r="AL9" s="371" t="str">
        <f>+IF(B9="","",LOOKUP(B9,tabelas!AQ:AQ,tabelas!AU:AU))</f>
        <v/>
      </c>
      <c r="AM9" s="371" t="str">
        <f>+IF(B9="","",LOOKUP(B9,tabelas!AQ:AQ,tabelas!AW:AW))</f>
        <v/>
      </c>
      <c r="AN9" s="219" t="str">
        <f>+IF(B9="","",LOOKUP(B9,tabelas!AQ:AQ,tabelas!AV:AV))</f>
        <v/>
      </c>
      <c r="AO9" s="371" t="str">
        <f>+IF(B9="","",LOOKUP(B9,tabelas!AQ:AQ,tabelas!AX:AX))</f>
        <v/>
      </c>
      <c r="AP9" s="371" t="str">
        <f>+IF(B9="","",LOOKUP(B9,tabelas!AQ:AQ,tabelas!AZ:AZ))</f>
        <v/>
      </c>
      <c r="AQ9" s="219" t="str">
        <f>+IF(B9="","",LOOKUP(B9,tabelas!AQ:AQ,tabelas!AY:AY))</f>
        <v/>
      </c>
      <c r="AR9" s="371" t="str">
        <f>+IF(B9="","",LOOKUP(B9,tabelas!AQ:AQ,tabelas!BA:BA))</f>
        <v/>
      </c>
      <c r="AS9" s="371" t="str">
        <f>+IF(B9="","",LOOKUP(B9,tabelas!AQ:AQ,tabelas!BC:BC))</f>
        <v/>
      </c>
      <c r="AT9" s="219" t="str">
        <f>+IF(B9="","",LOOKUP(B9,tabelas!AQ:AQ,tabelas!BB:BB))</f>
        <v/>
      </c>
      <c r="AU9" s="371" t="str">
        <f>+IF(B9="","",LOOKUP(B9,tabelas!AQ:AQ,tabelas!BD:BD))</f>
        <v/>
      </c>
      <c r="AV9" s="371" t="str">
        <f>+IF(B9="","",LOOKUP(B9,tabelas!AQ:AQ,tabelas!BF:BF))</f>
        <v/>
      </c>
      <c r="AW9" s="219" t="str">
        <f>+IF(B9="","",LOOKUP(B9,tabelas!AQ:AQ,tabelas!BE:BE))</f>
        <v/>
      </c>
      <c r="AX9" s="371" t="str">
        <f>+IF(B9="","",LOOKUP(B9,tabelas!AQ:AQ,tabelas!BG:BG))</f>
        <v/>
      </c>
      <c r="AY9" s="26"/>
      <c r="AZ9" s="38">
        <v>4</v>
      </c>
      <c r="BA9" s="225" t="str">
        <f t="shared" si="72"/>
        <v/>
      </c>
      <c r="BB9" s="225" t="str">
        <f t="shared" si="73"/>
        <v/>
      </c>
      <c r="BC9" s="26"/>
      <c r="BD9" s="221" t="str">
        <f t="shared" si="17"/>
        <v/>
      </c>
      <c r="BE9" s="227" t="str">
        <f t="shared" si="74"/>
        <v/>
      </c>
      <c r="BF9" s="228" t="str">
        <f t="shared" si="18"/>
        <v/>
      </c>
      <c r="BG9" s="228" t="str">
        <f t="shared" si="19"/>
        <v/>
      </c>
      <c r="BH9" s="228" t="str">
        <f t="shared" si="20"/>
        <v/>
      </c>
      <c r="BI9" s="228" t="str">
        <f t="shared" si="21"/>
        <v/>
      </c>
      <c r="BJ9" s="219" t="str">
        <f t="shared" si="22"/>
        <v/>
      </c>
      <c r="BK9" s="217" t="str">
        <f t="shared" si="23"/>
        <v/>
      </c>
      <c r="BL9" s="228" t="str">
        <f t="shared" si="24"/>
        <v/>
      </c>
      <c r="BM9" s="228" t="str">
        <f t="shared" si="25"/>
        <v/>
      </c>
      <c r="BN9" s="217" t="str">
        <f t="shared" si="26"/>
        <v/>
      </c>
      <c r="BO9" s="228" t="str">
        <f t="shared" si="27"/>
        <v/>
      </c>
      <c r="BP9" s="228" t="str">
        <f t="shared" si="28"/>
        <v/>
      </c>
      <c r="BQ9" s="228" t="str">
        <f t="shared" si="29"/>
        <v/>
      </c>
      <c r="BR9" s="26"/>
      <c r="BS9" s="216" t="str">
        <f>+IF(BD9="","",LOOKUP(BD9,tabelas!AQ:AQ,tabelas!AR:AR))</f>
        <v/>
      </c>
      <c r="BT9" s="217" t="str">
        <f>+IF(BD9="","",LOOKUP(BD9,tabelas!AQ:AQ,tabelas!AT:AT))</f>
        <v/>
      </c>
      <c r="BU9" s="219" t="str">
        <f>+IF(BD9="","",LOOKUP(BD9,tabelas!AQ:AQ,tabelas!AS:AS))</f>
        <v/>
      </c>
      <c r="BV9" s="217" t="str">
        <f>+IF(BD9="","",LOOKUP(BD9,tabelas!AQ:AQ,tabelas!AU:AU))</f>
        <v/>
      </c>
      <c r="BW9" s="217" t="str">
        <f>+IF(BD9="","",LOOKUP(BD9,tabelas!AQ:AQ,tabelas!AW:AW))</f>
        <v/>
      </c>
      <c r="BX9" s="219" t="str">
        <f>+IF(BD9="","",LOOKUP(BD9,tabelas!AQ:AQ,tabelas!AV:AV))</f>
        <v/>
      </c>
      <c r="BY9" s="217" t="str">
        <f>+IF(BD9="","",LOOKUP(BD9,tabelas!AQ:AQ,tabelas!AX:AX))</f>
        <v/>
      </c>
      <c r="BZ9" s="217" t="str">
        <f>+IF(BD9="","",LOOKUP(BD9,tabelas!AQ:AQ,tabelas!AZ:AZ))</f>
        <v/>
      </c>
      <c r="CA9" s="219" t="str">
        <f>+IF(BD9="","",LOOKUP(BD9,tabelas!AQ:AQ,tabelas!AY:AY))</f>
        <v/>
      </c>
      <c r="CB9" s="217" t="str">
        <f>+IF(BD9="","",LOOKUP(BD9,tabelas!AQ:AQ,tabelas!BA:BA))</f>
        <v/>
      </c>
      <c r="CC9" s="217" t="str">
        <f>+IF(BD9="","",LOOKUP(BD9,tabelas!AQ:AQ,tabelas!BC:BC))</f>
        <v/>
      </c>
      <c r="CD9" s="219" t="str">
        <f>+IF(BD9="","",LOOKUP(BD9,tabelas!AQ:AQ,tabelas!BB:BB))</f>
        <v/>
      </c>
      <c r="CE9" s="217" t="str">
        <f>+IF(BD9="","",LOOKUP(BD9,tabelas!AQ:AQ,tabelas!BD:BD))</f>
        <v/>
      </c>
      <c r="CF9" s="217" t="str">
        <f>+IF(BD9="","",LOOKUP(BD9,tabelas!AQ:AQ,tabelas!BF:BF))</f>
        <v/>
      </c>
      <c r="CG9" s="219" t="str">
        <f>+IF(BD9="","",LOOKUP(BD9,tabelas!AQ:AQ,tabelas!BE:BE))</f>
        <v/>
      </c>
      <c r="CH9" s="217" t="str">
        <f>+IF(BD9="","",LOOKUP(BD9,tabelas!AQ:AQ,tabelas!BG:BG))</f>
        <v/>
      </c>
      <c r="CI9" s="26"/>
      <c r="CJ9" s="221" t="str">
        <f t="shared" si="30"/>
        <v/>
      </c>
      <c r="CK9" s="227" t="str">
        <f t="shared" si="75"/>
        <v/>
      </c>
      <c r="CL9" s="217" t="str">
        <f t="shared" si="31"/>
        <v/>
      </c>
      <c r="CM9" s="217" t="str">
        <f t="shared" si="32"/>
        <v/>
      </c>
      <c r="CN9" s="217" t="str">
        <f t="shared" si="33"/>
        <v/>
      </c>
      <c r="CO9" s="217" t="str">
        <f t="shared" si="34"/>
        <v/>
      </c>
      <c r="CP9" s="217" t="str">
        <f t="shared" si="35"/>
        <v/>
      </c>
      <c r="CQ9" s="217" t="str">
        <f t="shared" si="36"/>
        <v/>
      </c>
      <c r="CR9" s="217" t="str">
        <f t="shared" si="37"/>
        <v/>
      </c>
      <c r="CS9" s="217" t="str">
        <f t="shared" si="38"/>
        <v/>
      </c>
      <c r="CT9" s="228" t="str">
        <f t="shared" si="39"/>
        <v/>
      </c>
      <c r="CU9" s="217" t="str">
        <f t="shared" si="40"/>
        <v/>
      </c>
      <c r="CV9" s="223" t="str">
        <f t="shared" si="41"/>
        <v/>
      </c>
      <c r="CW9" s="229" t="str">
        <f t="shared" si="42"/>
        <v/>
      </c>
      <c r="CX9" s="223" t="str">
        <f t="shared" si="43"/>
        <v/>
      </c>
      <c r="CY9" s="229" t="str">
        <f t="shared" si="44"/>
        <v/>
      </c>
      <c r="CZ9" s="228" t="str">
        <f t="shared" si="45"/>
        <v/>
      </c>
      <c r="DA9" s="228" t="str">
        <f t="shared" si="46"/>
        <v/>
      </c>
      <c r="DB9" s="230" t="str">
        <f t="shared" si="47"/>
        <v/>
      </c>
      <c r="DC9" s="217" t="str">
        <f t="shared" si="48"/>
        <v/>
      </c>
      <c r="DD9" s="228" t="str">
        <f t="shared" si="49"/>
        <v/>
      </c>
      <c r="DE9" s="228" t="str">
        <f t="shared" si="50"/>
        <v/>
      </c>
      <c r="DF9" s="228" t="str">
        <f t="shared" si="51"/>
        <v/>
      </c>
      <c r="DG9" s="217" t="str">
        <f t="shared" si="52"/>
        <v/>
      </c>
      <c r="DH9" s="217" t="str">
        <f t="shared" si="53"/>
        <v/>
      </c>
      <c r="DI9" s="217" t="str">
        <f t="shared" si="54"/>
        <v/>
      </c>
      <c r="DJ9" s="26"/>
      <c r="DK9" s="216" t="str">
        <f>+IF(CJ9="","",LOOKUP(CJ9,tabelas!AQ:AQ,tabelas!AR:AR))</f>
        <v/>
      </c>
      <c r="DL9" s="217" t="str">
        <f>+IF(CJ9="","",LOOKUP(CJ9,tabelas!AQ:AQ,tabelas!AT:AT))</f>
        <v/>
      </c>
      <c r="DM9" s="219" t="str">
        <f>+IF(CJ9="","",LOOKUP(CJ9,tabelas!AQ:AQ,tabelas!AS:AS))</f>
        <v/>
      </c>
      <c r="DN9" s="217" t="str">
        <f>+IF(CJ9="","",LOOKUP(CJ9,tabelas!AQ:AQ,tabelas!AU:AU))</f>
        <v/>
      </c>
      <c r="DO9" s="217" t="str">
        <f>+IF(CJ9="","",LOOKUP(CJ9,tabelas!AQ:AQ,tabelas!AW:AW))</f>
        <v/>
      </c>
      <c r="DP9" s="219" t="str">
        <f>+IF(CJ9="","",LOOKUP(CJ9,tabelas!AQ:AQ,tabelas!AV:AV))</f>
        <v/>
      </c>
      <c r="DQ9" s="217" t="str">
        <f>+IF(CJ9="","",LOOKUP(CJ9,tabelas!AQ:AQ,tabelas!AX:AX))</f>
        <v/>
      </c>
      <c r="DR9" s="217" t="str">
        <f>+IF(CJ9="","",LOOKUP(CJ9,tabelas!AQ:AQ,tabelas!AZ:AZ))</f>
        <v/>
      </c>
      <c r="DS9" s="219" t="str">
        <f>+IF(CJ9="","",LOOKUP(CJ9,tabelas!AQ:AQ,tabelas!AY:AY))</f>
        <v/>
      </c>
      <c r="DT9" s="217" t="str">
        <f>+IF(CJ9="","",LOOKUP(CJ9,tabelas!AQ:AQ,tabelas!BA:BA))</f>
        <v/>
      </c>
      <c r="DU9" s="217" t="str">
        <f>+IF(CJ9="","",LOOKUP(CJ9,tabelas!AQ:AQ,tabelas!BC:BC))</f>
        <v/>
      </c>
      <c r="DV9" s="219" t="str">
        <f>+IF(CJ9="","",LOOKUP(CJ9,tabelas!AQ:AQ,tabelas!BB:BB))</f>
        <v/>
      </c>
      <c r="DW9" s="217" t="str">
        <f>+IF(CJ9="","",LOOKUP(CJ9,tabelas!AQ:AQ,tabelas!BD:BD))</f>
        <v/>
      </c>
      <c r="DX9" s="217" t="str">
        <f>+IF(CJ9="","",LOOKUP(CJ9,tabelas!AQ:AQ,tabelas!BF:BF))</f>
        <v/>
      </c>
      <c r="DY9" s="219" t="str">
        <f>+IF(CJ9="","",LOOKUP(CJ9,tabelas!AQ:AQ,tabelas!BE:BE))</f>
        <v/>
      </c>
      <c r="DZ9" s="217" t="str">
        <f>+IF(CJ9="","",LOOKUP(CJ9,tabelas!AQ:AQ,tabelas!BG:BG))</f>
        <v/>
      </c>
      <c r="EA9" s="26"/>
      <c r="EB9" s="326" t="str">
        <f>+IF(CJ9="","",LOOKUP(CJ9,tabelas!AQ:AQ,tabelas!BI:BI))</f>
        <v/>
      </c>
      <c r="EC9" s="222" t="str">
        <f t="shared" si="55"/>
        <v/>
      </c>
      <c r="ED9" s="231" t="str">
        <f t="shared" si="56"/>
        <v/>
      </c>
      <c r="EE9" s="222" t="str">
        <f>+IF(CJ9="","",IF(AND(ROUND(CJ9,0)&gt;1991,ROUND(CJ9,0)&lt;1995),LOOKUP(DATE(ROUND(CJ9,0)+1,5,1),tabelas!CC:CC,tabelas!CD:CD),""))</f>
        <v/>
      </c>
      <c r="EF9" s="222" t="str">
        <f t="shared" si="57"/>
        <v/>
      </c>
      <c r="EG9" s="26"/>
      <c r="EH9" s="233" t="str">
        <f t="shared" si="58"/>
        <v/>
      </c>
      <c r="EI9" s="246" t="str">
        <f t="shared" si="76"/>
        <v/>
      </c>
      <c r="EJ9" s="26"/>
      <c r="EK9" s="221" t="str">
        <f t="shared" si="77"/>
        <v/>
      </c>
      <c r="EL9" s="235" t="str">
        <f t="shared" si="59"/>
        <v/>
      </c>
      <c r="EM9" s="229" t="str">
        <f t="shared" si="60"/>
        <v/>
      </c>
      <c r="EN9" s="236" t="str">
        <f>+IF(EL9="","",LOOKUP(EL9,tabelas!CN:CN,tabelas!CO:CO)/IND_CM_DIST)</f>
        <v/>
      </c>
      <c r="EO9" s="229" t="str">
        <f t="shared" si="78"/>
        <v/>
      </c>
      <c r="EP9" s="237" t="str">
        <f>+IF(EL9="","",LOOKUP(EDATE(EL9,0),tabelas!CQ:CQ,tabelas!CR:CR)-IND_JR_DIST)</f>
        <v/>
      </c>
      <c r="EQ9" s="229" t="str">
        <f t="shared" si="61"/>
        <v/>
      </c>
      <c r="ER9" s="229" t="str">
        <f t="shared" si="79"/>
        <v/>
      </c>
      <c r="ES9" s="26"/>
      <c r="ET9" s="26"/>
      <c r="EU9" s="26"/>
      <c r="EV9" s="26"/>
      <c r="EW9" s="26"/>
      <c r="EX9" s="328" t="str">
        <f t="shared" si="62"/>
        <v/>
      </c>
      <c r="EY9" s="246" t="str">
        <f t="shared" si="80"/>
        <v/>
      </c>
      <c r="EZ9" s="26"/>
      <c r="FA9" s="221" t="str">
        <f t="shared" si="81"/>
        <v/>
      </c>
      <c r="FB9" s="330" t="str">
        <f t="shared" si="63"/>
        <v/>
      </c>
      <c r="FC9" s="229" t="str">
        <f t="shared" si="64"/>
        <v/>
      </c>
      <c r="FD9" s="236" t="str">
        <f>+IF(FB9="","",LOOKUP(FB9,tabelas!CN:CN,tabelas!CO:CO)/IND_CM_FIM)</f>
        <v/>
      </c>
      <c r="FE9" s="229" t="str">
        <f t="shared" si="82"/>
        <v/>
      </c>
      <c r="FF9" s="237" t="str">
        <f>+IF(FB9="","",LOOKUP(EDATE(FB9,0),tabelas!CQ:CQ,tabelas!CR:CR)-IND_JR_FIM+0.01)</f>
        <v/>
      </c>
      <c r="FG9" s="229" t="str">
        <f t="shared" si="65"/>
        <v/>
      </c>
      <c r="FH9" s="229" t="str">
        <f t="shared" si="83"/>
        <v/>
      </c>
    </row>
    <row r="10" spans="2:179" ht="18" customHeight="1">
      <c r="B10" s="216" t="str">
        <f>+IF(cadastro!B18="","",cadastro!B18)</f>
        <v/>
      </c>
      <c r="C10" s="217" t="str">
        <f>+IF(cadastro!C18="","",cadastro!C18)</f>
        <v/>
      </c>
      <c r="D10" s="218" t="str">
        <f>+IF(cadastro!D18="","",cadastro!D18)</f>
        <v/>
      </c>
      <c r="E10" s="218" t="str">
        <f t="shared" si="0"/>
        <v/>
      </c>
      <c r="F10" s="218" t="str">
        <f t="shared" si="1"/>
        <v/>
      </c>
      <c r="G10" s="218" t="str">
        <f t="shared" si="2"/>
        <v/>
      </c>
      <c r="H10" s="218" t="str">
        <f t="shared" si="3"/>
        <v/>
      </c>
      <c r="I10" s="218" t="str">
        <f>+IF(cadastro!C18="","",IF(cadastro!C18="COMPLETA",IF(cadastro!E18="","",cadastro!E18),0))</f>
        <v/>
      </c>
      <c r="J10" s="218" t="str">
        <f>+IF(OR(cadastro!B18="",cadastro!C18="COMPLETA"),"",LOOKUP(cadastro!B18,tabelas!AQ:AQ,tabelas!BH:BH))</f>
        <v/>
      </c>
      <c r="K10" s="218" t="str">
        <f t="shared" si="4"/>
        <v/>
      </c>
      <c r="L10" s="218" t="str">
        <f t="shared" si="5"/>
        <v/>
      </c>
      <c r="M10" s="218" t="str">
        <f t="shared" si="66"/>
        <v/>
      </c>
      <c r="N10" s="218" t="str">
        <f t="shared" si="67"/>
        <v/>
      </c>
      <c r="O10" s="218" t="str">
        <f t="shared" si="6"/>
        <v/>
      </c>
      <c r="P10" s="218" t="str">
        <f t="shared" si="7"/>
        <v/>
      </c>
      <c r="Q10" s="220" t="str">
        <f t="shared" si="8"/>
        <v/>
      </c>
      <c r="R10" s="218" t="str">
        <f t="shared" si="9"/>
        <v/>
      </c>
      <c r="S10" s="220" t="str">
        <f t="shared" si="10"/>
        <v/>
      </c>
      <c r="T10" s="218" t="str">
        <f t="shared" si="11"/>
        <v/>
      </c>
      <c r="U10" s="218">
        <f>+IF(OR(C10="SIMPLIFICADA",cadastro!G18=""),0,cadastro!G18)</f>
        <v>0</v>
      </c>
      <c r="V10" s="218">
        <f>+IF(cadastro!F18="",0,cadastro!F18)</f>
        <v>0</v>
      </c>
      <c r="W10" s="218" t="str">
        <f t="shared" si="68"/>
        <v/>
      </c>
      <c r="X10" s="218" t="str">
        <f t="shared" si="69"/>
        <v/>
      </c>
      <c r="Y10" s="218" t="str">
        <f>+IF(cadastro!H18="","",cadastro!H18)</f>
        <v/>
      </c>
      <c r="Z10" s="218" t="str">
        <f>+IF(cadastro!J18="","",IF(LEFT(AB10,1)="R",-1,1)*cadastro!J18)</f>
        <v/>
      </c>
      <c r="AA10" s="218" t="str">
        <f t="shared" si="12"/>
        <v/>
      </c>
      <c r="AB10" s="217" t="str">
        <f t="shared" si="13"/>
        <v/>
      </c>
      <c r="AC10" s="218" t="str">
        <f t="shared" si="14"/>
        <v/>
      </c>
      <c r="AD10" s="217" t="str">
        <f t="shared" si="15"/>
        <v/>
      </c>
      <c r="AE10" s="217" t="str">
        <f t="shared" si="70"/>
        <v/>
      </c>
      <c r="AF10" s="216" t="str">
        <f t="shared" si="16"/>
        <v/>
      </c>
      <c r="AG10" s="216" t="str">
        <f t="shared" si="71"/>
        <v/>
      </c>
      <c r="AH10" s="26"/>
      <c r="AI10" s="216" t="str">
        <f>+IF(B10="","",LOOKUP(B10,tabelas!AQ:AQ,tabelas!AR:AR))</f>
        <v/>
      </c>
      <c r="AJ10" s="371" t="str">
        <f>+IF(B10="","",LOOKUP(B10,tabelas!AQ:AQ,tabelas!AT:AT))</f>
        <v/>
      </c>
      <c r="AK10" s="219" t="str">
        <f>+IF(B10="","",LOOKUP(B10,tabelas!AQ:AQ,tabelas!AS:AS))</f>
        <v/>
      </c>
      <c r="AL10" s="371" t="str">
        <f>+IF(B10="","",LOOKUP(B10,tabelas!AQ:AQ,tabelas!AU:AU))</f>
        <v/>
      </c>
      <c r="AM10" s="371" t="str">
        <f>+IF(B10="","",LOOKUP(B10,tabelas!AQ:AQ,tabelas!AW:AW))</f>
        <v/>
      </c>
      <c r="AN10" s="219" t="str">
        <f>+IF(B10="","",LOOKUP(B10,tabelas!AQ:AQ,tabelas!AV:AV))</f>
        <v/>
      </c>
      <c r="AO10" s="371" t="str">
        <f>+IF(B10="","",LOOKUP(B10,tabelas!AQ:AQ,tabelas!AX:AX))</f>
        <v/>
      </c>
      <c r="AP10" s="371" t="str">
        <f>+IF(B10="","",LOOKUP(B10,tabelas!AQ:AQ,tabelas!AZ:AZ))</f>
        <v/>
      </c>
      <c r="AQ10" s="219" t="str">
        <f>+IF(B10="","",LOOKUP(B10,tabelas!AQ:AQ,tabelas!AY:AY))</f>
        <v/>
      </c>
      <c r="AR10" s="371" t="str">
        <f>+IF(B10="","",LOOKUP(B10,tabelas!AQ:AQ,tabelas!BA:BA))</f>
        <v/>
      </c>
      <c r="AS10" s="371" t="str">
        <f>+IF(B10="","",LOOKUP(B10,tabelas!AQ:AQ,tabelas!BC:BC))</f>
        <v/>
      </c>
      <c r="AT10" s="219" t="str">
        <f>+IF(B10="","",LOOKUP(B10,tabelas!AQ:AQ,tabelas!BB:BB))</f>
        <v/>
      </c>
      <c r="AU10" s="371" t="str">
        <f>+IF(B10="","",LOOKUP(B10,tabelas!AQ:AQ,tabelas!BD:BD))</f>
        <v/>
      </c>
      <c r="AV10" s="371" t="str">
        <f>+IF(B10="","",LOOKUP(B10,tabelas!AQ:AQ,tabelas!BF:BF))</f>
        <v/>
      </c>
      <c r="AW10" s="219" t="str">
        <f>+IF(B10="","",LOOKUP(B10,tabelas!AQ:AQ,tabelas!BE:BE))</f>
        <v/>
      </c>
      <c r="AX10" s="371" t="str">
        <f>+IF(B10="","",LOOKUP(B10,tabelas!AQ:AQ,tabelas!BG:BG))</f>
        <v/>
      </c>
      <c r="AY10" s="26"/>
      <c r="AZ10" s="38">
        <v>5</v>
      </c>
      <c r="BA10" s="225" t="str">
        <f t="shared" si="72"/>
        <v/>
      </c>
      <c r="BB10" s="225" t="str">
        <f t="shared" si="73"/>
        <v/>
      </c>
      <c r="BC10" s="26"/>
      <c r="BD10" s="221" t="str">
        <f t="shared" si="17"/>
        <v/>
      </c>
      <c r="BE10" s="227" t="str">
        <f t="shared" si="74"/>
        <v/>
      </c>
      <c r="BF10" s="228" t="str">
        <f t="shared" si="18"/>
        <v/>
      </c>
      <c r="BG10" s="228" t="str">
        <f t="shared" si="19"/>
        <v/>
      </c>
      <c r="BH10" s="228" t="str">
        <f t="shared" si="20"/>
        <v/>
      </c>
      <c r="BI10" s="228" t="str">
        <f t="shared" si="21"/>
        <v/>
      </c>
      <c r="BJ10" s="219" t="str">
        <f t="shared" si="22"/>
        <v/>
      </c>
      <c r="BK10" s="217" t="str">
        <f t="shared" si="23"/>
        <v/>
      </c>
      <c r="BL10" s="228" t="str">
        <f t="shared" si="24"/>
        <v/>
      </c>
      <c r="BM10" s="228" t="str">
        <f t="shared" si="25"/>
        <v/>
      </c>
      <c r="BN10" s="217" t="str">
        <f t="shared" si="26"/>
        <v/>
      </c>
      <c r="BO10" s="228" t="str">
        <f t="shared" si="27"/>
        <v/>
      </c>
      <c r="BP10" s="228" t="str">
        <f t="shared" si="28"/>
        <v/>
      </c>
      <c r="BQ10" s="228" t="str">
        <f t="shared" si="29"/>
        <v/>
      </c>
      <c r="BR10" s="26"/>
      <c r="BS10" s="216" t="str">
        <f>+IF(BD10="","",LOOKUP(BD10,tabelas!AQ:AQ,tabelas!AR:AR))</f>
        <v/>
      </c>
      <c r="BT10" s="217" t="str">
        <f>+IF(BD10="","",LOOKUP(BD10,tabelas!AQ:AQ,tabelas!AT:AT))</f>
        <v/>
      </c>
      <c r="BU10" s="219" t="str">
        <f>+IF(BD10="","",LOOKUP(BD10,tabelas!AQ:AQ,tabelas!AS:AS))</f>
        <v/>
      </c>
      <c r="BV10" s="217" t="str">
        <f>+IF(BD10="","",LOOKUP(BD10,tabelas!AQ:AQ,tabelas!AU:AU))</f>
        <v/>
      </c>
      <c r="BW10" s="217" t="str">
        <f>+IF(BD10="","",LOOKUP(BD10,tabelas!AQ:AQ,tabelas!AW:AW))</f>
        <v/>
      </c>
      <c r="BX10" s="219" t="str">
        <f>+IF(BD10="","",LOOKUP(BD10,tabelas!AQ:AQ,tabelas!AV:AV))</f>
        <v/>
      </c>
      <c r="BY10" s="217" t="str">
        <f>+IF(BD10="","",LOOKUP(BD10,tabelas!AQ:AQ,tabelas!AX:AX))</f>
        <v/>
      </c>
      <c r="BZ10" s="217" t="str">
        <f>+IF(BD10="","",LOOKUP(BD10,tabelas!AQ:AQ,tabelas!AZ:AZ))</f>
        <v/>
      </c>
      <c r="CA10" s="219" t="str">
        <f>+IF(BD10="","",LOOKUP(BD10,tabelas!AQ:AQ,tabelas!AY:AY))</f>
        <v/>
      </c>
      <c r="CB10" s="217" t="str">
        <f>+IF(BD10="","",LOOKUP(BD10,tabelas!AQ:AQ,tabelas!BA:BA))</f>
        <v/>
      </c>
      <c r="CC10" s="217" t="str">
        <f>+IF(BD10="","",LOOKUP(BD10,tabelas!AQ:AQ,tabelas!BC:BC))</f>
        <v/>
      </c>
      <c r="CD10" s="219" t="str">
        <f>+IF(BD10="","",LOOKUP(BD10,tabelas!AQ:AQ,tabelas!BB:BB))</f>
        <v/>
      </c>
      <c r="CE10" s="217" t="str">
        <f>+IF(BD10="","",LOOKUP(BD10,tabelas!AQ:AQ,tabelas!BD:BD))</f>
        <v/>
      </c>
      <c r="CF10" s="217" t="str">
        <f>+IF(BD10="","",LOOKUP(BD10,tabelas!AQ:AQ,tabelas!BF:BF))</f>
        <v/>
      </c>
      <c r="CG10" s="219" t="str">
        <f>+IF(BD10="","",LOOKUP(BD10,tabelas!AQ:AQ,tabelas!BE:BE))</f>
        <v/>
      </c>
      <c r="CH10" s="217" t="str">
        <f>+IF(BD10="","",LOOKUP(BD10,tabelas!AQ:AQ,tabelas!BG:BG))</f>
        <v/>
      </c>
      <c r="CI10" s="26"/>
      <c r="CJ10" s="221" t="str">
        <f t="shared" si="30"/>
        <v/>
      </c>
      <c r="CK10" s="227" t="str">
        <f t="shared" si="75"/>
        <v/>
      </c>
      <c r="CL10" s="217" t="str">
        <f t="shared" si="31"/>
        <v/>
      </c>
      <c r="CM10" s="217" t="str">
        <f t="shared" si="32"/>
        <v/>
      </c>
      <c r="CN10" s="217" t="str">
        <f t="shared" si="33"/>
        <v/>
      </c>
      <c r="CO10" s="217" t="str">
        <f t="shared" si="34"/>
        <v/>
      </c>
      <c r="CP10" s="217" t="str">
        <f t="shared" si="35"/>
        <v/>
      </c>
      <c r="CQ10" s="217" t="str">
        <f t="shared" si="36"/>
        <v/>
      </c>
      <c r="CR10" s="217" t="str">
        <f t="shared" si="37"/>
        <v/>
      </c>
      <c r="CS10" s="217" t="str">
        <f t="shared" si="38"/>
        <v/>
      </c>
      <c r="CT10" s="228" t="str">
        <f t="shared" si="39"/>
        <v/>
      </c>
      <c r="CU10" s="217" t="str">
        <f t="shared" si="40"/>
        <v/>
      </c>
      <c r="CV10" s="223" t="str">
        <f t="shared" si="41"/>
        <v/>
      </c>
      <c r="CW10" s="229" t="str">
        <f t="shared" si="42"/>
        <v/>
      </c>
      <c r="CX10" s="223" t="str">
        <f t="shared" si="43"/>
        <v/>
      </c>
      <c r="CY10" s="229" t="str">
        <f t="shared" si="44"/>
        <v/>
      </c>
      <c r="CZ10" s="228" t="str">
        <f t="shared" si="45"/>
        <v/>
      </c>
      <c r="DA10" s="228" t="str">
        <f t="shared" si="46"/>
        <v/>
      </c>
      <c r="DB10" s="230" t="str">
        <f t="shared" si="47"/>
        <v/>
      </c>
      <c r="DC10" s="217" t="str">
        <f t="shared" si="48"/>
        <v/>
      </c>
      <c r="DD10" s="228" t="str">
        <f t="shared" si="49"/>
        <v/>
      </c>
      <c r="DE10" s="228" t="str">
        <f t="shared" si="50"/>
        <v/>
      </c>
      <c r="DF10" s="228" t="str">
        <f t="shared" si="51"/>
        <v/>
      </c>
      <c r="DG10" s="217" t="str">
        <f t="shared" si="52"/>
        <v/>
      </c>
      <c r="DH10" s="217" t="str">
        <f t="shared" si="53"/>
        <v/>
      </c>
      <c r="DI10" s="217" t="str">
        <f t="shared" si="54"/>
        <v/>
      </c>
      <c r="DJ10" s="26"/>
      <c r="DK10" s="216" t="str">
        <f>+IF(CJ10="","",LOOKUP(CJ10,tabelas!AQ:AQ,tabelas!AR:AR))</f>
        <v/>
      </c>
      <c r="DL10" s="217" t="str">
        <f>+IF(CJ10="","",LOOKUP(CJ10,tabelas!AQ:AQ,tabelas!AT:AT))</f>
        <v/>
      </c>
      <c r="DM10" s="219" t="str">
        <f>+IF(CJ10="","",LOOKUP(CJ10,tabelas!AQ:AQ,tabelas!AS:AS))</f>
        <v/>
      </c>
      <c r="DN10" s="217" t="str">
        <f>+IF(CJ10="","",LOOKUP(CJ10,tabelas!AQ:AQ,tabelas!AU:AU))</f>
        <v/>
      </c>
      <c r="DO10" s="217" t="str">
        <f>+IF(CJ10="","",LOOKUP(CJ10,tabelas!AQ:AQ,tabelas!AW:AW))</f>
        <v/>
      </c>
      <c r="DP10" s="219" t="str">
        <f>+IF(CJ10="","",LOOKUP(CJ10,tabelas!AQ:AQ,tabelas!AV:AV))</f>
        <v/>
      </c>
      <c r="DQ10" s="217" t="str">
        <f>+IF(CJ10="","",LOOKUP(CJ10,tabelas!AQ:AQ,tabelas!AX:AX))</f>
        <v/>
      </c>
      <c r="DR10" s="217" t="str">
        <f>+IF(CJ10="","",LOOKUP(CJ10,tabelas!AQ:AQ,tabelas!AZ:AZ))</f>
        <v/>
      </c>
      <c r="DS10" s="219" t="str">
        <f>+IF(CJ10="","",LOOKUP(CJ10,tabelas!AQ:AQ,tabelas!AY:AY))</f>
        <v/>
      </c>
      <c r="DT10" s="217" t="str">
        <f>+IF(CJ10="","",LOOKUP(CJ10,tabelas!AQ:AQ,tabelas!BA:BA))</f>
        <v/>
      </c>
      <c r="DU10" s="217" t="str">
        <f>+IF(CJ10="","",LOOKUP(CJ10,tabelas!AQ:AQ,tabelas!BC:BC))</f>
        <v/>
      </c>
      <c r="DV10" s="219" t="str">
        <f>+IF(CJ10="","",LOOKUP(CJ10,tabelas!AQ:AQ,tabelas!BB:BB))</f>
        <v/>
      </c>
      <c r="DW10" s="217" t="str">
        <f>+IF(CJ10="","",LOOKUP(CJ10,tabelas!AQ:AQ,tabelas!BD:BD))</f>
        <v/>
      </c>
      <c r="DX10" s="217" t="str">
        <f>+IF(CJ10="","",LOOKUP(CJ10,tabelas!AQ:AQ,tabelas!BF:BF))</f>
        <v/>
      </c>
      <c r="DY10" s="219" t="str">
        <f>+IF(CJ10="","",LOOKUP(CJ10,tabelas!AQ:AQ,tabelas!BE:BE))</f>
        <v/>
      </c>
      <c r="DZ10" s="217" t="str">
        <f>+IF(CJ10="","",LOOKUP(CJ10,tabelas!AQ:AQ,tabelas!BG:BG))</f>
        <v/>
      </c>
      <c r="EA10" s="26"/>
      <c r="EB10" s="326" t="str">
        <f>+IF(CJ10="","",LOOKUP(CJ10,tabelas!AQ:AQ,tabelas!BI:BI))</f>
        <v/>
      </c>
      <c r="EC10" s="222" t="str">
        <f t="shared" si="55"/>
        <v/>
      </c>
      <c r="ED10" s="231" t="str">
        <f t="shared" si="56"/>
        <v/>
      </c>
      <c r="EE10" s="222" t="str">
        <f>+IF(CJ10="","",IF(AND(ROUND(CJ10,0)&gt;1991,ROUND(CJ10,0)&lt;1995),LOOKUP(DATE(ROUND(CJ10,0)+1,5,1),tabelas!CC:CC,tabelas!CD:CD),""))</f>
        <v/>
      </c>
      <c r="EF10" s="222" t="str">
        <f t="shared" si="57"/>
        <v/>
      </c>
      <c r="EG10" s="26"/>
      <c r="EH10" s="233" t="str">
        <f t="shared" si="58"/>
        <v/>
      </c>
      <c r="EI10" s="246" t="str">
        <f t="shared" si="76"/>
        <v/>
      </c>
      <c r="EJ10" s="26"/>
      <c r="EK10" s="221" t="str">
        <f t="shared" si="77"/>
        <v/>
      </c>
      <c r="EL10" s="235" t="str">
        <f t="shared" si="59"/>
        <v/>
      </c>
      <c r="EM10" s="229" t="str">
        <f t="shared" si="60"/>
        <v/>
      </c>
      <c r="EN10" s="236" t="str">
        <f>+IF(EL10="","",LOOKUP(EL10,tabelas!CN:CN,tabelas!CO:CO)/IND_CM_DIST)</f>
        <v/>
      </c>
      <c r="EO10" s="229" t="str">
        <f t="shared" si="78"/>
        <v/>
      </c>
      <c r="EP10" s="237" t="str">
        <f>+IF(EL10="","",LOOKUP(EDATE(EL10,0),tabelas!CQ:CQ,tabelas!CR:CR)-IND_JR_DIST)</f>
        <v/>
      </c>
      <c r="EQ10" s="229" t="str">
        <f t="shared" si="61"/>
        <v/>
      </c>
      <c r="ER10" s="229" t="str">
        <f t="shared" si="79"/>
        <v/>
      </c>
      <c r="ES10" s="26"/>
      <c r="ET10" s="504" t="s">
        <v>103</v>
      </c>
      <c r="EU10" s="504"/>
      <c r="EV10" s="26"/>
      <c r="EW10" s="26"/>
      <c r="EX10" s="328" t="str">
        <f t="shared" si="62"/>
        <v/>
      </c>
      <c r="EY10" s="246" t="str">
        <f t="shared" si="80"/>
        <v/>
      </c>
      <c r="EZ10" s="26"/>
      <c r="FA10" s="221" t="str">
        <f t="shared" si="81"/>
        <v/>
      </c>
      <c r="FB10" s="330" t="str">
        <f t="shared" si="63"/>
        <v/>
      </c>
      <c r="FC10" s="229" t="str">
        <f t="shared" si="64"/>
        <v/>
      </c>
      <c r="FD10" s="236" t="str">
        <f>+IF(FB10="","",LOOKUP(FB10,tabelas!CN:CN,tabelas!CO:CO)/IND_CM_FIM)</f>
        <v/>
      </c>
      <c r="FE10" s="229" t="str">
        <f t="shared" si="82"/>
        <v/>
      </c>
      <c r="FF10" s="237" t="str">
        <f>+IF(FB10="","",LOOKUP(EDATE(FB10,0),tabelas!CQ:CQ,tabelas!CR:CR)-IND_JR_FIM+0.01)</f>
        <v/>
      </c>
      <c r="FG10" s="229" t="str">
        <f t="shared" si="65"/>
        <v/>
      </c>
      <c r="FH10" s="229" t="str">
        <f t="shared" si="83"/>
        <v/>
      </c>
      <c r="FJ10" s="524" t="s">
        <v>114</v>
      </c>
      <c r="FK10" s="525"/>
    </row>
    <row r="11" spans="2:179" ht="18" customHeight="1">
      <c r="B11" s="216" t="str">
        <f>+IF(cadastro!B19="","",cadastro!B19)</f>
        <v/>
      </c>
      <c r="C11" s="217" t="str">
        <f>+IF(cadastro!C19="","",cadastro!C19)</f>
        <v/>
      </c>
      <c r="D11" s="218" t="str">
        <f>+IF(cadastro!D19="","",cadastro!D19)</f>
        <v/>
      </c>
      <c r="E11" s="218" t="str">
        <f t="shared" si="0"/>
        <v/>
      </c>
      <c r="F11" s="218" t="str">
        <f t="shared" si="1"/>
        <v/>
      </c>
      <c r="G11" s="218" t="str">
        <f t="shared" si="2"/>
        <v/>
      </c>
      <c r="H11" s="218" t="str">
        <f t="shared" si="3"/>
        <v/>
      </c>
      <c r="I11" s="218" t="str">
        <f>+IF(cadastro!C19="","",IF(cadastro!C19="COMPLETA",IF(cadastro!E19="","",cadastro!E19),0))</f>
        <v/>
      </c>
      <c r="J11" s="218" t="str">
        <f>+IF(OR(cadastro!B19="",cadastro!C19="COMPLETA"),"",LOOKUP(cadastro!B19,tabelas!AQ:AQ,tabelas!BH:BH))</f>
        <v/>
      </c>
      <c r="K11" s="218" t="str">
        <f t="shared" si="4"/>
        <v/>
      </c>
      <c r="L11" s="218" t="str">
        <f t="shared" si="5"/>
        <v/>
      </c>
      <c r="M11" s="218" t="str">
        <f t="shared" si="66"/>
        <v/>
      </c>
      <c r="N11" s="218" t="str">
        <f t="shared" si="67"/>
        <v/>
      </c>
      <c r="O11" s="218" t="str">
        <f t="shared" si="6"/>
        <v/>
      </c>
      <c r="P11" s="218" t="str">
        <f t="shared" si="7"/>
        <v/>
      </c>
      <c r="Q11" s="220" t="str">
        <f t="shared" si="8"/>
        <v/>
      </c>
      <c r="R11" s="218" t="str">
        <f t="shared" si="9"/>
        <v/>
      </c>
      <c r="S11" s="220" t="str">
        <f t="shared" si="10"/>
        <v/>
      </c>
      <c r="T11" s="218" t="str">
        <f t="shared" si="11"/>
        <v/>
      </c>
      <c r="U11" s="218">
        <f>+IF(OR(C11="SIMPLIFICADA",cadastro!G19=""),0,cadastro!G19)</f>
        <v>0</v>
      </c>
      <c r="V11" s="218">
        <f>+IF(cadastro!F19="",0,cadastro!F19)</f>
        <v>0</v>
      </c>
      <c r="W11" s="218" t="str">
        <f t="shared" si="68"/>
        <v/>
      </c>
      <c r="X11" s="218" t="str">
        <f t="shared" si="69"/>
        <v/>
      </c>
      <c r="Y11" s="218" t="str">
        <f>+IF(cadastro!H19="","",cadastro!H19)</f>
        <v/>
      </c>
      <c r="Z11" s="218" t="str">
        <f>+IF(cadastro!J19="","",IF(LEFT(AB11,1)="R",-1,1)*cadastro!J19)</f>
        <v/>
      </c>
      <c r="AA11" s="218" t="str">
        <f t="shared" si="12"/>
        <v/>
      </c>
      <c r="AB11" s="217" t="str">
        <f t="shared" si="13"/>
        <v/>
      </c>
      <c r="AC11" s="218" t="str">
        <f t="shared" si="14"/>
        <v/>
      </c>
      <c r="AD11" s="217" t="str">
        <f t="shared" si="15"/>
        <v/>
      </c>
      <c r="AE11" s="217" t="str">
        <f t="shared" si="70"/>
        <v/>
      </c>
      <c r="AF11" s="216" t="str">
        <f t="shared" si="16"/>
        <v/>
      </c>
      <c r="AG11" s="216" t="str">
        <f t="shared" si="71"/>
        <v/>
      </c>
      <c r="AH11" s="26"/>
      <c r="AI11" s="216" t="str">
        <f>+IF(B11="","",LOOKUP(B11,tabelas!AQ:AQ,tabelas!AR:AR))</f>
        <v/>
      </c>
      <c r="AJ11" s="371" t="str">
        <f>+IF(B11="","",LOOKUP(B11,tabelas!AQ:AQ,tabelas!AT:AT))</f>
        <v/>
      </c>
      <c r="AK11" s="219" t="str">
        <f>+IF(B11="","",LOOKUP(B11,tabelas!AQ:AQ,tabelas!AS:AS))</f>
        <v/>
      </c>
      <c r="AL11" s="371" t="str">
        <f>+IF(B11="","",LOOKUP(B11,tabelas!AQ:AQ,tabelas!AU:AU))</f>
        <v/>
      </c>
      <c r="AM11" s="371" t="str">
        <f>+IF(B11="","",LOOKUP(B11,tabelas!AQ:AQ,tabelas!AW:AW))</f>
        <v/>
      </c>
      <c r="AN11" s="219" t="str">
        <f>+IF(B11="","",LOOKUP(B11,tabelas!AQ:AQ,tabelas!AV:AV))</f>
        <v/>
      </c>
      <c r="AO11" s="371" t="str">
        <f>+IF(B11="","",LOOKUP(B11,tabelas!AQ:AQ,tabelas!AX:AX))</f>
        <v/>
      </c>
      <c r="AP11" s="371" t="str">
        <f>+IF(B11="","",LOOKUP(B11,tabelas!AQ:AQ,tabelas!AZ:AZ))</f>
        <v/>
      </c>
      <c r="AQ11" s="219" t="str">
        <f>+IF(B11="","",LOOKUP(B11,tabelas!AQ:AQ,tabelas!AY:AY))</f>
        <v/>
      </c>
      <c r="AR11" s="371" t="str">
        <f>+IF(B11="","",LOOKUP(B11,tabelas!AQ:AQ,tabelas!BA:BA))</f>
        <v/>
      </c>
      <c r="AS11" s="371" t="str">
        <f>+IF(B11="","",LOOKUP(B11,tabelas!AQ:AQ,tabelas!BC:BC))</f>
        <v/>
      </c>
      <c r="AT11" s="219" t="str">
        <f>+IF(B11="","",LOOKUP(B11,tabelas!AQ:AQ,tabelas!BB:BB))</f>
        <v/>
      </c>
      <c r="AU11" s="371" t="str">
        <f>+IF(B11="","",LOOKUP(B11,tabelas!AQ:AQ,tabelas!BD:BD))</f>
        <v/>
      </c>
      <c r="AV11" s="371" t="str">
        <f>+IF(B11="","",LOOKUP(B11,tabelas!AQ:AQ,tabelas!BF:BF))</f>
        <v/>
      </c>
      <c r="AW11" s="219" t="str">
        <f>+IF(B11="","",LOOKUP(B11,tabelas!AQ:AQ,tabelas!BE:BE))</f>
        <v/>
      </c>
      <c r="AX11" s="371" t="str">
        <f>+IF(B11="","",LOOKUP(B11,tabelas!AQ:AQ,tabelas!BG:BG))</f>
        <v/>
      </c>
      <c r="AY11" s="26"/>
      <c r="AZ11" s="38">
        <v>6</v>
      </c>
      <c r="BA11" s="225" t="str">
        <f t="shared" si="72"/>
        <v/>
      </c>
      <c r="BB11" s="225" t="str">
        <f t="shared" si="73"/>
        <v/>
      </c>
      <c r="BC11" s="26"/>
      <c r="BD11" s="221" t="str">
        <f t="shared" si="17"/>
        <v/>
      </c>
      <c r="BE11" s="227" t="str">
        <f t="shared" si="74"/>
        <v/>
      </c>
      <c r="BF11" s="228" t="str">
        <f t="shared" si="18"/>
        <v/>
      </c>
      <c r="BG11" s="228" t="str">
        <f t="shared" si="19"/>
        <v/>
      </c>
      <c r="BH11" s="228" t="str">
        <f t="shared" si="20"/>
        <v/>
      </c>
      <c r="BI11" s="228" t="str">
        <f t="shared" si="21"/>
        <v/>
      </c>
      <c r="BJ11" s="219" t="str">
        <f t="shared" si="22"/>
        <v/>
      </c>
      <c r="BK11" s="217" t="str">
        <f t="shared" si="23"/>
        <v/>
      </c>
      <c r="BL11" s="228" t="str">
        <f t="shared" si="24"/>
        <v/>
      </c>
      <c r="BM11" s="228" t="str">
        <f t="shared" si="25"/>
        <v/>
      </c>
      <c r="BN11" s="217" t="str">
        <f t="shared" si="26"/>
        <v/>
      </c>
      <c r="BO11" s="228" t="str">
        <f t="shared" si="27"/>
        <v/>
      </c>
      <c r="BP11" s="228" t="str">
        <f t="shared" si="28"/>
        <v/>
      </c>
      <c r="BQ11" s="228" t="str">
        <f t="shared" si="29"/>
        <v/>
      </c>
      <c r="BR11" s="26"/>
      <c r="BS11" s="216" t="str">
        <f>+IF(BD11="","",LOOKUP(BD11,tabelas!AQ:AQ,tabelas!AR:AR))</f>
        <v/>
      </c>
      <c r="BT11" s="217" t="str">
        <f>+IF(BD11="","",LOOKUP(BD11,tabelas!AQ:AQ,tabelas!AT:AT))</f>
        <v/>
      </c>
      <c r="BU11" s="219" t="str">
        <f>+IF(BD11="","",LOOKUP(BD11,tabelas!AQ:AQ,tabelas!AS:AS))</f>
        <v/>
      </c>
      <c r="BV11" s="217" t="str">
        <f>+IF(BD11="","",LOOKUP(BD11,tabelas!AQ:AQ,tabelas!AU:AU))</f>
        <v/>
      </c>
      <c r="BW11" s="217" t="str">
        <f>+IF(BD11="","",LOOKUP(BD11,tabelas!AQ:AQ,tabelas!AW:AW))</f>
        <v/>
      </c>
      <c r="BX11" s="219" t="str">
        <f>+IF(BD11="","",LOOKUP(BD11,tabelas!AQ:AQ,tabelas!AV:AV))</f>
        <v/>
      </c>
      <c r="BY11" s="217" t="str">
        <f>+IF(BD11="","",LOOKUP(BD11,tabelas!AQ:AQ,tabelas!AX:AX))</f>
        <v/>
      </c>
      <c r="BZ11" s="217" t="str">
        <f>+IF(BD11="","",LOOKUP(BD11,tabelas!AQ:AQ,tabelas!AZ:AZ))</f>
        <v/>
      </c>
      <c r="CA11" s="219" t="str">
        <f>+IF(BD11="","",LOOKUP(BD11,tabelas!AQ:AQ,tabelas!AY:AY))</f>
        <v/>
      </c>
      <c r="CB11" s="217" t="str">
        <f>+IF(BD11="","",LOOKUP(BD11,tabelas!AQ:AQ,tabelas!BA:BA))</f>
        <v/>
      </c>
      <c r="CC11" s="217" t="str">
        <f>+IF(BD11="","",LOOKUP(BD11,tabelas!AQ:AQ,tabelas!BC:BC))</f>
        <v/>
      </c>
      <c r="CD11" s="219" t="str">
        <f>+IF(BD11="","",LOOKUP(BD11,tabelas!AQ:AQ,tabelas!BB:BB))</f>
        <v/>
      </c>
      <c r="CE11" s="217" t="str">
        <f>+IF(BD11="","",LOOKUP(BD11,tabelas!AQ:AQ,tabelas!BD:BD))</f>
        <v/>
      </c>
      <c r="CF11" s="217" t="str">
        <f>+IF(BD11="","",LOOKUP(BD11,tabelas!AQ:AQ,tabelas!BF:BF))</f>
        <v/>
      </c>
      <c r="CG11" s="219" t="str">
        <f>+IF(BD11="","",LOOKUP(BD11,tabelas!AQ:AQ,tabelas!BE:BE))</f>
        <v/>
      </c>
      <c r="CH11" s="217" t="str">
        <f>+IF(BD11="","",LOOKUP(BD11,tabelas!AQ:AQ,tabelas!BG:BG))</f>
        <v/>
      </c>
      <c r="CI11" s="26"/>
      <c r="CJ11" s="221" t="str">
        <f t="shared" si="30"/>
        <v/>
      </c>
      <c r="CK11" s="227" t="str">
        <f t="shared" si="75"/>
        <v/>
      </c>
      <c r="CL11" s="217" t="str">
        <f t="shared" si="31"/>
        <v/>
      </c>
      <c r="CM11" s="217" t="str">
        <f t="shared" si="32"/>
        <v/>
      </c>
      <c r="CN11" s="217" t="str">
        <f t="shared" si="33"/>
        <v/>
      </c>
      <c r="CO11" s="217" t="str">
        <f t="shared" si="34"/>
        <v/>
      </c>
      <c r="CP11" s="217" t="str">
        <f t="shared" si="35"/>
        <v/>
      </c>
      <c r="CQ11" s="217" t="str">
        <f t="shared" si="36"/>
        <v/>
      </c>
      <c r="CR11" s="217" t="str">
        <f t="shared" si="37"/>
        <v/>
      </c>
      <c r="CS11" s="217" t="str">
        <f t="shared" si="38"/>
        <v/>
      </c>
      <c r="CT11" s="228" t="str">
        <f t="shared" si="39"/>
        <v/>
      </c>
      <c r="CU11" s="217" t="str">
        <f t="shared" si="40"/>
        <v/>
      </c>
      <c r="CV11" s="223" t="str">
        <f t="shared" si="41"/>
        <v/>
      </c>
      <c r="CW11" s="229" t="str">
        <f t="shared" si="42"/>
        <v/>
      </c>
      <c r="CX11" s="223" t="str">
        <f t="shared" si="43"/>
        <v/>
      </c>
      <c r="CY11" s="229" t="str">
        <f t="shared" si="44"/>
        <v/>
      </c>
      <c r="CZ11" s="228" t="str">
        <f t="shared" si="45"/>
        <v/>
      </c>
      <c r="DA11" s="228" t="str">
        <f t="shared" si="46"/>
        <v/>
      </c>
      <c r="DB11" s="230" t="str">
        <f t="shared" si="47"/>
        <v/>
      </c>
      <c r="DC11" s="217" t="str">
        <f t="shared" si="48"/>
        <v/>
      </c>
      <c r="DD11" s="228" t="str">
        <f t="shared" si="49"/>
        <v/>
      </c>
      <c r="DE11" s="228" t="str">
        <f t="shared" si="50"/>
        <v/>
      </c>
      <c r="DF11" s="228" t="str">
        <f t="shared" si="51"/>
        <v/>
      </c>
      <c r="DG11" s="217" t="str">
        <f t="shared" si="52"/>
        <v/>
      </c>
      <c r="DH11" s="217" t="str">
        <f t="shared" si="53"/>
        <v/>
      </c>
      <c r="DI11" s="217" t="str">
        <f t="shared" si="54"/>
        <v/>
      </c>
      <c r="DJ11" s="26"/>
      <c r="DK11" s="216" t="str">
        <f>+IF(CJ11="","",LOOKUP(CJ11,tabelas!AQ:AQ,tabelas!AR:AR))</f>
        <v/>
      </c>
      <c r="DL11" s="217" t="str">
        <f>+IF(CJ11="","",LOOKUP(CJ11,tabelas!AQ:AQ,tabelas!AT:AT))</f>
        <v/>
      </c>
      <c r="DM11" s="219" t="str">
        <f>+IF(CJ11="","",LOOKUP(CJ11,tabelas!AQ:AQ,tabelas!AS:AS))</f>
        <v/>
      </c>
      <c r="DN11" s="217" t="str">
        <f>+IF(CJ11="","",LOOKUP(CJ11,tabelas!AQ:AQ,tabelas!AU:AU))</f>
        <v/>
      </c>
      <c r="DO11" s="217" t="str">
        <f>+IF(CJ11="","",LOOKUP(CJ11,tabelas!AQ:AQ,tabelas!AW:AW))</f>
        <v/>
      </c>
      <c r="DP11" s="219" t="str">
        <f>+IF(CJ11="","",LOOKUP(CJ11,tabelas!AQ:AQ,tabelas!AV:AV))</f>
        <v/>
      </c>
      <c r="DQ11" s="217" t="str">
        <f>+IF(CJ11="","",LOOKUP(CJ11,tabelas!AQ:AQ,tabelas!AX:AX))</f>
        <v/>
      </c>
      <c r="DR11" s="217" t="str">
        <f>+IF(CJ11="","",LOOKUP(CJ11,tabelas!AQ:AQ,tabelas!AZ:AZ))</f>
        <v/>
      </c>
      <c r="DS11" s="219" t="str">
        <f>+IF(CJ11="","",LOOKUP(CJ11,tabelas!AQ:AQ,tabelas!AY:AY))</f>
        <v/>
      </c>
      <c r="DT11" s="217" t="str">
        <f>+IF(CJ11="","",LOOKUP(CJ11,tabelas!AQ:AQ,tabelas!BA:BA))</f>
        <v/>
      </c>
      <c r="DU11" s="217" t="str">
        <f>+IF(CJ11="","",LOOKUP(CJ11,tabelas!AQ:AQ,tabelas!BC:BC))</f>
        <v/>
      </c>
      <c r="DV11" s="219" t="str">
        <f>+IF(CJ11="","",LOOKUP(CJ11,tabelas!AQ:AQ,tabelas!BB:BB))</f>
        <v/>
      </c>
      <c r="DW11" s="217" t="str">
        <f>+IF(CJ11="","",LOOKUP(CJ11,tabelas!AQ:AQ,tabelas!BD:BD))</f>
        <v/>
      </c>
      <c r="DX11" s="217" t="str">
        <f>+IF(CJ11="","",LOOKUP(CJ11,tabelas!AQ:AQ,tabelas!BF:BF))</f>
        <v/>
      </c>
      <c r="DY11" s="219" t="str">
        <f>+IF(CJ11="","",LOOKUP(CJ11,tabelas!AQ:AQ,tabelas!BE:BE))</f>
        <v/>
      </c>
      <c r="DZ11" s="217" t="str">
        <f>+IF(CJ11="","",LOOKUP(CJ11,tabelas!AQ:AQ,tabelas!BG:BG))</f>
        <v/>
      </c>
      <c r="EA11" s="26"/>
      <c r="EB11" s="326" t="str">
        <f>+IF(CJ11="","",LOOKUP(CJ11,tabelas!AQ:AQ,tabelas!BI:BI))</f>
        <v/>
      </c>
      <c r="EC11" s="222" t="str">
        <f t="shared" si="55"/>
        <v/>
      </c>
      <c r="ED11" s="231" t="str">
        <f t="shared" si="56"/>
        <v/>
      </c>
      <c r="EE11" s="222" t="str">
        <f>+IF(CJ11="","",IF(AND(ROUND(CJ11,0)&gt;1991,ROUND(CJ11,0)&lt;1995),LOOKUP(DATE(ROUND(CJ11,0)+1,5,1),tabelas!CC:CC,tabelas!CD:CD),""))</f>
        <v/>
      </c>
      <c r="EF11" s="222" t="str">
        <f t="shared" si="57"/>
        <v/>
      </c>
      <c r="EG11" s="26"/>
      <c r="EH11" s="233" t="str">
        <f t="shared" si="58"/>
        <v/>
      </c>
      <c r="EI11" s="246" t="str">
        <f t="shared" si="76"/>
        <v/>
      </c>
      <c r="EJ11" s="26"/>
      <c r="EK11" s="221" t="str">
        <f t="shared" si="77"/>
        <v/>
      </c>
      <c r="EL11" s="235" t="str">
        <f t="shared" si="59"/>
        <v/>
      </c>
      <c r="EM11" s="229" t="str">
        <f t="shared" si="60"/>
        <v/>
      </c>
      <c r="EN11" s="236" t="str">
        <f>+IF(EL11="","",LOOKUP(EL11,tabelas!CN:CN,tabelas!CO:CO)/IND_CM_DIST)</f>
        <v/>
      </c>
      <c r="EO11" s="229" t="str">
        <f t="shared" si="78"/>
        <v/>
      </c>
      <c r="EP11" s="237" t="str">
        <f>+IF(EL11="","",LOOKUP(EDATE(EL11,0),tabelas!CQ:CQ,tabelas!CR:CR)-IND_JR_DIST)</f>
        <v/>
      </c>
      <c r="EQ11" s="229" t="str">
        <f t="shared" si="61"/>
        <v/>
      </c>
      <c r="ER11" s="229" t="str">
        <f t="shared" si="79"/>
        <v/>
      </c>
      <c r="ES11" s="26"/>
      <c r="ET11" s="335" t="s">
        <v>146</v>
      </c>
      <c r="EU11" s="218">
        <f>+EU6</f>
        <v>0</v>
      </c>
      <c r="EV11" s="26"/>
      <c r="EW11" s="26"/>
      <c r="EX11" s="328" t="str">
        <f t="shared" si="62"/>
        <v/>
      </c>
      <c r="EY11" s="246" t="str">
        <f t="shared" si="80"/>
        <v/>
      </c>
      <c r="EZ11" s="26"/>
      <c r="FA11" s="221" t="str">
        <f t="shared" si="81"/>
        <v/>
      </c>
      <c r="FB11" s="330" t="str">
        <f t="shared" si="63"/>
        <v/>
      </c>
      <c r="FC11" s="229" t="str">
        <f t="shared" si="64"/>
        <v/>
      </c>
      <c r="FD11" s="236" t="str">
        <f>+IF(FB11="","",LOOKUP(FB11,tabelas!CN:CN,tabelas!CO:CO)/IND_CM_FIM)</f>
        <v/>
      </c>
      <c r="FE11" s="229" t="str">
        <f t="shared" si="82"/>
        <v/>
      </c>
      <c r="FF11" s="237" t="str">
        <f>+IF(FB11="","",LOOKUP(EDATE(FB11,0),tabelas!CQ:CQ,tabelas!CR:CR)-IND_JR_FIM+0.01)</f>
        <v/>
      </c>
      <c r="FG11" s="229" t="str">
        <f t="shared" si="65"/>
        <v/>
      </c>
      <c r="FH11" s="229" t="str">
        <f t="shared" si="83"/>
        <v/>
      </c>
      <c r="FJ11" s="335" t="s">
        <v>115</v>
      </c>
      <c r="FK11" s="218">
        <f ca="1">+IF(FK5="",0,FK5)+IF(FR4="",0,FR4)</f>
        <v>1504.85</v>
      </c>
    </row>
    <row r="12" spans="2:179" ht="18" customHeight="1">
      <c r="B12" s="216" t="str">
        <f>+IF(cadastro!B20="","",cadastro!B20)</f>
        <v/>
      </c>
      <c r="C12" s="217" t="str">
        <f>+IF(cadastro!C20="","",cadastro!C20)</f>
        <v/>
      </c>
      <c r="D12" s="218" t="str">
        <f>+IF(cadastro!D20="","",cadastro!D20)</f>
        <v/>
      </c>
      <c r="E12" s="218" t="str">
        <f t="shared" si="0"/>
        <v/>
      </c>
      <c r="F12" s="218" t="str">
        <f t="shared" si="1"/>
        <v/>
      </c>
      <c r="G12" s="218" t="str">
        <f t="shared" si="2"/>
        <v/>
      </c>
      <c r="H12" s="218" t="str">
        <f t="shared" si="3"/>
        <v/>
      </c>
      <c r="I12" s="218" t="str">
        <f>+IF(cadastro!C20="","",IF(cadastro!C20="COMPLETA",IF(cadastro!E20="","",cadastro!E20),0))</f>
        <v/>
      </c>
      <c r="J12" s="218" t="str">
        <f>+IF(OR(cadastro!B20="",cadastro!C20="COMPLETA"),"",LOOKUP(cadastro!B20,tabelas!AQ:AQ,tabelas!BH:BH))</f>
        <v/>
      </c>
      <c r="K12" s="218" t="str">
        <f t="shared" si="4"/>
        <v/>
      </c>
      <c r="L12" s="218" t="str">
        <f t="shared" si="5"/>
        <v/>
      </c>
      <c r="M12" s="218" t="str">
        <f t="shared" si="66"/>
        <v/>
      </c>
      <c r="N12" s="218" t="str">
        <f t="shared" si="67"/>
        <v/>
      </c>
      <c r="O12" s="218" t="str">
        <f t="shared" si="6"/>
        <v/>
      </c>
      <c r="P12" s="218" t="str">
        <f t="shared" si="7"/>
        <v/>
      </c>
      <c r="Q12" s="220" t="str">
        <f t="shared" si="8"/>
        <v/>
      </c>
      <c r="R12" s="218" t="str">
        <f t="shared" si="9"/>
        <v/>
      </c>
      <c r="S12" s="220" t="str">
        <f t="shared" si="10"/>
        <v/>
      </c>
      <c r="T12" s="218" t="str">
        <f t="shared" si="11"/>
        <v/>
      </c>
      <c r="U12" s="218">
        <f>+IF(OR(C12="SIMPLIFICADA",cadastro!G20=""),0,cadastro!G20)</f>
        <v>0</v>
      </c>
      <c r="V12" s="218">
        <f>+IF(cadastro!F20="",0,cadastro!F20)</f>
        <v>0</v>
      </c>
      <c r="W12" s="218" t="str">
        <f t="shared" si="68"/>
        <v/>
      </c>
      <c r="X12" s="218" t="str">
        <f t="shared" si="69"/>
        <v/>
      </c>
      <c r="Y12" s="218" t="str">
        <f>+IF(cadastro!H20="","",cadastro!H20)</f>
        <v/>
      </c>
      <c r="Z12" s="218" t="str">
        <f>+IF(cadastro!J20="","",IF(LEFT(AB12,1)="R",-1,1)*cadastro!J20)</f>
        <v/>
      </c>
      <c r="AA12" s="218" t="str">
        <f t="shared" si="12"/>
        <v/>
      </c>
      <c r="AB12" s="217" t="str">
        <f t="shared" si="13"/>
        <v/>
      </c>
      <c r="AC12" s="218" t="str">
        <f t="shared" si="14"/>
        <v/>
      </c>
      <c r="AD12" s="217" t="str">
        <f t="shared" si="15"/>
        <v/>
      </c>
      <c r="AE12" s="217" t="str">
        <f t="shared" si="70"/>
        <v/>
      </c>
      <c r="AF12" s="216" t="str">
        <f t="shared" si="16"/>
        <v/>
      </c>
      <c r="AG12" s="216" t="str">
        <f t="shared" si="71"/>
        <v/>
      </c>
      <c r="AH12" s="26"/>
      <c r="AI12" s="216" t="str">
        <f>+IF(B12="","",LOOKUP(B12,tabelas!AQ:AQ,tabelas!AR:AR))</f>
        <v/>
      </c>
      <c r="AJ12" s="371" t="str">
        <f>+IF(B12="","",LOOKUP(B12,tabelas!AQ:AQ,tabelas!AT:AT))</f>
        <v/>
      </c>
      <c r="AK12" s="219" t="str">
        <f>+IF(B12="","",LOOKUP(B12,tabelas!AQ:AQ,tabelas!AS:AS))</f>
        <v/>
      </c>
      <c r="AL12" s="371" t="str">
        <f>+IF(B12="","",LOOKUP(B12,tabelas!AQ:AQ,tabelas!AU:AU))</f>
        <v/>
      </c>
      <c r="AM12" s="371" t="str">
        <f>+IF(B12="","",LOOKUP(B12,tabelas!AQ:AQ,tabelas!AW:AW))</f>
        <v/>
      </c>
      <c r="AN12" s="219" t="str">
        <f>+IF(B12="","",LOOKUP(B12,tabelas!AQ:AQ,tabelas!AV:AV))</f>
        <v/>
      </c>
      <c r="AO12" s="371" t="str">
        <f>+IF(B12="","",LOOKUP(B12,tabelas!AQ:AQ,tabelas!AX:AX))</f>
        <v/>
      </c>
      <c r="AP12" s="371" t="str">
        <f>+IF(B12="","",LOOKUP(B12,tabelas!AQ:AQ,tabelas!AZ:AZ))</f>
        <v/>
      </c>
      <c r="AQ12" s="219" t="str">
        <f>+IF(B12="","",LOOKUP(B12,tabelas!AQ:AQ,tabelas!AY:AY))</f>
        <v/>
      </c>
      <c r="AR12" s="371" t="str">
        <f>+IF(B12="","",LOOKUP(B12,tabelas!AQ:AQ,tabelas!BA:BA))</f>
        <v/>
      </c>
      <c r="AS12" s="371" t="str">
        <f>+IF(B12="","",LOOKUP(B12,tabelas!AQ:AQ,tabelas!BC:BC))</f>
        <v/>
      </c>
      <c r="AT12" s="219" t="str">
        <f>+IF(B12="","",LOOKUP(B12,tabelas!AQ:AQ,tabelas!BB:BB))</f>
        <v/>
      </c>
      <c r="AU12" s="371" t="str">
        <f>+IF(B12="","",LOOKUP(B12,tabelas!AQ:AQ,tabelas!BD:BD))</f>
        <v/>
      </c>
      <c r="AV12" s="371" t="str">
        <f>+IF(B12="","",LOOKUP(B12,tabelas!AQ:AQ,tabelas!BF:BF))</f>
        <v/>
      </c>
      <c r="AW12" s="219" t="str">
        <f>+IF(B12="","",LOOKUP(B12,tabelas!AQ:AQ,tabelas!BE:BE))</f>
        <v/>
      </c>
      <c r="AX12" s="371" t="str">
        <f>+IF(B12="","",LOOKUP(B12,tabelas!AQ:AQ,tabelas!BG:BG))</f>
        <v/>
      </c>
      <c r="AY12" s="26"/>
      <c r="AZ12" s="38">
        <v>7</v>
      </c>
      <c r="BA12" s="225" t="str">
        <f t="shared" si="72"/>
        <v/>
      </c>
      <c r="BB12" s="225" t="str">
        <f t="shared" si="73"/>
        <v/>
      </c>
      <c r="BC12" s="26"/>
      <c r="BD12" s="221" t="str">
        <f t="shared" si="17"/>
        <v/>
      </c>
      <c r="BE12" s="227" t="str">
        <f t="shared" si="74"/>
        <v/>
      </c>
      <c r="BF12" s="228" t="str">
        <f t="shared" si="18"/>
        <v/>
      </c>
      <c r="BG12" s="228" t="str">
        <f t="shared" si="19"/>
        <v/>
      </c>
      <c r="BH12" s="228" t="str">
        <f t="shared" si="20"/>
        <v/>
      </c>
      <c r="BI12" s="228" t="str">
        <f t="shared" si="21"/>
        <v/>
      </c>
      <c r="BJ12" s="219" t="str">
        <f t="shared" si="22"/>
        <v/>
      </c>
      <c r="BK12" s="217" t="str">
        <f t="shared" si="23"/>
        <v/>
      </c>
      <c r="BL12" s="228" t="str">
        <f t="shared" si="24"/>
        <v/>
      </c>
      <c r="BM12" s="228" t="str">
        <f t="shared" si="25"/>
        <v/>
      </c>
      <c r="BN12" s="217" t="str">
        <f t="shared" si="26"/>
        <v/>
      </c>
      <c r="BO12" s="228" t="str">
        <f t="shared" si="27"/>
        <v/>
      </c>
      <c r="BP12" s="228" t="str">
        <f t="shared" si="28"/>
        <v/>
      </c>
      <c r="BQ12" s="228" t="str">
        <f t="shared" si="29"/>
        <v/>
      </c>
      <c r="BR12" s="26"/>
      <c r="BS12" s="216" t="str">
        <f>+IF(BD12="","",LOOKUP(BD12,tabelas!AQ:AQ,tabelas!AR:AR))</f>
        <v/>
      </c>
      <c r="BT12" s="217" t="str">
        <f>+IF(BD12="","",LOOKUP(BD12,tabelas!AQ:AQ,tabelas!AT:AT))</f>
        <v/>
      </c>
      <c r="BU12" s="219" t="str">
        <f>+IF(BD12="","",LOOKUP(BD12,tabelas!AQ:AQ,tabelas!AS:AS))</f>
        <v/>
      </c>
      <c r="BV12" s="217" t="str">
        <f>+IF(BD12="","",LOOKUP(BD12,tabelas!AQ:AQ,tabelas!AU:AU))</f>
        <v/>
      </c>
      <c r="BW12" s="217" t="str">
        <f>+IF(BD12="","",LOOKUP(BD12,tabelas!AQ:AQ,tabelas!AW:AW))</f>
        <v/>
      </c>
      <c r="BX12" s="219" t="str">
        <f>+IF(BD12="","",LOOKUP(BD12,tabelas!AQ:AQ,tabelas!AV:AV))</f>
        <v/>
      </c>
      <c r="BY12" s="217" t="str">
        <f>+IF(BD12="","",LOOKUP(BD12,tabelas!AQ:AQ,tabelas!AX:AX))</f>
        <v/>
      </c>
      <c r="BZ12" s="217" t="str">
        <f>+IF(BD12="","",LOOKUP(BD12,tabelas!AQ:AQ,tabelas!AZ:AZ))</f>
        <v/>
      </c>
      <c r="CA12" s="219" t="str">
        <f>+IF(BD12="","",LOOKUP(BD12,tabelas!AQ:AQ,tabelas!AY:AY))</f>
        <v/>
      </c>
      <c r="CB12" s="217" t="str">
        <f>+IF(BD12="","",LOOKUP(BD12,tabelas!AQ:AQ,tabelas!BA:BA))</f>
        <v/>
      </c>
      <c r="CC12" s="217" t="str">
        <f>+IF(BD12="","",LOOKUP(BD12,tabelas!AQ:AQ,tabelas!BC:BC))</f>
        <v/>
      </c>
      <c r="CD12" s="219" t="str">
        <f>+IF(BD12="","",LOOKUP(BD12,tabelas!AQ:AQ,tabelas!BB:BB))</f>
        <v/>
      </c>
      <c r="CE12" s="217" t="str">
        <f>+IF(BD12="","",LOOKUP(BD12,tabelas!AQ:AQ,tabelas!BD:BD))</f>
        <v/>
      </c>
      <c r="CF12" s="217" t="str">
        <f>+IF(BD12="","",LOOKUP(BD12,tabelas!AQ:AQ,tabelas!BF:BF))</f>
        <v/>
      </c>
      <c r="CG12" s="219" t="str">
        <f>+IF(BD12="","",LOOKUP(BD12,tabelas!AQ:AQ,tabelas!BE:BE))</f>
        <v/>
      </c>
      <c r="CH12" s="217" t="str">
        <f>+IF(BD12="","",LOOKUP(BD12,tabelas!AQ:AQ,tabelas!BG:BG))</f>
        <v/>
      </c>
      <c r="CI12" s="26"/>
      <c r="CJ12" s="221" t="str">
        <f t="shared" si="30"/>
        <v/>
      </c>
      <c r="CK12" s="227" t="str">
        <f t="shared" si="75"/>
        <v/>
      </c>
      <c r="CL12" s="217" t="str">
        <f t="shared" si="31"/>
        <v/>
      </c>
      <c r="CM12" s="217" t="str">
        <f t="shared" si="32"/>
        <v/>
      </c>
      <c r="CN12" s="217" t="str">
        <f t="shared" si="33"/>
        <v/>
      </c>
      <c r="CO12" s="217" t="str">
        <f t="shared" si="34"/>
        <v/>
      </c>
      <c r="CP12" s="217" t="str">
        <f t="shared" si="35"/>
        <v/>
      </c>
      <c r="CQ12" s="217" t="str">
        <f t="shared" si="36"/>
        <v/>
      </c>
      <c r="CR12" s="217" t="str">
        <f t="shared" si="37"/>
        <v/>
      </c>
      <c r="CS12" s="217" t="str">
        <f t="shared" si="38"/>
        <v/>
      </c>
      <c r="CT12" s="228" t="str">
        <f t="shared" si="39"/>
        <v/>
      </c>
      <c r="CU12" s="217" t="str">
        <f t="shared" si="40"/>
        <v/>
      </c>
      <c r="CV12" s="223" t="str">
        <f t="shared" si="41"/>
        <v/>
      </c>
      <c r="CW12" s="229" t="str">
        <f t="shared" si="42"/>
        <v/>
      </c>
      <c r="CX12" s="223" t="str">
        <f t="shared" si="43"/>
        <v/>
      </c>
      <c r="CY12" s="229" t="str">
        <f t="shared" si="44"/>
        <v/>
      </c>
      <c r="CZ12" s="228" t="str">
        <f t="shared" si="45"/>
        <v/>
      </c>
      <c r="DA12" s="228" t="str">
        <f t="shared" si="46"/>
        <v/>
      </c>
      <c r="DB12" s="230" t="str">
        <f t="shared" si="47"/>
        <v/>
      </c>
      <c r="DC12" s="217" t="str">
        <f t="shared" si="48"/>
        <v/>
      </c>
      <c r="DD12" s="228" t="str">
        <f t="shared" si="49"/>
        <v/>
      </c>
      <c r="DE12" s="228" t="str">
        <f t="shared" si="50"/>
        <v/>
      </c>
      <c r="DF12" s="228" t="str">
        <f t="shared" si="51"/>
        <v/>
      </c>
      <c r="DG12" s="217" t="str">
        <f t="shared" si="52"/>
        <v/>
      </c>
      <c r="DH12" s="217" t="str">
        <f t="shared" si="53"/>
        <v/>
      </c>
      <c r="DI12" s="217" t="str">
        <f t="shared" si="54"/>
        <v/>
      </c>
      <c r="DJ12" s="26"/>
      <c r="DK12" s="216" t="str">
        <f>+IF(CJ12="","",LOOKUP(CJ12,tabelas!AQ:AQ,tabelas!AR:AR))</f>
        <v/>
      </c>
      <c r="DL12" s="217" t="str">
        <f>+IF(CJ12="","",LOOKUP(CJ12,tabelas!AQ:AQ,tabelas!AT:AT))</f>
        <v/>
      </c>
      <c r="DM12" s="219" t="str">
        <f>+IF(CJ12="","",LOOKUP(CJ12,tabelas!AQ:AQ,tabelas!AS:AS))</f>
        <v/>
      </c>
      <c r="DN12" s="217" t="str">
        <f>+IF(CJ12="","",LOOKUP(CJ12,tabelas!AQ:AQ,tabelas!AU:AU))</f>
        <v/>
      </c>
      <c r="DO12" s="217" t="str">
        <f>+IF(CJ12="","",LOOKUP(CJ12,tabelas!AQ:AQ,tabelas!AW:AW))</f>
        <v/>
      </c>
      <c r="DP12" s="219" t="str">
        <f>+IF(CJ12="","",LOOKUP(CJ12,tabelas!AQ:AQ,tabelas!AV:AV))</f>
        <v/>
      </c>
      <c r="DQ12" s="217" t="str">
        <f>+IF(CJ12="","",LOOKUP(CJ12,tabelas!AQ:AQ,tabelas!AX:AX))</f>
        <v/>
      </c>
      <c r="DR12" s="217" t="str">
        <f>+IF(CJ12="","",LOOKUP(CJ12,tabelas!AQ:AQ,tabelas!AZ:AZ))</f>
        <v/>
      </c>
      <c r="DS12" s="219" t="str">
        <f>+IF(CJ12="","",LOOKUP(CJ12,tabelas!AQ:AQ,tabelas!AY:AY))</f>
        <v/>
      </c>
      <c r="DT12" s="217" t="str">
        <f>+IF(CJ12="","",LOOKUP(CJ12,tabelas!AQ:AQ,tabelas!BA:BA))</f>
        <v/>
      </c>
      <c r="DU12" s="217" t="str">
        <f>+IF(CJ12="","",LOOKUP(CJ12,tabelas!AQ:AQ,tabelas!BC:BC))</f>
        <v/>
      </c>
      <c r="DV12" s="219" t="str">
        <f>+IF(CJ12="","",LOOKUP(CJ12,tabelas!AQ:AQ,tabelas!BB:BB))</f>
        <v/>
      </c>
      <c r="DW12" s="217" t="str">
        <f>+IF(CJ12="","",LOOKUP(CJ12,tabelas!AQ:AQ,tabelas!BD:BD))</f>
        <v/>
      </c>
      <c r="DX12" s="217" t="str">
        <f>+IF(CJ12="","",LOOKUP(CJ12,tabelas!AQ:AQ,tabelas!BF:BF))</f>
        <v/>
      </c>
      <c r="DY12" s="219" t="str">
        <f>+IF(CJ12="","",LOOKUP(CJ12,tabelas!AQ:AQ,tabelas!BE:BE))</f>
        <v/>
      </c>
      <c r="DZ12" s="217" t="str">
        <f>+IF(CJ12="","",LOOKUP(CJ12,tabelas!AQ:AQ,tabelas!BG:BG))</f>
        <v/>
      </c>
      <c r="EA12" s="26"/>
      <c r="EB12" s="326" t="str">
        <f>+IF(CJ12="","",LOOKUP(CJ12,tabelas!AQ:AQ,tabelas!BI:BI))</f>
        <v/>
      </c>
      <c r="EC12" s="222" t="str">
        <f t="shared" si="55"/>
        <v/>
      </c>
      <c r="ED12" s="231" t="str">
        <f t="shared" si="56"/>
        <v/>
      </c>
      <c r="EE12" s="222" t="str">
        <f>+IF(CJ12="","",IF(AND(ROUND(CJ12,0)&gt;1991,ROUND(CJ12,0)&lt;1995),LOOKUP(DATE(ROUND(CJ12,0)+1,5,1),tabelas!CC:CC,tabelas!CD:CD),""))</f>
        <v/>
      </c>
      <c r="EF12" s="222" t="str">
        <f t="shared" si="57"/>
        <v/>
      </c>
      <c r="EG12" s="26"/>
      <c r="EH12" s="233" t="str">
        <f t="shared" si="58"/>
        <v/>
      </c>
      <c r="EI12" s="246" t="str">
        <f t="shared" si="76"/>
        <v/>
      </c>
      <c r="EJ12" s="26"/>
      <c r="EK12" s="221" t="str">
        <f t="shared" si="77"/>
        <v/>
      </c>
      <c r="EL12" s="235" t="str">
        <f t="shared" si="59"/>
        <v/>
      </c>
      <c r="EM12" s="229" t="str">
        <f t="shared" si="60"/>
        <v/>
      </c>
      <c r="EN12" s="236" t="str">
        <f>+IF(EL12="","",LOOKUP(EL12,tabelas!CN:CN,tabelas!CO:CO)/IND_CM_DIST)</f>
        <v/>
      </c>
      <c r="EO12" s="229" t="str">
        <f t="shared" si="78"/>
        <v/>
      </c>
      <c r="EP12" s="237" t="str">
        <f>+IF(EL12="","",LOOKUP(EDATE(EL12,0),tabelas!CQ:CQ,tabelas!CR:CR)-IND_JR_DIST)</f>
        <v/>
      </c>
      <c r="EQ12" s="229" t="str">
        <f t="shared" si="61"/>
        <v/>
      </c>
      <c r="ER12" s="229" t="str">
        <f t="shared" si="79"/>
        <v/>
      </c>
      <c r="ES12" s="26"/>
      <c r="ET12" s="335" t="s">
        <v>147</v>
      </c>
      <c r="EU12" s="218">
        <f>+EU7</f>
        <v>0</v>
      </c>
      <c r="EV12" s="26"/>
      <c r="EW12" s="26"/>
      <c r="EX12" s="328" t="str">
        <f t="shared" si="62"/>
        <v/>
      </c>
      <c r="EY12" s="246" t="str">
        <f t="shared" si="80"/>
        <v/>
      </c>
      <c r="EZ12" s="26"/>
      <c r="FA12" s="221" t="str">
        <f t="shared" si="81"/>
        <v/>
      </c>
      <c r="FB12" s="330" t="str">
        <f t="shared" si="63"/>
        <v/>
      </c>
      <c r="FC12" s="229" t="str">
        <f t="shared" si="64"/>
        <v/>
      </c>
      <c r="FD12" s="236" t="str">
        <f>+IF(FB12="","",LOOKUP(FB12,tabelas!CN:CN,tabelas!CO:CO)/IND_CM_FIM)</f>
        <v/>
      </c>
      <c r="FE12" s="229" t="str">
        <f t="shared" si="82"/>
        <v/>
      </c>
      <c r="FF12" s="237" t="str">
        <f>+IF(FB12="","",LOOKUP(EDATE(FB12,0),tabelas!CQ:CQ,tabelas!CR:CR)-IND_JR_FIM+0.01)</f>
        <v/>
      </c>
      <c r="FG12" s="229" t="str">
        <f t="shared" si="65"/>
        <v/>
      </c>
      <c r="FH12" s="229" t="str">
        <f t="shared" si="83"/>
        <v/>
      </c>
      <c r="FJ12" s="335" t="s">
        <v>116</v>
      </c>
      <c r="FK12" s="218">
        <f ca="1">+IF(FK6="",0,FK6)+IF(FU5="",0,FU5)+IF(FT4="",0,FT4)</f>
        <v>5609.63</v>
      </c>
    </row>
    <row r="13" spans="2:179" ht="18" customHeight="1">
      <c r="B13" s="216" t="str">
        <f>+IF(cadastro!B21="","",cadastro!B21)</f>
        <v/>
      </c>
      <c r="C13" s="217" t="str">
        <f>+IF(cadastro!C21="","",cadastro!C21)</f>
        <v/>
      </c>
      <c r="D13" s="218" t="str">
        <f>+IF(cadastro!D21="","",cadastro!D21)</f>
        <v/>
      </c>
      <c r="E13" s="218" t="str">
        <f t="shared" si="0"/>
        <v/>
      </c>
      <c r="F13" s="218" t="str">
        <f t="shared" si="1"/>
        <v/>
      </c>
      <c r="G13" s="218" t="str">
        <f t="shared" si="2"/>
        <v/>
      </c>
      <c r="H13" s="218" t="str">
        <f t="shared" si="3"/>
        <v/>
      </c>
      <c r="I13" s="218" t="str">
        <f>+IF(cadastro!C21="","",IF(cadastro!C21="COMPLETA",IF(cadastro!E21="","",cadastro!E21),0))</f>
        <v/>
      </c>
      <c r="J13" s="218" t="str">
        <f>+IF(OR(cadastro!B21="",cadastro!C21="COMPLETA"),"",LOOKUP(cadastro!B21,tabelas!AQ:AQ,tabelas!BH:BH))</f>
        <v/>
      </c>
      <c r="K13" s="218" t="str">
        <f t="shared" si="4"/>
        <v/>
      </c>
      <c r="L13" s="218" t="str">
        <f t="shared" si="5"/>
        <v/>
      </c>
      <c r="M13" s="218" t="str">
        <f t="shared" si="66"/>
        <v/>
      </c>
      <c r="N13" s="218" t="str">
        <f t="shared" si="67"/>
        <v/>
      </c>
      <c r="O13" s="218" t="str">
        <f t="shared" si="6"/>
        <v/>
      </c>
      <c r="P13" s="218" t="str">
        <f t="shared" si="7"/>
        <v/>
      </c>
      <c r="Q13" s="220" t="str">
        <f t="shared" si="8"/>
        <v/>
      </c>
      <c r="R13" s="218" t="str">
        <f t="shared" si="9"/>
        <v/>
      </c>
      <c r="S13" s="220" t="str">
        <f t="shared" si="10"/>
        <v/>
      </c>
      <c r="T13" s="218" t="str">
        <f t="shared" si="11"/>
        <v/>
      </c>
      <c r="U13" s="218">
        <f>+IF(OR(C13="SIMPLIFICADA",cadastro!G21=""),0,cadastro!G21)</f>
        <v>0</v>
      </c>
      <c r="V13" s="218">
        <f>+IF(cadastro!F21="",0,cadastro!F21)</f>
        <v>0</v>
      </c>
      <c r="W13" s="218" t="str">
        <f t="shared" si="68"/>
        <v/>
      </c>
      <c r="X13" s="218" t="str">
        <f t="shared" si="69"/>
        <v/>
      </c>
      <c r="Y13" s="218" t="str">
        <f>+IF(cadastro!H21="","",cadastro!H21)</f>
        <v/>
      </c>
      <c r="Z13" s="218" t="str">
        <f>+IF(cadastro!J21="","",IF(LEFT(AB13,1)="R",-1,1)*cadastro!J21)</f>
        <v/>
      </c>
      <c r="AA13" s="218" t="str">
        <f t="shared" si="12"/>
        <v/>
      </c>
      <c r="AB13" s="217" t="str">
        <f t="shared" si="13"/>
        <v/>
      </c>
      <c r="AC13" s="218" t="str">
        <f t="shared" si="14"/>
        <v/>
      </c>
      <c r="AD13" s="217" t="str">
        <f t="shared" si="15"/>
        <v/>
      </c>
      <c r="AE13" s="217" t="str">
        <f t="shared" si="70"/>
        <v/>
      </c>
      <c r="AF13" s="216" t="str">
        <f t="shared" si="16"/>
        <v/>
      </c>
      <c r="AG13" s="216" t="str">
        <f t="shared" si="71"/>
        <v/>
      </c>
      <c r="AH13" s="26"/>
      <c r="AI13" s="216" t="str">
        <f>+IF(B13="","",LOOKUP(B13,tabelas!AQ:AQ,tabelas!AR:AR))</f>
        <v/>
      </c>
      <c r="AJ13" s="371" t="str">
        <f>+IF(B13="","",LOOKUP(B13,tabelas!AQ:AQ,tabelas!AT:AT))</f>
        <v/>
      </c>
      <c r="AK13" s="219" t="str">
        <f>+IF(B13="","",LOOKUP(B13,tabelas!AQ:AQ,tabelas!AS:AS))</f>
        <v/>
      </c>
      <c r="AL13" s="371" t="str">
        <f>+IF(B13="","",LOOKUP(B13,tabelas!AQ:AQ,tabelas!AU:AU))</f>
        <v/>
      </c>
      <c r="AM13" s="371" t="str">
        <f>+IF(B13="","",LOOKUP(B13,tabelas!AQ:AQ,tabelas!AW:AW))</f>
        <v/>
      </c>
      <c r="AN13" s="219" t="str">
        <f>+IF(B13="","",LOOKUP(B13,tabelas!AQ:AQ,tabelas!AV:AV))</f>
        <v/>
      </c>
      <c r="AO13" s="371" t="str">
        <f>+IF(B13="","",LOOKUP(B13,tabelas!AQ:AQ,tabelas!AX:AX))</f>
        <v/>
      </c>
      <c r="AP13" s="371" t="str">
        <f>+IF(B13="","",LOOKUP(B13,tabelas!AQ:AQ,tabelas!AZ:AZ))</f>
        <v/>
      </c>
      <c r="AQ13" s="219" t="str">
        <f>+IF(B13="","",LOOKUP(B13,tabelas!AQ:AQ,tabelas!AY:AY))</f>
        <v/>
      </c>
      <c r="AR13" s="371" t="str">
        <f>+IF(B13="","",LOOKUP(B13,tabelas!AQ:AQ,tabelas!BA:BA))</f>
        <v/>
      </c>
      <c r="AS13" s="371" t="str">
        <f>+IF(B13="","",LOOKUP(B13,tabelas!AQ:AQ,tabelas!BC:BC))</f>
        <v/>
      </c>
      <c r="AT13" s="219" t="str">
        <f>+IF(B13="","",LOOKUP(B13,tabelas!AQ:AQ,tabelas!BB:BB))</f>
        <v/>
      </c>
      <c r="AU13" s="371" t="str">
        <f>+IF(B13="","",LOOKUP(B13,tabelas!AQ:AQ,tabelas!BD:BD))</f>
        <v/>
      </c>
      <c r="AV13" s="371" t="str">
        <f>+IF(B13="","",LOOKUP(B13,tabelas!AQ:AQ,tabelas!BF:BF))</f>
        <v/>
      </c>
      <c r="AW13" s="219" t="str">
        <f>+IF(B13="","",LOOKUP(B13,tabelas!AQ:AQ,tabelas!BE:BE))</f>
        <v/>
      </c>
      <c r="AX13" s="371" t="str">
        <f>+IF(B13="","",LOOKUP(B13,tabelas!AQ:AQ,tabelas!BG:BG))</f>
        <v/>
      </c>
      <c r="AY13" s="26"/>
      <c r="AZ13" s="38">
        <v>8</v>
      </c>
      <c r="BA13" s="225" t="str">
        <f t="shared" si="72"/>
        <v/>
      </c>
      <c r="BB13" s="225" t="str">
        <f t="shared" si="73"/>
        <v/>
      </c>
      <c r="BC13" s="26"/>
      <c r="BD13" s="221" t="str">
        <f t="shared" si="17"/>
        <v/>
      </c>
      <c r="BE13" s="227" t="str">
        <f t="shared" si="74"/>
        <v/>
      </c>
      <c r="BF13" s="228" t="str">
        <f t="shared" si="18"/>
        <v/>
      </c>
      <c r="BG13" s="228" t="str">
        <f t="shared" si="19"/>
        <v/>
      </c>
      <c r="BH13" s="228" t="str">
        <f t="shared" si="20"/>
        <v/>
      </c>
      <c r="BI13" s="228" t="str">
        <f t="shared" si="21"/>
        <v/>
      </c>
      <c r="BJ13" s="219" t="str">
        <f t="shared" si="22"/>
        <v/>
      </c>
      <c r="BK13" s="217" t="str">
        <f t="shared" si="23"/>
        <v/>
      </c>
      <c r="BL13" s="228" t="str">
        <f t="shared" si="24"/>
        <v/>
      </c>
      <c r="BM13" s="228" t="str">
        <f t="shared" si="25"/>
        <v/>
      </c>
      <c r="BN13" s="217" t="str">
        <f t="shared" si="26"/>
        <v/>
      </c>
      <c r="BO13" s="228" t="str">
        <f t="shared" si="27"/>
        <v/>
      </c>
      <c r="BP13" s="228" t="str">
        <f t="shared" si="28"/>
        <v/>
      </c>
      <c r="BQ13" s="228" t="str">
        <f t="shared" si="29"/>
        <v/>
      </c>
      <c r="BR13" s="26"/>
      <c r="BS13" s="216" t="str">
        <f>+IF(BD13="","",LOOKUP(BD13,tabelas!AQ:AQ,tabelas!AR:AR))</f>
        <v/>
      </c>
      <c r="BT13" s="217" t="str">
        <f>+IF(BD13="","",LOOKUP(BD13,tabelas!AQ:AQ,tabelas!AT:AT))</f>
        <v/>
      </c>
      <c r="BU13" s="219" t="str">
        <f>+IF(BD13="","",LOOKUP(BD13,tabelas!AQ:AQ,tabelas!AS:AS))</f>
        <v/>
      </c>
      <c r="BV13" s="217" t="str">
        <f>+IF(BD13="","",LOOKUP(BD13,tabelas!AQ:AQ,tabelas!AU:AU))</f>
        <v/>
      </c>
      <c r="BW13" s="217" t="str">
        <f>+IF(BD13="","",LOOKUP(BD13,tabelas!AQ:AQ,tabelas!AW:AW))</f>
        <v/>
      </c>
      <c r="BX13" s="219" t="str">
        <f>+IF(BD13="","",LOOKUP(BD13,tabelas!AQ:AQ,tabelas!AV:AV))</f>
        <v/>
      </c>
      <c r="BY13" s="217" t="str">
        <f>+IF(BD13="","",LOOKUP(BD13,tabelas!AQ:AQ,tabelas!AX:AX))</f>
        <v/>
      </c>
      <c r="BZ13" s="217" t="str">
        <f>+IF(BD13="","",LOOKUP(BD13,tabelas!AQ:AQ,tabelas!AZ:AZ))</f>
        <v/>
      </c>
      <c r="CA13" s="219" t="str">
        <f>+IF(BD13="","",LOOKUP(BD13,tabelas!AQ:AQ,tabelas!AY:AY))</f>
        <v/>
      </c>
      <c r="CB13" s="217" t="str">
        <f>+IF(BD13="","",LOOKUP(BD13,tabelas!AQ:AQ,tabelas!BA:BA))</f>
        <v/>
      </c>
      <c r="CC13" s="217" t="str">
        <f>+IF(BD13="","",LOOKUP(BD13,tabelas!AQ:AQ,tabelas!BC:BC))</f>
        <v/>
      </c>
      <c r="CD13" s="219" t="str">
        <f>+IF(BD13="","",LOOKUP(BD13,tabelas!AQ:AQ,tabelas!BB:BB))</f>
        <v/>
      </c>
      <c r="CE13" s="217" t="str">
        <f>+IF(BD13="","",LOOKUP(BD13,tabelas!AQ:AQ,tabelas!BD:BD))</f>
        <v/>
      </c>
      <c r="CF13" s="217" t="str">
        <f>+IF(BD13="","",LOOKUP(BD13,tabelas!AQ:AQ,tabelas!BF:BF))</f>
        <v/>
      </c>
      <c r="CG13" s="219" t="str">
        <f>+IF(BD13="","",LOOKUP(BD13,tabelas!AQ:AQ,tabelas!BE:BE))</f>
        <v/>
      </c>
      <c r="CH13" s="217" t="str">
        <f>+IF(BD13="","",LOOKUP(BD13,tabelas!AQ:AQ,tabelas!BG:BG))</f>
        <v/>
      </c>
      <c r="CI13" s="26"/>
      <c r="CJ13" s="221" t="str">
        <f t="shared" si="30"/>
        <v/>
      </c>
      <c r="CK13" s="227" t="str">
        <f t="shared" si="75"/>
        <v/>
      </c>
      <c r="CL13" s="217" t="str">
        <f t="shared" si="31"/>
        <v/>
      </c>
      <c r="CM13" s="217" t="str">
        <f t="shared" si="32"/>
        <v/>
      </c>
      <c r="CN13" s="217" t="str">
        <f t="shared" si="33"/>
        <v/>
      </c>
      <c r="CO13" s="217" t="str">
        <f t="shared" si="34"/>
        <v/>
      </c>
      <c r="CP13" s="217" t="str">
        <f t="shared" si="35"/>
        <v/>
      </c>
      <c r="CQ13" s="217" t="str">
        <f t="shared" si="36"/>
        <v/>
      </c>
      <c r="CR13" s="217" t="str">
        <f t="shared" si="37"/>
        <v/>
      </c>
      <c r="CS13" s="217" t="str">
        <f t="shared" si="38"/>
        <v/>
      </c>
      <c r="CT13" s="228" t="str">
        <f t="shared" si="39"/>
        <v/>
      </c>
      <c r="CU13" s="217" t="str">
        <f t="shared" si="40"/>
        <v/>
      </c>
      <c r="CV13" s="223" t="str">
        <f t="shared" si="41"/>
        <v/>
      </c>
      <c r="CW13" s="229" t="str">
        <f t="shared" si="42"/>
        <v/>
      </c>
      <c r="CX13" s="223" t="str">
        <f t="shared" si="43"/>
        <v/>
      </c>
      <c r="CY13" s="229" t="str">
        <f t="shared" si="44"/>
        <v/>
      </c>
      <c r="CZ13" s="228" t="str">
        <f t="shared" si="45"/>
        <v/>
      </c>
      <c r="DA13" s="228" t="str">
        <f t="shared" si="46"/>
        <v/>
      </c>
      <c r="DB13" s="230" t="str">
        <f t="shared" si="47"/>
        <v/>
      </c>
      <c r="DC13" s="217" t="str">
        <f t="shared" si="48"/>
        <v/>
      </c>
      <c r="DD13" s="228" t="str">
        <f t="shared" si="49"/>
        <v/>
      </c>
      <c r="DE13" s="228" t="str">
        <f t="shared" si="50"/>
        <v/>
      </c>
      <c r="DF13" s="228" t="str">
        <f t="shared" si="51"/>
        <v/>
      </c>
      <c r="DG13" s="217" t="str">
        <f t="shared" si="52"/>
        <v/>
      </c>
      <c r="DH13" s="217" t="str">
        <f t="shared" si="53"/>
        <v/>
      </c>
      <c r="DI13" s="217" t="str">
        <f t="shared" si="54"/>
        <v/>
      </c>
      <c r="DJ13" s="26"/>
      <c r="DK13" s="216" t="str">
        <f>+IF(CJ13="","",LOOKUP(CJ13,tabelas!AQ:AQ,tabelas!AR:AR))</f>
        <v/>
      </c>
      <c r="DL13" s="217" t="str">
        <f>+IF(CJ13="","",LOOKUP(CJ13,tabelas!AQ:AQ,tabelas!AT:AT))</f>
        <v/>
      </c>
      <c r="DM13" s="219" t="str">
        <f>+IF(CJ13="","",LOOKUP(CJ13,tabelas!AQ:AQ,tabelas!AS:AS))</f>
        <v/>
      </c>
      <c r="DN13" s="217" t="str">
        <f>+IF(CJ13="","",LOOKUP(CJ13,tabelas!AQ:AQ,tabelas!AU:AU))</f>
        <v/>
      </c>
      <c r="DO13" s="217" t="str">
        <f>+IF(CJ13="","",LOOKUP(CJ13,tabelas!AQ:AQ,tabelas!AW:AW))</f>
        <v/>
      </c>
      <c r="DP13" s="219" t="str">
        <f>+IF(CJ13="","",LOOKUP(CJ13,tabelas!AQ:AQ,tabelas!AV:AV))</f>
        <v/>
      </c>
      <c r="DQ13" s="217" t="str">
        <f>+IF(CJ13="","",LOOKUP(CJ13,tabelas!AQ:AQ,tabelas!AX:AX))</f>
        <v/>
      </c>
      <c r="DR13" s="217" t="str">
        <f>+IF(CJ13="","",LOOKUP(CJ13,tabelas!AQ:AQ,tabelas!AZ:AZ))</f>
        <v/>
      </c>
      <c r="DS13" s="219" t="str">
        <f>+IF(CJ13="","",LOOKUP(CJ13,tabelas!AQ:AQ,tabelas!AY:AY))</f>
        <v/>
      </c>
      <c r="DT13" s="217" t="str">
        <f>+IF(CJ13="","",LOOKUP(CJ13,tabelas!AQ:AQ,tabelas!BA:BA))</f>
        <v/>
      </c>
      <c r="DU13" s="217" t="str">
        <f>+IF(CJ13="","",LOOKUP(CJ13,tabelas!AQ:AQ,tabelas!BC:BC))</f>
        <v/>
      </c>
      <c r="DV13" s="219" t="str">
        <f>+IF(CJ13="","",LOOKUP(CJ13,tabelas!AQ:AQ,tabelas!BB:BB))</f>
        <v/>
      </c>
      <c r="DW13" s="217" t="str">
        <f>+IF(CJ13="","",LOOKUP(CJ13,tabelas!AQ:AQ,tabelas!BD:BD))</f>
        <v/>
      </c>
      <c r="DX13" s="217" t="str">
        <f>+IF(CJ13="","",LOOKUP(CJ13,tabelas!AQ:AQ,tabelas!BF:BF))</f>
        <v/>
      </c>
      <c r="DY13" s="219" t="str">
        <f>+IF(CJ13="","",LOOKUP(CJ13,tabelas!AQ:AQ,tabelas!BE:BE))</f>
        <v/>
      </c>
      <c r="DZ13" s="217" t="str">
        <f>+IF(CJ13="","",LOOKUP(CJ13,tabelas!AQ:AQ,tabelas!BG:BG))</f>
        <v/>
      </c>
      <c r="EA13" s="26"/>
      <c r="EB13" s="326" t="str">
        <f>+IF(CJ13="","",LOOKUP(CJ13,tabelas!AQ:AQ,tabelas!BI:BI))</f>
        <v/>
      </c>
      <c r="EC13" s="222" t="str">
        <f t="shared" si="55"/>
        <v/>
      </c>
      <c r="ED13" s="231" t="str">
        <f t="shared" si="56"/>
        <v/>
      </c>
      <c r="EE13" s="222" t="str">
        <f>+IF(CJ13="","",IF(AND(ROUND(CJ13,0)&gt;1991,ROUND(CJ13,0)&lt;1995),LOOKUP(DATE(ROUND(CJ13,0)+1,5,1),tabelas!CC:CC,tabelas!CD:CD),""))</f>
        <v/>
      </c>
      <c r="EF13" s="222" t="str">
        <f t="shared" si="57"/>
        <v/>
      </c>
      <c r="EG13" s="26"/>
      <c r="EH13" s="233" t="str">
        <f t="shared" si="58"/>
        <v/>
      </c>
      <c r="EI13" s="246" t="str">
        <f t="shared" si="76"/>
        <v/>
      </c>
      <c r="EJ13" s="26"/>
      <c r="EK13" s="221" t="str">
        <f t="shared" si="77"/>
        <v/>
      </c>
      <c r="EL13" s="235" t="str">
        <f t="shared" si="59"/>
        <v/>
      </c>
      <c r="EM13" s="229" t="str">
        <f t="shared" si="60"/>
        <v/>
      </c>
      <c r="EN13" s="236" t="str">
        <f>+IF(EL13="","",LOOKUP(EL13,tabelas!CN:CN,tabelas!CO:CO)/IND_CM_DIST)</f>
        <v/>
      </c>
      <c r="EO13" s="229" t="str">
        <f t="shared" si="78"/>
        <v/>
      </c>
      <c r="EP13" s="237" t="str">
        <f>+IF(EL13="","",LOOKUP(EDATE(EL13,0),tabelas!CQ:CQ,tabelas!CR:CR)-IND_JR_DIST)</f>
        <v/>
      </c>
      <c r="EQ13" s="229" t="str">
        <f t="shared" si="61"/>
        <v/>
      </c>
      <c r="ER13" s="229" t="str">
        <f t="shared" si="79"/>
        <v/>
      </c>
      <c r="ES13" s="26"/>
      <c r="ET13" s="335" t="s">
        <v>104</v>
      </c>
      <c r="EU13" s="218">
        <f>+EU8</f>
        <v>0</v>
      </c>
      <c r="EV13" s="26"/>
      <c r="EW13" s="26"/>
      <c r="EX13" s="328" t="str">
        <f t="shared" si="62"/>
        <v/>
      </c>
      <c r="EY13" s="246" t="str">
        <f t="shared" si="80"/>
        <v/>
      </c>
      <c r="EZ13" s="26"/>
      <c r="FA13" s="221" t="str">
        <f t="shared" si="81"/>
        <v/>
      </c>
      <c r="FB13" s="330" t="str">
        <f t="shared" si="63"/>
        <v/>
      </c>
      <c r="FC13" s="229" t="str">
        <f t="shared" si="64"/>
        <v/>
      </c>
      <c r="FD13" s="236" t="str">
        <f>+IF(FB13="","",LOOKUP(FB13,tabelas!CN:CN,tabelas!CO:CO)/IND_CM_FIM)</f>
        <v/>
      </c>
      <c r="FE13" s="229" t="str">
        <f t="shared" si="82"/>
        <v/>
      </c>
      <c r="FF13" s="237" t="str">
        <f>+IF(FB13="","",LOOKUP(EDATE(FB13,0),tabelas!CQ:CQ,tabelas!CR:CR)-IND_JR_FIM+0.01)</f>
        <v/>
      </c>
      <c r="FG13" s="229" t="str">
        <f t="shared" si="65"/>
        <v/>
      </c>
      <c r="FH13" s="229" t="str">
        <f t="shared" si="83"/>
        <v/>
      </c>
      <c r="FJ13" s="335" t="s">
        <v>111</v>
      </c>
      <c r="FK13" s="218">
        <f ca="1">+IF(OR(FK11="",FK12=""),"",IF(FK11+FK12&lt;0,0,FK11+FK12))</f>
        <v>7114.48</v>
      </c>
    </row>
    <row r="14" spans="2:179" ht="18" customHeight="1">
      <c r="B14" s="216" t="str">
        <f>+IF(cadastro!B22="","",cadastro!B22)</f>
        <v/>
      </c>
      <c r="C14" s="217" t="str">
        <f>+IF(cadastro!C22="","",cadastro!C22)</f>
        <v/>
      </c>
      <c r="D14" s="218" t="str">
        <f>+IF(cadastro!D22="","",cadastro!D22)</f>
        <v/>
      </c>
      <c r="E14" s="218" t="str">
        <f t="shared" si="0"/>
        <v/>
      </c>
      <c r="F14" s="218" t="str">
        <f t="shared" si="1"/>
        <v/>
      </c>
      <c r="G14" s="218" t="str">
        <f t="shared" si="2"/>
        <v/>
      </c>
      <c r="H14" s="218" t="str">
        <f t="shared" si="3"/>
        <v/>
      </c>
      <c r="I14" s="218" t="str">
        <f>+IF(cadastro!C22="","",IF(cadastro!C22="COMPLETA",IF(cadastro!E22="","",cadastro!E22),0))</f>
        <v/>
      </c>
      <c r="J14" s="218" t="str">
        <f>+IF(OR(cadastro!B22="",cadastro!C22="COMPLETA"),"",LOOKUP(cadastro!B22,tabelas!AQ:AQ,tabelas!BH:BH))</f>
        <v/>
      </c>
      <c r="K14" s="218" t="str">
        <f t="shared" si="4"/>
        <v/>
      </c>
      <c r="L14" s="218" t="str">
        <f t="shared" si="5"/>
        <v/>
      </c>
      <c r="M14" s="218" t="str">
        <f t="shared" si="66"/>
        <v/>
      </c>
      <c r="N14" s="218" t="str">
        <f t="shared" si="67"/>
        <v/>
      </c>
      <c r="O14" s="218" t="str">
        <f t="shared" si="6"/>
        <v/>
      </c>
      <c r="P14" s="218" t="str">
        <f t="shared" si="7"/>
        <v/>
      </c>
      <c r="Q14" s="220" t="str">
        <f t="shared" si="8"/>
        <v/>
      </c>
      <c r="R14" s="218" t="str">
        <f t="shared" si="9"/>
        <v/>
      </c>
      <c r="S14" s="220" t="str">
        <f t="shared" si="10"/>
        <v/>
      </c>
      <c r="T14" s="218" t="str">
        <f t="shared" si="11"/>
        <v/>
      </c>
      <c r="U14" s="218">
        <f>+IF(OR(C14="SIMPLIFICADA",cadastro!G22=""),0,cadastro!G22)</f>
        <v>0</v>
      </c>
      <c r="V14" s="218">
        <f>+IF(cadastro!F22="",0,cadastro!F22)</f>
        <v>0</v>
      </c>
      <c r="W14" s="218" t="str">
        <f t="shared" si="68"/>
        <v/>
      </c>
      <c r="X14" s="218" t="str">
        <f t="shared" si="69"/>
        <v/>
      </c>
      <c r="Y14" s="218" t="str">
        <f>+IF(cadastro!H22="","",cadastro!H22)</f>
        <v/>
      </c>
      <c r="Z14" s="218" t="str">
        <f>+IF(cadastro!J22="","",IF(LEFT(AB14,1)="R",-1,1)*cadastro!J22)</f>
        <v/>
      </c>
      <c r="AA14" s="218" t="str">
        <f t="shared" si="12"/>
        <v/>
      </c>
      <c r="AB14" s="217" t="str">
        <f t="shared" si="13"/>
        <v/>
      </c>
      <c r="AC14" s="218" t="str">
        <f t="shared" si="14"/>
        <v/>
      </c>
      <c r="AD14" s="217" t="str">
        <f t="shared" si="15"/>
        <v/>
      </c>
      <c r="AE14" s="217" t="str">
        <f t="shared" si="70"/>
        <v/>
      </c>
      <c r="AF14" s="216" t="str">
        <f t="shared" si="16"/>
        <v/>
      </c>
      <c r="AG14" s="216" t="str">
        <f t="shared" si="71"/>
        <v/>
      </c>
      <c r="AH14" s="26"/>
      <c r="AI14" s="216" t="str">
        <f>+IF(B14="","",LOOKUP(B14,tabelas!AQ:AQ,tabelas!AR:AR))</f>
        <v/>
      </c>
      <c r="AJ14" s="371" t="str">
        <f>+IF(B14="","",LOOKUP(B14,tabelas!AQ:AQ,tabelas!AT:AT))</f>
        <v/>
      </c>
      <c r="AK14" s="219" t="str">
        <f>+IF(B14="","",LOOKUP(B14,tabelas!AQ:AQ,tabelas!AS:AS))</f>
        <v/>
      </c>
      <c r="AL14" s="371" t="str">
        <f>+IF(B14="","",LOOKUP(B14,tabelas!AQ:AQ,tabelas!AU:AU))</f>
        <v/>
      </c>
      <c r="AM14" s="371" t="str">
        <f>+IF(B14="","",LOOKUP(B14,tabelas!AQ:AQ,tabelas!AW:AW))</f>
        <v/>
      </c>
      <c r="AN14" s="219" t="str">
        <f>+IF(B14="","",LOOKUP(B14,tabelas!AQ:AQ,tabelas!AV:AV))</f>
        <v/>
      </c>
      <c r="AO14" s="371" t="str">
        <f>+IF(B14="","",LOOKUP(B14,tabelas!AQ:AQ,tabelas!AX:AX))</f>
        <v/>
      </c>
      <c r="AP14" s="371" t="str">
        <f>+IF(B14="","",LOOKUP(B14,tabelas!AQ:AQ,tabelas!AZ:AZ))</f>
        <v/>
      </c>
      <c r="AQ14" s="219" t="str">
        <f>+IF(B14="","",LOOKUP(B14,tabelas!AQ:AQ,tabelas!AY:AY))</f>
        <v/>
      </c>
      <c r="AR14" s="371" t="str">
        <f>+IF(B14="","",LOOKUP(B14,tabelas!AQ:AQ,tabelas!BA:BA))</f>
        <v/>
      </c>
      <c r="AS14" s="371" t="str">
        <f>+IF(B14="","",LOOKUP(B14,tabelas!AQ:AQ,tabelas!BC:BC))</f>
        <v/>
      </c>
      <c r="AT14" s="219" t="str">
        <f>+IF(B14="","",LOOKUP(B14,tabelas!AQ:AQ,tabelas!BB:BB))</f>
        <v/>
      </c>
      <c r="AU14" s="371" t="str">
        <f>+IF(B14="","",LOOKUP(B14,tabelas!AQ:AQ,tabelas!BD:BD))</f>
        <v/>
      </c>
      <c r="AV14" s="371" t="str">
        <f>+IF(B14="","",LOOKUP(B14,tabelas!AQ:AQ,tabelas!BF:BF))</f>
        <v/>
      </c>
      <c r="AW14" s="219" t="str">
        <f>+IF(B14="","",LOOKUP(B14,tabelas!AQ:AQ,tabelas!BE:BE))</f>
        <v/>
      </c>
      <c r="AX14" s="371" t="str">
        <f>+IF(B14="","",LOOKUP(B14,tabelas!AQ:AQ,tabelas!BG:BG))</f>
        <v/>
      </c>
      <c r="AY14" s="26"/>
      <c r="AZ14" s="38">
        <v>9</v>
      </c>
      <c r="BA14" s="225" t="str">
        <f t="shared" si="72"/>
        <v/>
      </c>
      <c r="BB14" s="225" t="str">
        <f t="shared" si="73"/>
        <v/>
      </c>
      <c r="BC14" s="26"/>
      <c r="BD14" s="221" t="str">
        <f t="shared" si="17"/>
        <v/>
      </c>
      <c r="BE14" s="227" t="str">
        <f t="shared" si="74"/>
        <v/>
      </c>
      <c r="BF14" s="228" t="str">
        <f t="shared" si="18"/>
        <v/>
      </c>
      <c r="BG14" s="228" t="str">
        <f t="shared" si="19"/>
        <v/>
      </c>
      <c r="BH14" s="228" t="str">
        <f t="shared" si="20"/>
        <v/>
      </c>
      <c r="BI14" s="228" t="str">
        <f t="shared" si="21"/>
        <v/>
      </c>
      <c r="BJ14" s="219" t="str">
        <f t="shared" si="22"/>
        <v/>
      </c>
      <c r="BK14" s="217" t="str">
        <f t="shared" si="23"/>
        <v/>
      </c>
      <c r="BL14" s="228" t="str">
        <f t="shared" si="24"/>
        <v/>
      </c>
      <c r="BM14" s="228" t="str">
        <f t="shared" si="25"/>
        <v/>
      </c>
      <c r="BN14" s="217" t="str">
        <f t="shared" si="26"/>
        <v/>
      </c>
      <c r="BO14" s="228" t="str">
        <f t="shared" si="27"/>
        <v/>
      </c>
      <c r="BP14" s="228" t="str">
        <f t="shared" si="28"/>
        <v/>
      </c>
      <c r="BQ14" s="228" t="str">
        <f t="shared" si="29"/>
        <v/>
      </c>
      <c r="BR14" s="26"/>
      <c r="BS14" s="216" t="str">
        <f>+IF(BD14="","",LOOKUP(BD14,tabelas!AQ:AQ,tabelas!AR:AR))</f>
        <v/>
      </c>
      <c r="BT14" s="217" t="str">
        <f>+IF(BD14="","",LOOKUP(BD14,tabelas!AQ:AQ,tabelas!AT:AT))</f>
        <v/>
      </c>
      <c r="BU14" s="219" t="str">
        <f>+IF(BD14="","",LOOKUP(BD14,tabelas!AQ:AQ,tabelas!AS:AS))</f>
        <v/>
      </c>
      <c r="BV14" s="217" t="str">
        <f>+IF(BD14="","",LOOKUP(BD14,tabelas!AQ:AQ,tabelas!AU:AU))</f>
        <v/>
      </c>
      <c r="BW14" s="217" t="str">
        <f>+IF(BD14="","",LOOKUP(BD14,tabelas!AQ:AQ,tabelas!AW:AW))</f>
        <v/>
      </c>
      <c r="BX14" s="219" t="str">
        <f>+IF(BD14="","",LOOKUP(BD14,tabelas!AQ:AQ,tabelas!AV:AV))</f>
        <v/>
      </c>
      <c r="BY14" s="217" t="str">
        <f>+IF(BD14="","",LOOKUP(BD14,tabelas!AQ:AQ,tabelas!AX:AX))</f>
        <v/>
      </c>
      <c r="BZ14" s="217" t="str">
        <f>+IF(BD14="","",LOOKUP(BD14,tabelas!AQ:AQ,tabelas!AZ:AZ))</f>
        <v/>
      </c>
      <c r="CA14" s="219" t="str">
        <f>+IF(BD14="","",LOOKUP(BD14,tabelas!AQ:AQ,tabelas!AY:AY))</f>
        <v/>
      </c>
      <c r="CB14" s="217" t="str">
        <f>+IF(BD14="","",LOOKUP(BD14,tabelas!AQ:AQ,tabelas!BA:BA))</f>
        <v/>
      </c>
      <c r="CC14" s="217" t="str">
        <f>+IF(BD14="","",LOOKUP(BD14,tabelas!AQ:AQ,tabelas!BC:BC))</f>
        <v/>
      </c>
      <c r="CD14" s="219" t="str">
        <f>+IF(BD14="","",LOOKUP(BD14,tabelas!AQ:AQ,tabelas!BB:BB))</f>
        <v/>
      </c>
      <c r="CE14" s="217" t="str">
        <f>+IF(BD14="","",LOOKUP(BD14,tabelas!AQ:AQ,tabelas!BD:BD))</f>
        <v/>
      </c>
      <c r="CF14" s="217" t="str">
        <f>+IF(BD14="","",LOOKUP(BD14,tabelas!AQ:AQ,tabelas!BF:BF))</f>
        <v/>
      </c>
      <c r="CG14" s="219" t="str">
        <f>+IF(BD14="","",LOOKUP(BD14,tabelas!AQ:AQ,tabelas!BE:BE))</f>
        <v/>
      </c>
      <c r="CH14" s="217" t="str">
        <f>+IF(BD14="","",LOOKUP(BD14,tabelas!AQ:AQ,tabelas!BG:BG))</f>
        <v/>
      </c>
      <c r="CI14" s="26"/>
      <c r="CJ14" s="221" t="str">
        <f t="shared" si="30"/>
        <v/>
      </c>
      <c r="CK14" s="227" t="str">
        <f t="shared" si="75"/>
        <v/>
      </c>
      <c r="CL14" s="217" t="str">
        <f t="shared" si="31"/>
        <v/>
      </c>
      <c r="CM14" s="217" t="str">
        <f t="shared" si="32"/>
        <v/>
      </c>
      <c r="CN14" s="217" t="str">
        <f t="shared" si="33"/>
        <v/>
      </c>
      <c r="CO14" s="217" t="str">
        <f t="shared" si="34"/>
        <v/>
      </c>
      <c r="CP14" s="217" t="str">
        <f t="shared" si="35"/>
        <v/>
      </c>
      <c r="CQ14" s="217" t="str">
        <f t="shared" si="36"/>
        <v/>
      </c>
      <c r="CR14" s="217" t="str">
        <f t="shared" si="37"/>
        <v/>
      </c>
      <c r="CS14" s="217" t="str">
        <f t="shared" si="38"/>
        <v/>
      </c>
      <c r="CT14" s="228" t="str">
        <f t="shared" si="39"/>
        <v/>
      </c>
      <c r="CU14" s="217" t="str">
        <f t="shared" si="40"/>
        <v/>
      </c>
      <c r="CV14" s="223" t="str">
        <f t="shared" si="41"/>
        <v/>
      </c>
      <c r="CW14" s="229" t="str">
        <f t="shared" si="42"/>
        <v/>
      </c>
      <c r="CX14" s="223" t="str">
        <f t="shared" si="43"/>
        <v/>
      </c>
      <c r="CY14" s="229" t="str">
        <f t="shared" si="44"/>
        <v/>
      </c>
      <c r="CZ14" s="228" t="str">
        <f t="shared" si="45"/>
        <v/>
      </c>
      <c r="DA14" s="228" t="str">
        <f t="shared" si="46"/>
        <v/>
      </c>
      <c r="DB14" s="230" t="str">
        <f t="shared" si="47"/>
        <v/>
      </c>
      <c r="DC14" s="217" t="str">
        <f t="shared" si="48"/>
        <v/>
      </c>
      <c r="DD14" s="228" t="str">
        <f t="shared" si="49"/>
        <v/>
      </c>
      <c r="DE14" s="228" t="str">
        <f t="shared" si="50"/>
        <v/>
      </c>
      <c r="DF14" s="228" t="str">
        <f t="shared" si="51"/>
        <v/>
      </c>
      <c r="DG14" s="217" t="str">
        <f t="shared" si="52"/>
        <v/>
      </c>
      <c r="DH14" s="217" t="str">
        <f t="shared" si="53"/>
        <v/>
      </c>
      <c r="DI14" s="217" t="str">
        <f t="shared" si="54"/>
        <v/>
      </c>
      <c r="DJ14" s="26"/>
      <c r="DK14" s="216" t="str">
        <f>+IF(CJ14="","",LOOKUP(CJ14,tabelas!AQ:AQ,tabelas!AR:AR))</f>
        <v/>
      </c>
      <c r="DL14" s="217" t="str">
        <f>+IF(CJ14="","",LOOKUP(CJ14,tabelas!AQ:AQ,tabelas!AT:AT))</f>
        <v/>
      </c>
      <c r="DM14" s="219" t="str">
        <f>+IF(CJ14="","",LOOKUP(CJ14,tabelas!AQ:AQ,tabelas!AS:AS))</f>
        <v/>
      </c>
      <c r="DN14" s="217" t="str">
        <f>+IF(CJ14="","",LOOKUP(CJ14,tabelas!AQ:AQ,tabelas!AU:AU))</f>
        <v/>
      </c>
      <c r="DO14" s="217" t="str">
        <f>+IF(CJ14="","",LOOKUP(CJ14,tabelas!AQ:AQ,tabelas!AW:AW))</f>
        <v/>
      </c>
      <c r="DP14" s="219" t="str">
        <f>+IF(CJ14="","",LOOKUP(CJ14,tabelas!AQ:AQ,tabelas!AV:AV))</f>
        <v/>
      </c>
      <c r="DQ14" s="217" t="str">
        <f>+IF(CJ14="","",LOOKUP(CJ14,tabelas!AQ:AQ,tabelas!AX:AX))</f>
        <v/>
      </c>
      <c r="DR14" s="217" t="str">
        <f>+IF(CJ14="","",LOOKUP(CJ14,tabelas!AQ:AQ,tabelas!AZ:AZ))</f>
        <v/>
      </c>
      <c r="DS14" s="219" t="str">
        <f>+IF(CJ14="","",LOOKUP(CJ14,tabelas!AQ:AQ,tabelas!AY:AY))</f>
        <v/>
      </c>
      <c r="DT14" s="217" t="str">
        <f>+IF(CJ14="","",LOOKUP(CJ14,tabelas!AQ:AQ,tabelas!BA:BA))</f>
        <v/>
      </c>
      <c r="DU14" s="217" t="str">
        <f>+IF(CJ14="","",LOOKUP(CJ14,tabelas!AQ:AQ,tabelas!BC:BC))</f>
        <v/>
      </c>
      <c r="DV14" s="219" t="str">
        <f>+IF(CJ14="","",LOOKUP(CJ14,tabelas!AQ:AQ,tabelas!BB:BB))</f>
        <v/>
      </c>
      <c r="DW14" s="217" t="str">
        <f>+IF(CJ14="","",LOOKUP(CJ14,tabelas!AQ:AQ,tabelas!BD:BD))</f>
        <v/>
      </c>
      <c r="DX14" s="217" t="str">
        <f>+IF(CJ14="","",LOOKUP(CJ14,tabelas!AQ:AQ,tabelas!BF:BF))</f>
        <v/>
      </c>
      <c r="DY14" s="219" t="str">
        <f>+IF(CJ14="","",LOOKUP(CJ14,tabelas!AQ:AQ,tabelas!BE:BE))</f>
        <v/>
      </c>
      <c r="DZ14" s="217" t="str">
        <f>+IF(CJ14="","",LOOKUP(CJ14,tabelas!AQ:AQ,tabelas!BG:BG))</f>
        <v/>
      </c>
      <c r="EA14" s="26"/>
      <c r="EB14" s="326" t="str">
        <f>+IF(CJ14="","",LOOKUP(CJ14,tabelas!AQ:AQ,tabelas!BI:BI))</f>
        <v/>
      </c>
      <c r="EC14" s="222" t="str">
        <f t="shared" si="55"/>
        <v/>
      </c>
      <c r="ED14" s="231" t="str">
        <f t="shared" si="56"/>
        <v/>
      </c>
      <c r="EE14" s="222" t="str">
        <f>+IF(CJ14="","",IF(AND(ROUND(CJ14,0)&gt;1991,ROUND(CJ14,0)&lt;1995),LOOKUP(DATE(ROUND(CJ14,0)+1,5,1),tabelas!CC:CC,tabelas!CD:CD),""))</f>
        <v/>
      </c>
      <c r="EF14" s="222" t="str">
        <f t="shared" si="57"/>
        <v/>
      </c>
      <c r="EG14" s="26"/>
      <c r="EH14" s="233" t="str">
        <f t="shared" si="58"/>
        <v/>
      </c>
      <c r="EI14" s="246" t="str">
        <f t="shared" si="76"/>
        <v/>
      </c>
      <c r="EJ14" s="26"/>
      <c r="EK14" s="221" t="str">
        <f t="shared" si="77"/>
        <v/>
      </c>
      <c r="EL14" s="235" t="str">
        <f t="shared" si="59"/>
        <v/>
      </c>
      <c r="EM14" s="229" t="str">
        <f t="shared" si="60"/>
        <v/>
      </c>
      <c r="EN14" s="236" t="str">
        <f>+IF(EL14="","",LOOKUP(EL14,tabelas!CN:CN,tabelas!CO:CO)/IND_CM_DIST)</f>
        <v/>
      </c>
      <c r="EO14" s="229" t="str">
        <f t="shared" si="78"/>
        <v/>
      </c>
      <c r="EP14" s="237" t="str">
        <f>+IF(EL14="","",LOOKUP(EDATE(EL14,0),tabelas!CQ:CQ,tabelas!CR:CR)-IND_JR_DIST)</f>
        <v/>
      </c>
      <c r="EQ14" s="229" t="str">
        <f t="shared" si="61"/>
        <v/>
      </c>
      <c r="ER14" s="229" t="str">
        <f t="shared" si="79"/>
        <v/>
      </c>
      <c r="ES14" s="26"/>
      <c r="ET14" s="335" t="s">
        <v>164</v>
      </c>
      <c r="EU14" s="38" t="s">
        <v>166</v>
      </c>
      <c r="EV14" s="26"/>
      <c r="EW14" s="26"/>
      <c r="EX14" s="328" t="str">
        <f t="shared" si="62"/>
        <v/>
      </c>
      <c r="EY14" s="246" t="str">
        <f t="shared" si="80"/>
        <v/>
      </c>
      <c r="EZ14" s="26"/>
      <c r="FA14" s="221" t="str">
        <f t="shared" si="81"/>
        <v/>
      </c>
      <c r="FB14" s="330" t="str">
        <f t="shared" si="63"/>
        <v/>
      </c>
      <c r="FC14" s="229" t="str">
        <f t="shared" si="64"/>
        <v/>
      </c>
      <c r="FD14" s="236" t="str">
        <f>+IF(FB14="","",LOOKUP(FB14,tabelas!CN:CN,tabelas!CO:CO)/IND_CM_FIM)</f>
        <v/>
      </c>
      <c r="FE14" s="229" t="str">
        <f t="shared" si="82"/>
        <v/>
      </c>
      <c r="FF14" s="237" t="str">
        <f>+IF(FB14="","",LOOKUP(EDATE(FB14,0),tabelas!CQ:CQ,tabelas!CR:CR)-IND_JR_FIM+0.01)</f>
        <v/>
      </c>
      <c r="FG14" s="229" t="str">
        <f t="shared" si="65"/>
        <v/>
      </c>
      <c r="FH14" s="229" t="str">
        <f t="shared" si="83"/>
        <v/>
      </c>
    </row>
    <row r="15" spans="2:179" ht="18" customHeight="1">
      <c r="B15" s="216" t="str">
        <f>+IF(cadastro!B23="","",cadastro!B23)</f>
        <v/>
      </c>
      <c r="C15" s="217" t="str">
        <f>+IF(cadastro!C23="","",cadastro!C23)</f>
        <v/>
      </c>
      <c r="D15" s="218" t="str">
        <f>+IF(cadastro!D23="","",cadastro!D23)</f>
        <v/>
      </c>
      <c r="E15" s="218" t="str">
        <f t="shared" si="0"/>
        <v/>
      </c>
      <c r="F15" s="218" t="str">
        <f t="shared" si="1"/>
        <v/>
      </c>
      <c r="G15" s="218" t="str">
        <f t="shared" si="2"/>
        <v/>
      </c>
      <c r="H15" s="218" t="str">
        <f t="shared" si="3"/>
        <v/>
      </c>
      <c r="I15" s="218" t="str">
        <f>+IF(cadastro!C23="","",IF(cadastro!C23="COMPLETA",IF(cadastro!E23="","",cadastro!E23),0))</f>
        <v/>
      </c>
      <c r="J15" s="218" t="str">
        <f>+IF(OR(cadastro!B23="",cadastro!C23="COMPLETA"),"",LOOKUP(cadastro!B23,tabelas!AQ:AQ,tabelas!BH:BH))</f>
        <v/>
      </c>
      <c r="K15" s="218" t="str">
        <f t="shared" si="4"/>
        <v/>
      </c>
      <c r="L15" s="218" t="str">
        <f t="shared" si="5"/>
        <v/>
      </c>
      <c r="M15" s="218" t="str">
        <f t="shared" si="66"/>
        <v/>
      </c>
      <c r="N15" s="218" t="str">
        <f t="shared" si="67"/>
        <v/>
      </c>
      <c r="O15" s="218" t="str">
        <f t="shared" si="6"/>
        <v/>
      </c>
      <c r="P15" s="218" t="str">
        <f t="shared" si="7"/>
        <v/>
      </c>
      <c r="Q15" s="220" t="str">
        <f t="shared" si="8"/>
        <v/>
      </c>
      <c r="R15" s="218" t="str">
        <f t="shared" si="9"/>
        <v/>
      </c>
      <c r="S15" s="220" t="str">
        <f t="shared" si="10"/>
        <v/>
      </c>
      <c r="T15" s="218" t="str">
        <f t="shared" si="11"/>
        <v/>
      </c>
      <c r="U15" s="218">
        <f>+IF(OR(C15="SIMPLIFICADA",cadastro!G23=""),0,cadastro!G23)</f>
        <v>0</v>
      </c>
      <c r="V15" s="218">
        <f>+IF(cadastro!F23="",0,cadastro!F23)</f>
        <v>0</v>
      </c>
      <c r="W15" s="218" t="str">
        <f t="shared" si="68"/>
        <v/>
      </c>
      <c r="X15" s="218" t="str">
        <f t="shared" si="69"/>
        <v/>
      </c>
      <c r="Y15" s="218" t="str">
        <f>+IF(cadastro!H23="","",cadastro!H23)</f>
        <v/>
      </c>
      <c r="Z15" s="218" t="str">
        <f>+IF(cadastro!J23="","",IF(LEFT(AB15,1)="R",-1,1)*cadastro!J23)</f>
        <v/>
      </c>
      <c r="AA15" s="218" t="str">
        <f t="shared" si="12"/>
        <v/>
      </c>
      <c r="AB15" s="217" t="str">
        <f t="shared" si="13"/>
        <v/>
      </c>
      <c r="AC15" s="218" t="str">
        <f t="shared" si="14"/>
        <v/>
      </c>
      <c r="AD15" s="217" t="str">
        <f t="shared" si="15"/>
        <v/>
      </c>
      <c r="AE15" s="217" t="str">
        <f t="shared" si="70"/>
        <v/>
      </c>
      <c r="AF15" s="216" t="str">
        <f t="shared" si="16"/>
        <v/>
      </c>
      <c r="AG15" s="216" t="str">
        <f t="shared" si="71"/>
        <v/>
      </c>
      <c r="AH15" s="26"/>
      <c r="AI15" s="216" t="str">
        <f>+IF(B15="","",LOOKUP(B15,tabelas!AQ:AQ,tabelas!AR:AR))</f>
        <v/>
      </c>
      <c r="AJ15" s="371" t="str">
        <f>+IF(B15="","",LOOKUP(B15,tabelas!AQ:AQ,tabelas!AT:AT))</f>
        <v/>
      </c>
      <c r="AK15" s="219" t="str">
        <f>+IF(B15="","",LOOKUP(B15,tabelas!AQ:AQ,tabelas!AS:AS))</f>
        <v/>
      </c>
      <c r="AL15" s="371" t="str">
        <f>+IF(B15="","",LOOKUP(B15,tabelas!AQ:AQ,tabelas!AU:AU))</f>
        <v/>
      </c>
      <c r="AM15" s="371" t="str">
        <f>+IF(B15="","",LOOKUP(B15,tabelas!AQ:AQ,tabelas!AW:AW))</f>
        <v/>
      </c>
      <c r="AN15" s="219" t="str">
        <f>+IF(B15="","",LOOKUP(B15,tabelas!AQ:AQ,tabelas!AV:AV))</f>
        <v/>
      </c>
      <c r="AO15" s="371" t="str">
        <f>+IF(B15="","",LOOKUP(B15,tabelas!AQ:AQ,tabelas!AX:AX))</f>
        <v/>
      </c>
      <c r="AP15" s="371" t="str">
        <f>+IF(B15="","",LOOKUP(B15,tabelas!AQ:AQ,tabelas!AZ:AZ))</f>
        <v/>
      </c>
      <c r="AQ15" s="219" t="str">
        <f>+IF(B15="","",LOOKUP(B15,tabelas!AQ:AQ,tabelas!AY:AY))</f>
        <v/>
      </c>
      <c r="AR15" s="371" t="str">
        <f>+IF(B15="","",LOOKUP(B15,tabelas!AQ:AQ,tabelas!BA:BA))</f>
        <v/>
      </c>
      <c r="AS15" s="371" t="str">
        <f>+IF(B15="","",LOOKUP(B15,tabelas!AQ:AQ,tabelas!BC:BC))</f>
        <v/>
      </c>
      <c r="AT15" s="219" t="str">
        <f>+IF(B15="","",LOOKUP(B15,tabelas!AQ:AQ,tabelas!BB:BB))</f>
        <v/>
      </c>
      <c r="AU15" s="371" t="str">
        <f>+IF(B15="","",LOOKUP(B15,tabelas!AQ:AQ,tabelas!BD:BD))</f>
        <v/>
      </c>
      <c r="AV15" s="371" t="str">
        <f>+IF(B15="","",LOOKUP(B15,tabelas!AQ:AQ,tabelas!BF:BF))</f>
        <v/>
      </c>
      <c r="AW15" s="219" t="str">
        <f>+IF(B15="","",LOOKUP(B15,tabelas!AQ:AQ,tabelas!BE:BE))</f>
        <v/>
      </c>
      <c r="AX15" s="371" t="str">
        <f>+IF(B15="","",LOOKUP(B15,tabelas!AQ:AQ,tabelas!BG:BG))</f>
        <v/>
      </c>
      <c r="AY15" s="26"/>
      <c r="AZ15" s="38">
        <v>10</v>
      </c>
      <c r="BA15" s="225" t="str">
        <f t="shared" si="72"/>
        <v/>
      </c>
      <c r="BB15" s="225" t="str">
        <f t="shared" si="73"/>
        <v/>
      </c>
      <c r="BC15" s="26"/>
      <c r="BD15" s="221" t="str">
        <f t="shared" si="17"/>
        <v/>
      </c>
      <c r="BE15" s="227" t="str">
        <f t="shared" si="74"/>
        <v/>
      </c>
      <c r="BF15" s="228" t="str">
        <f t="shared" si="18"/>
        <v/>
      </c>
      <c r="BG15" s="228" t="str">
        <f t="shared" si="19"/>
        <v/>
      </c>
      <c r="BH15" s="228" t="str">
        <f t="shared" si="20"/>
        <v/>
      </c>
      <c r="BI15" s="228" t="str">
        <f t="shared" si="21"/>
        <v/>
      </c>
      <c r="BJ15" s="219" t="str">
        <f t="shared" si="22"/>
        <v/>
      </c>
      <c r="BK15" s="217" t="str">
        <f t="shared" si="23"/>
        <v/>
      </c>
      <c r="BL15" s="228" t="str">
        <f t="shared" si="24"/>
        <v/>
      </c>
      <c r="BM15" s="228" t="str">
        <f t="shared" si="25"/>
        <v/>
      </c>
      <c r="BN15" s="217" t="str">
        <f t="shared" si="26"/>
        <v/>
      </c>
      <c r="BO15" s="228" t="str">
        <f t="shared" si="27"/>
        <v/>
      </c>
      <c r="BP15" s="228" t="str">
        <f t="shared" si="28"/>
        <v/>
      </c>
      <c r="BQ15" s="228" t="str">
        <f t="shared" si="29"/>
        <v/>
      </c>
      <c r="BR15" s="26"/>
      <c r="BS15" s="216" t="str">
        <f>+IF(BD15="","",LOOKUP(BD15,tabelas!AQ:AQ,tabelas!AR:AR))</f>
        <v/>
      </c>
      <c r="BT15" s="217" t="str">
        <f>+IF(BD15="","",LOOKUP(BD15,tabelas!AQ:AQ,tabelas!AT:AT))</f>
        <v/>
      </c>
      <c r="BU15" s="219" t="str">
        <f>+IF(BD15="","",LOOKUP(BD15,tabelas!AQ:AQ,tabelas!AS:AS))</f>
        <v/>
      </c>
      <c r="BV15" s="217" t="str">
        <f>+IF(BD15="","",LOOKUP(BD15,tabelas!AQ:AQ,tabelas!AU:AU))</f>
        <v/>
      </c>
      <c r="BW15" s="217" t="str">
        <f>+IF(BD15="","",LOOKUP(BD15,tabelas!AQ:AQ,tabelas!AW:AW))</f>
        <v/>
      </c>
      <c r="BX15" s="219" t="str">
        <f>+IF(BD15="","",LOOKUP(BD15,tabelas!AQ:AQ,tabelas!AV:AV))</f>
        <v/>
      </c>
      <c r="BY15" s="217" t="str">
        <f>+IF(BD15="","",LOOKUP(BD15,tabelas!AQ:AQ,tabelas!AX:AX))</f>
        <v/>
      </c>
      <c r="BZ15" s="217" t="str">
        <f>+IF(BD15="","",LOOKUP(BD15,tabelas!AQ:AQ,tabelas!AZ:AZ))</f>
        <v/>
      </c>
      <c r="CA15" s="219" t="str">
        <f>+IF(BD15="","",LOOKUP(BD15,tabelas!AQ:AQ,tabelas!AY:AY))</f>
        <v/>
      </c>
      <c r="CB15" s="217" t="str">
        <f>+IF(BD15="","",LOOKUP(BD15,tabelas!AQ:AQ,tabelas!BA:BA))</f>
        <v/>
      </c>
      <c r="CC15" s="217" t="str">
        <f>+IF(BD15="","",LOOKUP(BD15,tabelas!AQ:AQ,tabelas!BC:BC))</f>
        <v/>
      </c>
      <c r="CD15" s="219" t="str">
        <f>+IF(BD15="","",LOOKUP(BD15,tabelas!AQ:AQ,tabelas!BB:BB))</f>
        <v/>
      </c>
      <c r="CE15" s="217" t="str">
        <f>+IF(BD15="","",LOOKUP(BD15,tabelas!AQ:AQ,tabelas!BD:BD))</f>
        <v/>
      </c>
      <c r="CF15" s="217" t="str">
        <f>+IF(BD15="","",LOOKUP(BD15,tabelas!AQ:AQ,tabelas!BF:BF))</f>
        <v/>
      </c>
      <c r="CG15" s="219" t="str">
        <f>+IF(BD15="","",LOOKUP(BD15,tabelas!AQ:AQ,tabelas!BE:BE))</f>
        <v/>
      </c>
      <c r="CH15" s="217" t="str">
        <f>+IF(BD15="","",LOOKUP(BD15,tabelas!AQ:AQ,tabelas!BG:BG))</f>
        <v/>
      </c>
      <c r="CI15" s="26"/>
      <c r="CJ15" s="221" t="str">
        <f t="shared" si="30"/>
        <v/>
      </c>
      <c r="CK15" s="227" t="str">
        <f t="shared" si="75"/>
        <v/>
      </c>
      <c r="CL15" s="217" t="str">
        <f t="shared" si="31"/>
        <v/>
      </c>
      <c r="CM15" s="217" t="str">
        <f t="shared" si="32"/>
        <v/>
      </c>
      <c r="CN15" s="217" t="str">
        <f t="shared" si="33"/>
        <v/>
      </c>
      <c r="CO15" s="217" t="str">
        <f t="shared" si="34"/>
        <v/>
      </c>
      <c r="CP15" s="217" t="str">
        <f t="shared" si="35"/>
        <v/>
      </c>
      <c r="CQ15" s="217" t="str">
        <f t="shared" si="36"/>
        <v/>
      </c>
      <c r="CR15" s="217" t="str">
        <f t="shared" si="37"/>
        <v/>
      </c>
      <c r="CS15" s="217" t="str">
        <f t="shared" si="38"/>
        <v/>
      </c>
      <c r="CT15" s="228" t="str">
        <f t="shared" si="39"/>
        <v/>
      </c>
      <c r="CU15" s="217" t="str">
        <f t="shared" si="40"/>
        <v/>
      </c>
      <c r="CV15" s="223" t="str">
        <f t="shared" si="41"/>
        <v/>
      </c>
      <c r="CW15" s="229" t="str">
        <f t="shared" si="42"/>
        <v/>
      </c>
      <c r="CX15" s="223" t="str">
        <f t="shared" si="43"/>
        <v/>
      </c>
      <c r="CY15" s="229" t="str">
        <f t="shared" si="44"/>
        <v/>
      </c>
      <c r="CZ15" s="228" t="str">
        <f t="shared" si="45"/>
        <v/>
      </c>
      <c r="DA15" s="228" t="str">
        <f t="shared" si="46"/>
        <v/>
      </c>
      <c r="DB15" s="230" t="str">
        <f t="shared" si="47"/>
        <v/>
      </c>
      <c r="DC15" s="217" t="str">
        <f t="shared" si="48"/>
        <v/>
      </c>
      <c r="DD15" s="228" t="str">
        <f t="shared" si="49"/>
        <v/>
      </c>
      <c r="DE15" s="228" t="str">
        <f t="shared" si="50"/>
        <v/>
      </c>
      <c r="DF15" s="228" t="str">
        <f t="shared" si="51"/>
        <v/>
      </c>
      <c r="DG15" s="217" t="str">
        <f t="shared" si="52"/>
        <v/>
      </c>
      <c r="DH15" s="217" t="str">
        <f t="shared" si="53"/>
        <v/>
      </c>
      <c r="DI15" s="217" t="str">
        <f t="shared" si="54"/>
        <v/>
      </c>
      <c r="DJ15" s="26"/>
      <c r="DK15" s="216" t="str">
        <f>+IF(CJ15="","",LOOKUP(CJ15,tabelas!AQ:AQ,tabelas!AR:AR))</f>
        <v/>
      </c>
      <c r="DL15" s="217" t="str">
        <f>+IF(CJ15="","",LOOKUP(CJ15,tabelas!AQ:AQ,tabelas!AT:AT))</f>
        <v/>
      </c>
      <c r="DM15" s="219" t="str">
        <f>+IF(CJ15="","",LOOKUP(CJ15,tabelas!AQ:AQ,tabelas!AS:AS))</f>
        <v/>
      </c>
      <c r="DN15" s="217" t="str">
        <f>+IF(CJ15="","",LOOKUP(CJ15,tabelas!AQ:AQ,tabelas!AU:AU))</f>
        <v/>
      </c>
      <c r="DO15" s="217" t="str">
        <f>+IF(CJ15="","",LOOKUP(CJ15,tabelas!AQ:AQ,tabelas!AW:AW))</f>
        <v/>
      </c>
      <c r="DP15" s="219" t="str">
        <f>+IF(CJ15="","",LOOKUP(CJ15,tabelas!AQ:AQ,tabelas!AV:AV))</f>
        <v/>
      </c>
      <c r="DQ15" s="217" t="str">
        <f>+IF(CJ15="","",LOOKUP(CJ15,tabelas!AQ:AQ,tabelas!AX:AX))</f>
        <v/>
      </c>
      <c r="DR15" s="217" t="str">
        <f>+IF(CJ15="","",LOOKUP(CJ15,tabelas!AQ:AQ,tabelas!AZ:AZ))</f>
        <v/>
      </c>
      <c r="DS15" s="219" t="str">
        <f>+IF(CJ15="","",LOOKUP(CJ15,tabelas!AQ:AQ,tabelas!AY:AY))</f>
        <v/>
      </c>
      <c r="DT15" s="217" t="str">
        <f>+IF(CJ15="","",LOOKUP(CJ15,tabelas!AQ:AQ,tabelas!BA:BA))</f>
        <v/>
      </c>
      <c r="DU15" s="217" t="str">
        <f>+IF(CJ15="","",LOOKUP(CJ15,tabelas!AQ:AQ,tabelas!BC:BC))</f>
        <v/>
      </c>
      <c r="DV15" s="219" t="str">
        <f>+IF(CJ15="","",LOOKUP(CJ15,tabelas!AQ:AQ,tabelas!BB:BB))</f>
        <v/>
      </c>
      <c r="DW15" s="217" t="str">
        <f>+IF(CJ15="","",LOOKUP(CJ15,tabelas!AQ:AQ,tabelas!BD:BD))</f>
        <v/>
      </c>
      <c r="DX15" s="217" t="str">
        <f>+IF(CJ15="","",LOOKUP(CJ15,tabelas!AQ:AQ,tabelas!BF:BF))</f>
        <v/>
      </c>
      <c r="DY15" s="219" t="str">
        <f>+IF(CJ15="","",LOOKUP(CJ15,tabelas!AQ:AQ,tabelas!BE:BE))</f>
        <v/>
      </c>
      <c r="DZ15" s="217" t="str">
        <f>+IF(CJ15="","",LOOKUP(CJ15,tabelas!AQ:AQ,tabelas!BG:BG))</f>
        <v/>
      </c>
      <c r="EA15" s="26"/>
      <c r="EB15" s="326" t="str">
        <f>+IF(CJ15="","",LOOKUP(CJ15,tabelas!AQ:AQ,tabelas!BI:BI))</f>
        <v/>
      </c>
      <c r="EC15" s="222" t="str">
        <f t="shared" si="55"/>
        <v/>
      </c>
      <c r="ED15" s="231" t="str">
        <f t="shared" si="56"/>
        <v/>
      </c>
      <c r="EE15" s="222" t="str">
        <f>+IF(CJ15="","",IF(AND(ROUND(CJ15,0)&gt;1991,ROUND(CJ15,0)&lt;1995),LOOKUP(DATE(ROUND(CJ15,0)+1,5,1),tabelas!CC:CC,tabelas!CD:CD),""))</f>
        <v/>
      </c>
      <c r="EF15" s="222" t="str">
        <f t="shared" si="57"/>
        <v/>
      </c>
      <c r="EG15" s="26"/>
      <c r="EH15" s="233" t="str">
        <f t="shared" si="58"/>
        <v/>
      </c>
      <c r="EI15" s="246" t="str">
        <f t="shared" si="76"/>
        <v/>
      </c>
      <c r="EJ15" s="26"/>
      <c r="EK15" s="221" t="str">
        <f t="shared" si="77"/>
        <v/>
      </c>
      <c r="EL15" s="235" t="str">
        <f t="shared" si="59"/>
        <v/>
      </c>
      <c r="EM15" s="229" t="str">
        <f t="shared" si="60"/>
        <v/>
      </c>
      <c r="EN15" s="236" t="str">
        <f>+IF(EL15="","",LOOKUP(EL15,tabelas!CN:CN,tabelas!CO:CO)/IND_CM_DIST)</f>
        <v/>
      </c>
      <c r="EO15" s="229" t="str">
        <f t="shared" si="78"/>
        <v/>
      </c>
      <c r="EP15" s="237" t="str">
        <f>+IF(EL15="","",LOOKUP(EDATE(EL15,0),tabelas!CQ:CQ,tabelas!CR:CR)-IND_JR_DIST)</f>
        <v/>
      </c>
      <c r="EQ15" s="229" t="str">
        <f t="shared" si="61"/>
        <v/>
      </c>
      <c r="ER15" s="229" t="str">
        <f t="shared" si="79"/>
        <v/>
      </c>
      <c r="ES15" s="26"/>
      <c r="ET15" s="335" t="s">
        <v>105</v>
      </c>
      <c r="EU15" s="218">
        <f>+VAL_TETO</f>
        <v>10800</v>
      </c>
      <c r="EV15" s="167" t="s">
        <v>106</v>
      </c>
      <c r="EW15" s="26"/>
      <c r="EX15" s="328" t="str">
        <f t="shared" si="62"/>
        <v/>
      </c>
      <c r="EY15" s="246" t="str">
        <f t="shared" si="80"/>
        <v/>
      </c>
      <c r="EZ15" s="26"/>
      <c r="FA15" s="221" t="str">
        <f t="shared" si="81"/>
        <v/>
      </c>
      <c r="FB15" s="330" t="str">
        <f t="shared" si="63"/>
        <v/>
      </c>
      <c r="FC15" s="229" t="str">
        <f t="shared" si="64"/>
        <v/>
      </c>
      <c r="FD15" s="236" t="str">
        <f>+IF(FB15="","",LOOKUP(FB15,tabelas!CN:CN,tabelas!CO:CO)/IND_CM_FIM)</f>
        <v/>
      </c>
      <c r="FE15" s="229" t="str">
        <f t="shared" si="82"/>
        <v/>
      </c>
      <c r="FF15" s="237" t="str">
        <f>+IF(FB15="","",LOOKUP(EDATE(FB15,0),tabelas!CQ:CQ,tabelas!CR:CR)-IND_JR_FIM+0.01)</f>
        <v/>
      </c>
      <c r="FG15" s="229" t="str">
        <f t="shared" si="65"/>
        <v/>
      </c>
      <c r="FH15" s="229" t="str">
        <f t="shared" si="83"/>
        <v/>
      </c>
      <c r="FJ15" s="504" t="s">
        <v>124</v>
      </c>
      <c r="FK15" s="504"/>
      <c r="FL15" s="504"/>
    </row>
    <row r="16" spans="2:179" ht="18" customHeight="1">
      <c r="B16" s="216" t="str">
        <f>+IF(cadastro!B24="","",cadastro!B24)</f>
        <v/>
      </c>
      <c r="C16" s="217" t="str">
        <f>+IF(cadastro!C24="","",cadastro!C24)</f>
        <v/>
      </c>
      <c r="D16" s="218" t="str">
        <f>+IF(cadastro!D24="","",cadastro!D24)</f>
        <v/>
      </c>
      <c r="E16" s="218" t="str">
        <f t="shared" si="0"/>
        <v/>
      </c>
      <c r="F16" s="218" t="str">
        <f t="shared" si="1"/>
        <v/>
      </c>
      <c r="G16" s="218" t="str">
        <f t="shared" si="2"/>
        <v/>
      </c>
      <c r="H16" s="218" t="str">
        <f t="shared" si="3"/>
        <v/>
      </c>
      <c r="I16" s="218" t="str">
        <f>+IF(cadastro!C24="","",IF(cadastro!C24="COMPLETA",IF(cadastro!E24="","",cadastro!E24),0))</f>
        <v/>
      </c>
      <c r="J16" s="218" t="str">
        <f>+IF(OR(cadastro!B24="",cadastro!C24="COMPLETA"),"",LOOKUP(cadastro!B24,tabelas!AQ:AQ,tabelas!BH:BH))</f>
        <v/>
      </c>
      <c r="K16" s="218" t="str">
        <f t="shared" si="4"/>
        <v/>
      </c>
      <c r="L16" s="218" t="str">
        <f t="shared" si="5"/>
        <v/>
      </c>
      <c r="M16" s="218" t="str">
        <f t="shared" si="66"/>
        <v/>
      </c>
      <c r="N16" s="218" t="str">
        <f t="shared" si="67"/>
        <v/>
      </c>
      <c r="O16" s="218" t="str">
        <f t="shared" si="6"/>
        <v/>
      </c>
      <c r="P16" s="218" t="str">
        <f t="shared" si="7"/>
        <v/>
      </c>
      <c r="Q16" s="220" t="str">
        <f t="shared" si="8"/>
        <v/>
      </c>
      <c r="R16" s="218" t="str">
        <f t="shared" si="9"/>
        <v/>
      </c>
      <c r="S16" s="220" t="str">
        <f t="shared" si="10"/>
        <v/>
      </c>
      <c r="T16" s="218" t="str">
        <f t="shared" si="11"/>
        <v/>
      </c>
      <c r="U16" s="218">
        <f>+IF(OR(C16="SIMPLIFICADA",cadastro!G24=""),0,cadastro!G24)</f>
        <v>0</v>
      </c>
      <c r="V16" s="218">
        <f>+IF(cadastro!F24="",0,cadastro!F24)</f>
        <v>0</v>
      </c>
      <c r="W16" s="218" t="str">
        <f t="shared" si="68"/>
        <v/>
      </c>
      <c r="X16" s="218" t="str">
        <f t="shared" si="69"/>
        <v/>
      </c>
      <c r="Y16" s="218" t="str">
        <f>+IF(cadastro!H24="","",cadastro!H24)</f>
        <v/>
      </c>
      <c r="Z16" s="218" t="str">
        <f>+IF(cadastro!J24="","",IF(LEFT(AB16,1)="R",-1,1)*cadastro!J24)</f>
        <v/>
      </c>
      <c r="AA16" s="218" t="str">
        <f t="shared" si="12"/>
        <v/>
      </c>
      <c r="AB16" s="217" t="str">
        <f t="shared" si="13"/>
        <v/>
      </c>
      <c r="AC16" s="218" t="str">
        <f t="shared" si="14"/>
        <v/>
      </c>
      <c r="AD16" s="217" t="str">
        <f t="shared" si="15"/>
        <v/>
      </c>
      <c r="AE16" s="217" t="str">
        <f t="shared" si="70"/>
        <v/>
      </c>
      <c r="AF16" s="216" t="str">
        <f t="shared" si="16"/>
        <v/>
      </c>
      <c r="AG16" s="216" t="str">
        <f t="shared" si="71"/>
        <v/>
      </c>
      <c r="AH16" s="26"/>
      <c r="AI16" s="216" t="str">
        <f>+IF(B16="","",LOOKUP(B16,tabelas!AQ:AQ,tabelas!AR:AR))</f>
        <v/>
      </c>
      <c r="AJ16" s="371" t="str">
        <f>+IF(B16="","",LOOKUP(B16,tabelas!AQ:AQ,tabelas!AT:AT))</f>
        <v/>
      </c>
      <c r="AK16" s="219" t="str">
        <f>+IF(B16="","",LOOKUP(B16,tabelas!AQ:AQ,tabelas!AS:AS))</f>
        <v/>
      </c>
      <c r="AL16" s="371" t="str">
        <f>+IF(B16="","",LOOKUP(B16,tabelas!AQ:AQ,tabelas!AU:AU))</f>
        <v/>
      </c>
      <c r="AM16" s="371" t="str">
        <f>+IF(B16="","",LOOKUP(B16,tabelas!AQ:AQ,tabelas!AW:AW))</f>
        <v/>
      </c>
      <c r="AN16" s="219" t="str">
        <f>+IF(B16="","",LOOKUP(B16,tabelas!AQ:AQ,tabelas!AV:AV))</f>
        <v/>
      </c>
      <c r="AO16" s="371" t="str">
        <f>+IF(B16="","",LOOKUP(B16,tabelas!AQ:AQ,tabelas!AX:AX))</f>
        <v/>
      </c>
      <c r="AP16" s="371" t="str">
        <f>+IF(B16="","",LOOKUP(B16,tabelas!AQ:AQ,tabelas!AZ:AZ))</f>
        <v/>
      </c>
      <c r="AQ16" s="219" t="str">
        <f>+IF(B16="","",LOOKUP(B16,tabelas!AQ:AQ,tabelas!AY:AY))</f>
        <v/>
      </c>
      <c r="AR16" s="371" t="str">
        <f>+IF(B16="","",LOOKUP(B16,tabelas!AQ:AQ,tabelas!BA:BA))</f>
        <v/>
      </c>
      <c r="AS16" s="371" t="str">
        <f>+IF(B16="","",LOOKUP(B16,tabelas!AQ:AQ,tabelas!BC:BC))</f>
        <v/>
      </c>
      <c r="AT16" s="219" t="str">
        <f>+IF(B16="","",LOOKUP(B16,tabelas!AQ:AQ,tabelas!BB:BB))</f>
        <v/>
      </c>
      <c r="AU16" s="371" t="str">
        <f>+IF(B16="","",LOOKUP(B16,tabelas!AQ:AQ,tabelas!BD:BD))</f>
        <v/>
      </c>
      <c r="AV16" s="371" t="str">
        <f>+IF(B16="","",LOOKUP(B16,tabelas!AQ:AQ,tabelas!BF:BF))</f>
        <v/>
      </c>
      <c r="AW16" s="219" t="str">
        <f>+IF(B16="","",LOOKUP(B16,tabelas!AQ:AQ,tabelas!BE:BE))</f>
        <v/>
      </c>
      <c r="AX16" s="371" t="str">
        <f>+IF(B16="","",LOOKUP(B16,tabelas!AQ:AQ,tabelas!BG:BG))</f>
        <v/>
      </c>
      <c r="AY16" s="26"/>
      <c r="AZ16" s="38">
        <v>11</v>
      </c>
      <c r="BA16" s="225" t="str">
        <f t="shared" si="72"/>
        <v/>
      </c>
      <c r="BB16" s="225" t="str">
        <f t="shared" si="73"/>
        <v/>
      </c>
      <c r="BC16" s="26"/>
      <c r="BD16" s="221" t="str">
        <f t="shared" si="17"/>
        <v/>
      </c>
      <c r="BE16" s="227" t="str">
        <f t="shared" si="74"/>
        <v/>
      </c>
      <c r="BF16" s="228" t="str">
        <f t="shared" si="18"/>
        <v/>
      </c>
      <c r="BG16" s="228" t="str">
        <f t="shared" si="19"/>
        <v/>
      </c>
      <c r="BH16" s="228" t="str">
        <f t="shared" si="20"/>
        <v/>
      </c>
      <c r="BI16" s="228" t="str">
        <f t="shared" si="21"/>
        <v/>
      </c>
      <c r="BJ16" s="219" t="str">
        <f t="shared" si="22"/>
        <v/>
      </c>
      <c r="BK16" s="217" t="str">
        <f t="shared" si="23"/>
        <v/>
      </c>
      <c r="BL16" s="228" t="str">
        <f t="shared" si="24"/>
        <v/>
      </c>
      <c r="BM16" s="228" t="str">
        <f t="shared" si="25"/>
        <v/>
      </c>
      <c r="BN16" s="217" t="str">
        <f t="shared" si="26"/>
        <v/>
      </c>
      <c r="BO16" s="228" t="str">
        <f t="shared" si="27"/>
        <v/>
      </c>
      <c r="BP16" s="228" t="str">
        <f t="shared" si="28"/>
        <v/>
      </c>
      <c r="BQ16" s="228" t="str">
        <f t="shared" si="29"/>
        <v/>
      </c>
      <c r="BR16" s="26"/>
      <c r="BS16" s="216" t="str">
        <f>+IF(BD16="","",LOOKUP(BD16,tabelas!AQ:AQ,tabelas!AR:AR))</f>
        <v/>
      </c>
      <c r="BT16" s="217" t="str">
        <f>+IF(BD16="","",LOOKUP(BD16,tabelas!AQ:AQ,tabelas!AT:AT))</f>
        <v/>
      </c>
      <c r="BU16" s="219" t="str">
        <f>+IF(BD16="","",LOOKUP(BD16,tabelas!AQ:AQ,tabelas!AS:AS))</f>
        <v/>
      </c>
      <c r="BV16" s="217" t="str">
        <f>+IF(BD16="","",LOOKUP(BD16,tabelas!AQ:AQ,tabelas!AU:AU))</f>
        <v/>
      </c>
      <c r="BW16" s="217" t="str">
        <f>+IF(BD16="","",LOOKUP(BD16,tabelas!AQ:AQ,tabelas!AW:AW))</f>
        <v/>
      </c>
      <c r="BX16" s="219" t="str">
        <f>+IF(BD16="","",LOOKUP(BD16,tabelas!AQ:AQ,tabelas!AV:AV))</f>
        <v/>
      </c>
      <c r="BY16" s="217" t="str">
        <f>+IF(BD16="","",LOOKUP(BD16,tabelas!AQ:AQ,tabelas!AX:AX))</f>
        <v/>
      </c>
      <c r="BZ16" s="217" t="str">
        <f>+IF(BD16="","",LOOKUP(BD16,tabelas!AQ:AQ,tabelas!AZ:AZ))</f>
        <v/>
      </c>
      <c r="CA16" s="219" t="str">
        <f>+IF(BD16="","",LOOKUP(BD16,tabelas!AQ:AQ,tabelas!AY:AY))</f>
        <v/>
      </c>
      <c r="CB16" s="217" t="str">
        <f>+IF(BD16="","",LOOKUP(BD16,tabelas!AQ:AQ,tabelas!BA:BA))</f>
        <v/>
      </c>
      <c r="CC16" s="217" t="str">
        <f>+IF(BD16="","",LOOKUP(BD16,tabelas!AQ:AQ,tabelas!BC:BC))</f>
        <v/>
      </c>
      <c r="CD16" s="219" t="str">
        <f>+IF(BD16="","",LOOKUP(BD16,tabelas!AQ:AQ,tabelas!BB:BB))</f>
        <v/>
      </c>
      <c r="CE16" s="217" t="str">
        <f>+IF(BD16="","",LOOKUP(BD16,tabelas!AQ:AQ,tabelas!BD:BD))</f>
        <v/>
      </c>
      <c r="CF16" s="217" t="str">
        <f>+IF(BD16="","",LOOKUP(BD16,tabelas!AQ:AQ,tabelas!BF:BF))</f>
        <v/>
      </c>
      <c r="CG16" s="219" t="str">
        <f>+IF(BD16="","",LOOKUP(BD16,tabelas!AQ:AQ,tabelas!BE:BE))</f>
        <v/>
      </c>
      <c r="CH16" s="217" t="str">
        <f>+IF(BD16="","",LOOKUP(BD16,tabelas!AQ:AQ,tabelas!BG:BG))</f>
        <v/>
      </c>
      <c r="CI16" s="26"/>
      <c r="CJ16" s="221" t="str">
        <f t="shared" si="30"/>
        <v/>
      </c>
      <c r="CK16" s="227" t="str">
        <f t="shared" si="75"/>
        <v/>
      </c>
      <c r="CL16" s="217" t="str">
        <f t="shared" si="31"/>
        <v/>
      </c>
      <c r="CM16" s="217" t="str">
        <f t="shared" si="32"/>
        <v/>
      </c>
      <c r="CN16" s="217" t="str">
        <f t="shared" si="33"/>
        <v/>
      </c>
      <c r="CO16" s="217" t="str">
        <f t="shared" si="34"/>
        <v/>
      </c>
      <c r="CP16" s="217" t="str">
        <f t="shared" si="35"/>
        <v/>
      </c>
      <c r="CQ16" s="217" t="str">
        <f t="shared" si="36"/>
        <v/>
      </c>
      <c r="CR16" s="217" t="str">
        <f t="shared" si="37"/>
        <v/>
      </c>
      <c r="CS16" s="217" t="str">
        <f t="shared" si="38"/>
        <v/>
      </c>
      <c r="CT16" s="228" t="str">
        <f t="shared" si="39"/>
        <v/>
      </c>
      <c r="CU16" s="217" t="str">
        <f t="shared" si="40"/>
        <v/>
      </c>
      <c r="CV16" s="223" t="str">
        <f t="shared" si="41"/>
        <v/>
      </c>
      <c r="CW16" s="229" t="str">
        <f t="shared" si="42"/>
        <v/>
      </c>
      <c r="CX16" s="223" t="str">
        <f t="shared" si="43"/>
        <v/>
      </c>
      <c r="CY16" s="229" t="str">
        <f t="shared" si="44"/>
        <v/>
      </c>
      <c r="CZ16" s="228" t="str">
        <f t="shared" si="45"/>
        <v/>
      </c>
      <c r="DA16" s="228" t="str">
        <f t="shared" si="46"/>
        <v/>
      </c>
      <c r="DB16" s="230" t="str">
        <f t="shared" si="47"/>
        <v/>
      </c>
      <c r="DC16" s="217" t="str">
        <f t="shared" si="48"/>
        <v/>
      </c>
      <c r="DD16" s="228" t="str">
        <f t="shared" si="49"/>
        <v/>
      </c>
      <c r="DE16" s="228" t="str">
        <f t="shared" si="50"/>
        <v/>
      </c>
      <c r="DF16" s="228" t="str">
        <f t="shared" si="51"/>
        <v/>
      </c>
      <c r="DG16" s="217" t="str">
        <f t="shared" si="52"/>
        <v/>
      </c>
      <c r="DH16" s="217" t="str">
        <f t="shared" si="53"/>
        <v/>
      </c>
      <c r="DI16" s="217" t="str">
        <f t="shared" si="54"/>
        <v/>
      </c>
      <c r="DJ16" s="26"/>
      <c r="DK16" s="216" t="str">
        <f>+IF(CJ16="","",LOOKUP(CJ16,tabelas!AQ:AQ,tabelas!AR:AR))</f>
        <v/>
      </c>
      <c r="DL16" s="217" t="str">
        <f>+IF(CJ16="","",LOOKUP(CJ16,tabelas!AQ:AQ,tabelas!AT:AT))</f>
        <v/>
      </c>
      <c r="DM16" s="219" t="str">
        <f>+IF(CJ16="","",LOOKUP(CJ16,tabelas!AQ:AQ,tabelas!AS:AS))</f>
        <v/>
      </c>
      <c r="DN16" s="217" t="str">
        <f>+IF(CJ16="","",LOOKUP(CJ16,tabelas!AQ:AQ,tabelas!AU:AU))</f>
        <v/>
      </c>
      <c r="DO16" s="217" t="str">
        <f>+IF(CJ16="","",LOOKUP(CJ16,tabelas!AQ:AQ,tabelas!AW:AW))</f>
        <v/>
      </c>
      <c r="DP16" s="219" t="str">
        <f>+IF(CJ16="","",LOOKUP(CJ16,tabelas!AQ:AQ,tabelas!AV:AV))</f>
        <v/>
      </c>
      <c r="DQ16" s="217" t="str">
        <f>+IF(CJ16="","",LOOKUP(CJ16,tabelas!AQ:AQ,tabelas!AX:AX))</f>
        <v/>
      </c>
      <c r="DR16" s="217" t="str">
        <f>+IF(CJ16="","",LOOKUP(CJ16,tabelas!AQ:AQ,tabelas!AZ:AZ))</f>
        <v/>
      </c>
      <c r="DS16" s="219" t="str">
        <f>+IF(CJ16="","",LOOKUP(CJ16,tabelas!AQ:AQ,tabelas!AY:AY))</f>
        <v/>
      </c>
      <c r="DT16" s="217" t="str">
        <f>+IF(CJ16="","",LOOKUP(CJ16,tabelas!AQ:AQ,tabelas!BA:BA))</f>
        <v/>
      </c>
      <c r="DU16" s="217" t="str">
        <f>+IF(CJ16="","",LOOKUP(CJ16,tabelas!AQ:AQ,tabelas!BC:BC))</f>
        <v/>
      </c>
      <c r="DV16" s="219" t="str">
        <f>+IF(CJ16="","",LOOKUP(CJ16,tabelas!AQ:AQ,tabelas!BB:BB))</f>
        <v/>
      </c>
      <c r="DW16" s="217" t="str">
        <f>+IF(CJ16="","",LOOKUP(CJ16,tabelas!AQ:AQ,tabelas!BD:BD))</f>
        <v/>
      </c>
      <c r="DX16" s="217" t="str">
        <f>+IF(CJ16="","",LOOKUP(CJ16,tabelas!AQ:AQ,tabelas!BF:BF))</f>
        <v/>
      </c>
      <c r="DY16" s="219" t="str">
        <f>+IF(CJ16="","",LOOKUP(CJ16,tabelas!AQ:AQ,tabelas!BE:BE))</f>
        <v/>
      </c>
      <c r="DZ16" s="217" t="str">
        <f>+IF(CJ16="","",LOOKUP(CJ16,tabelas!AQ:AQ,tabelas!BG:BG))</f>
        <v/>
      </c>
      <c r="EA16" s="26"/>
      <c r="EB16" s="326" t="str">
        <f>+IF(CJ16="","",LOOKUP(CJ16,tabelas!AQ:AQ,tabelas!BI:BI))</f>
        <v/>
      </c>
      <c r="EC16" s="222" t="str">
        <f t="shared" si="55"/>
        <v/>
      </c>
      <c r="ED16" s="231" t="str">
        <f t="shared" si="56"/>
        <v/>
      </c>
      <c r="EE16" s="222" t="str">
        <f>+IF(CJ16="","",IF(AND(ROUND(CJ16,0)&gt;1991,ROUND(CJ16,0)&lt;1995),LOOKUP(DATE(ROUND(CJ16,0)+1,5,1),tabelas!CC:CC,tabelas!CD:CD),""))</f>
        <v/>
      </c>
      <c r="EF16" s="222" t="str">
        <f t="shared" si="57"/>
        <v/>
      </c>
      <c r="EG16" s="26"/>
      <c r="EH16" s="233" t="str">
        <f t="shared" si="58"/>
        <v/>
      </c>
      <c r="EI16" s="246" t="str">
        <f t="shared" si="76"/>
        <v/>
      </c>
      <c r="EJ16" s="26"/>
      <c r="EK16" s="221" t="str">
        <f t="shared" si="77"/>
        <v/>
      </c>
      <c r="EL16" s="235" t="str">
        <f t="shared" si="59"/>
        <v/>
      </c>
      <c r="EM16" s="229" t="str">
        <f t="shared" si="60"/>
        <v/>
      </c>
      <c r="EN16" s="236" t="str">
        <f>+IF(EL16="","",LOOKUP(EL16,tabelas!CN:CN,tabelas!CO:CO)/IND_CM_DIST)</f>
        <v/>
      </c>
      <c r="EO16" s="229" t="str">
        <f t="shared" si="78"/>
        <v/>
      </c>
      <c r="EP16" s="237" t="str">
        <f>+IF(EL16="","",LOOKUP(EDATE(EL16,0),tabelas!CQ:CQ,tabelas!CR:CR)-IND_JR_DIST)</f>
        <v/>
      </c>
      <c r="EQ16" s="229" t="str">
        <f t="shared" si="61"/>
        <v/>
      </c>
      <c r="ER16" s="229" t="str">
        <f t="shared" si="79"/>
        <v/>
      </c>
      <c r="ES16" s="26"/>
      <c r="ET16" s="335" t="s">
        <v>146</v>
      </c>
      <c r="EU16" s="218">
        <f>+IF(EU13&gt;EU15,IF(LEFT(EU14,1)="R",EU15*EU19,IF(EU11&gt;EU15,EU15,EU11)),EU11)</f>
        <v>0</v>
      </c>
      <c r="EV16" s="26"/>
      <c r="EW16" s="26"/>
      <c r="EX16" s="328" t="str">
        <f t="shared" si="62"/>
        <v/>
      </c>
      <c r="EY16" s="246" t="str">
        <f t="shared" si="80"/>
        <v/>
      </c>
      <c r="EZ16" s="26"/>
      <c r="FA16" s="221" t="str">
        <f t="shared" si="81"/>
        <v/>
      </c>
      <c r="FB16" s="330" t="str">
        <f t="shared" si="63"/>
        <v/>
      </c>
      <c r="FC16" s="229" t="str">
        <f t="shared" si="64"/>
        <v/>
      </c>
      <c r="FD16" s="236" t="str">
        <f>+IF(FB16="","",LOOKUP(FB16,tabelas!CN:CN,tabelas!CO:CO)/IND_CM_FIM)</f>
        <v/>
      </c>
      <c r="FE16" s="229" t="str">
        <f t="shared" si="82"/>
        <v/>
      </c>
      <c r="FF16" s="237" t="str">
        <f>+IF(FB16="","",LOOKUP(EDATE(FB16,0),tabelas!CQ:CQ,tabelas!CR:CR)-IND_JR_FIM+0.01)</f>
        <v/>
      </c>
      <c r="FG16" s="229" t="str">
        <f t="shared" si="65"/>
        <v/>
      </c>
      <c r="FH16" s="229" t="str">
        <f t="shared" si="83"/>
        <v/>
      </c>
      <c r="FJ16" s="534" t="str">
        <f>+cadastro!Q30</f>
        <v>- Correção monetária pela variação mensal do: INPC(03/1991-11/1991), IPCA(12/1991), UFIR(01/1992-01/1996)</v>
      </c>
      <c r="FK16" s="534"/>
      <c r="FL16" s="534"/>
    </row>
    <row r="17" spans="2:168" ht="18" customHeight="1">
      <c r="B17" s="216" t="str">
        <f>+IF(cadastro!B25="","",cadastro!B25)</f>
        <v/>
      </c>
      <c r="C17" s="217" t="str">
        <f>+IF(cadastro!C25="","",cadastro!C25)</f>
        <v/>
      </c>
      <c r="D17" s="218" t="str">
        <f>+IF(cadastro!D25="","",cadastro!D25)</f>
        <v/>
      </c>
      <c r="E17" s="218" t="str">
        <f t="shared" si="0"/>
        <v/>
      </c>
      <c r="F17" s="218" t="str">
        <f t="shared" si="1"/>
        <v/>
      </c>
      <c r="G17" s="218" t="str">
        <f t="shared" si="2"/>
        <v/>
      </c>
      <c r="H17" s="218" t="str">
        <f t="shared" si="3"/>
        <v/>
      </c>
      <c r="I17" s="218" t="str">
        <f>+IF(cadastro!C25="","",IF(cadastro!C25="COMPLETA",IF(cadastro!E25="","",cadastro!E25),0))</f>
        <v/>
      </c>
      <c r="J17" s="218" t="str">
        <f>+IF(OR(cadastro!B25="",cadastro!C25="COMPLETA"),"",LOOKUP(cadastro!B25,tabelas!AQ:AQ,tabelas!BH:BH))</f>
        <v/>
      </c>
      <c r="K17" s="218" t="str">
        <f t="shared" si="4"/>
        <v/>
      </c>
      <c r="L17" s="218" t="str">
        <f t="shared" si="5"/>
        <v/>
      </c>
      <c r="M17" s="218" t="str">
        <f t="shared" si="66"/>
        <v/>
      </c>
      <c r="N17" s="218" t="str">
        <f t="shared" si="67"/>
        <v/>
      </c>
      <c r="O17" s="218" t="str">
        <f t="shared" si="6"/>
        <v/>
      </c>
      <c r="P17" s="218" t="str">
        <f t="shared" si="7"/>
        <v/>
      </c>
      <c r="Q17" s="220" t="str">
        <f t="shared" si="8"/>
        <v/>
      </c>
      <c r="R17" s="218" t="str">
        <f t="shared" si="9"/>
        <v/>
      </c>
      <c r="S17" s="220" t="str">
        <f t="shared" si="10"/>
        <v/>
      </c>
      <c r="T17" s="218" t="str">
        <f t="shared" si="11"/>
        <v/>
      </c>
      <c r="U17" s="218">
        <f>+IF(OR(C17="SIMPLIFICADA",cadastro!G25=""),0,cadastro!G25)</f>
        <v>0</v>
      </c>
      <c r="V17" s="218">
        <f>+IF(cadastro!F25="",0,cadastro!F25)</f>
        <v>0</v>
      </c>
      <c r="W17" s="218" t="str">
        <f t="shared" si="68"/>
        <v/>
      </c>
      <c r="X17" s="218" t="str">
        <f t="shared" si="69"/>
        <v/>
      </c>
      <c r="Y17" s="218" t="str">
        <f>+IF(cadastro!H25="","",cadastro!H25)</f>
        <v/>
      </c>
      <c r="Z17" s="218" t="str">
        <f>+IF(cadastro!J25="","",IF(LEFT(AB17,1)="R",-1,1)*cadastro!J25)</f>
        <v/>
      </c>
      <c r="AA17" s="218" t="str">
        <f t="shared" si="12"/>
        <v/>
      </c>
      <c r="AB17" s="217" t="str">
        <f t="shared" si="13"/>
        <v/>
      </c>
      <c r="AC17" s="218" t="str">
        <f t="shared" si="14"/>
        <v/>
      </c>
      <c r="AD17" s="217" t="str">
        <f t="shared" si="15"/>
        <v/>
      </c>
      <c r="AE17" s="217" t="str">
        <f t="shared" si="70"/>
        <v/>
      </c>
      <c r="AF17" s="216" t="str">
        <f t="shared" si="16"/>
        <v/>
      </c>
      <c r="AG17" s="216" t="str">
        <f t="shared" si="71"/>
        <v/>
      </c>
      <c r="AH17" s="26"/>
      <c r="AI17" s="216" t="str">
        <f>+IF(B17="","",LOOKUP(B17,tabelas!AQ:AQ,tabelas!AR:AR))</f>
        <v/>
      </c>
      <c r="AJ17" s="371" t="str">
        <f>+IF(B17="","",LOOKUP(B17,tabelas!AQ:AQ,tabelas!AT:AT))</f>
        <v/>
      </c>
      <c r="AK17" s="219" t="str">
        <f>+IF(B17="","",LOOKUP(B17,tabelas!AQ:AQ,tabelas!AS:AS))</f>
        <v/>
      </c>
      <c r="AL17" s="371" t="str">
        <f>+IF(B17="","",LOOKUP(B17,tabelas!AQ:AQ,tabelas!AU:AU))</f>
        <v/>
      </c>
      <c r="AM17" s="371" t="str">
        <f>+IF(B17="","",LOOKUP(B17,tabelas!AQ:AQ,tabelas!AW:AW))</f>
        <v/>
      </c>
      <c r="AN17" s="219" t="str">
        <f>+IF(B17="","",LOOKUP(B17,tabelas!AQ:AQ,tabelas!AV:AV))</f>
        <v/>
      </c>
      <c r="AO17" s="371" t="str">
        <f>+IF(B17="","",LOOKUP(B17,tabelas!AQ:AQ,tabelas!AX:AX))</f>
        <v/>
      </c>
      <c r="AP17" s="371" t="str">
        <f>+IF(B17="","",LOOKUP(B17,tabelas!AQ:AQ,tabelas!AZ:AZ))</f>
        <v/>
      </c>
      <c r="AQ17" s="219" t="str">
        <f>+IF(B17="","",LOOKUP(B17,tabelas!AQ:AQ,tabelas!AY:AY))</f>
        <v/>
      </c>
      <c r="AR17" s="371" t="str">
        <f>+IF(B17="","",LOOKUP(B17,tabelas!AQ:AQ,tabelas!BA:BA))</f>
        <v/>
      </c>
      <c r="AS17" s="371" t="str">
        <f>+IF(B17="","",LOOKUP(B17,tabelas!AQ:AQ,tabelas!BC:BC))</f>
        <v/>
      </c>
      <c r="AT17" s="219" t="str">
        <f>+IF(B17="","",LOOKUP(B17,tabelas!AQ:AQ,tabelas!BB:BB))</f>
        <v/>
      </c>
      <c r="AU17" s="371" t="str">
        <f>+IF(B17="","",LOOKUP(B17,tabelas!AQ:AQ,tabelas!BD:BD))</f>
        <v/>
      </c>
      <c r="AV17" s="371" t="str">
        <f>+IF(B17="","",LOOKUP(B17,tabelas!AQ:AQ,tabelas!BF:BF))</f>
        <v/>
      </c>
      <c r="AW17" s="219" t="str">
        <f>+IF(B17="","",LOOKUP(B17,tabelas!AQ:AQ,tabelas!BE:BE))</f>
        <v/>
      </c>
      <c r="AX17" s="371" t="str">
        <f>+IF(B17="","",LOOKUP(B17,tabelas!AQ:AQ,tabelas!BG:BG))</f>
        <v/>
      </c>
      <c r="AY17" s="26"/>
      <c r="AZ17" s="38">
        <v>12</v>
      </c>
      <c r="BA17" s="225" t="str">
        <f t="shared" si="72"/>
        <v/>
      </c>
      <c r="BB17" s="225" t="str">
        <f t="shared" si="73"/>
        <v/>
      </c>
      <c r="BC17" s="26"/>
      <c r="BD17" s="221" t="str">
        <f t="shared" si="17"/>
        <v/>
      </c>
      <c r="BE17" s="227" t="str">
        <f t="shared" si="74"/>
        <v/>
      </c>
      <c r="BF17" s="228" t="str">
        <f t="shared" si="18"/>
        <v/>
      </c>
      <c r="BG17" s="228" t="str">
        <f t="shared" si="19"/>
        <v/>
      </c>
      <c r="BH17" s="228" t="str">
        <f t="shared" si="20"/>
        <v/>
      </c>
      <c r="BI17" s="228" t="str">
        <f t="shared" si="21"/>
        <v/>
      </c>
      <c r="BJ17" s="219" t="str">
        <f t="shared" si="22"/>
        <v/>
      </c>
      <c r="BK17" s="217" t="str">
        <f t="shared" si="23"/>
        <v/>
      </c>
      <c r="BL17" s="228" t="str">
        <f t="shared" si="24"/>
        <v/>
      </c>
      <c r="BM17" s="228" t="str">
        <f t="shared" si="25"/>
        <v/>
      </c>
      <c r="BN17" s="217" t="str">
        <f t="shared" si="26"/>
        <v/>
      </c>
      <c r="BO17" s="228" t="str">
        <f t="shared" si="27"/>
        <v/>
      </c>
      <c r="BP17" s="228" t="str">
        <f t="shared" si="28"/>
        <v/>
      </c>
      <c r="BQ17" s="228" t="str">
        <f t="shared" si="29"/>
        <v/>
      </c>
      <c r="BR17" s="26"/>
      <c r="BS17" s="216" t="str">
        <f>+IF(BD17="","",LOOKUP(BD17,tabelas!AQ:AQ,tabelas!AR:AR))</f>
        <v/>
      </c>
      <c r="BT17" s="217" t="str">
        <f>+IF(BD17="","",LOOKUP(BD17,tabelas!AQ:AQ,tabelas!AT:AT))</f>
        <v/>
      </c>
      <c r="BU17" s="219" t="str">
        <f>+IF(BD17="","",LOOKUP(BD17,tabelas!AQ:AQ,tabelas!AS:AS))</f>
        <v/>
      </c>
      <c r="BV17" s="217" t="str">
        <f>+IF(BD17="","",LOOKUP(BD17,tabelas!AQ:AQ,tabelas!AU:AU))</f>
        <v/>
      </c>
      <c r="BW17" s="217" t="str">
        <f>+IF(BD17="","",LOOKUP(BD17,tabelas!AQ:AQ,tabelas!AW:AW))</f>
        <v/>
      </c>
      <c r="BX17" s="219" t="str">
        <f>+IF(BD17="","",LOOKUP(BD17,tabelas!AQ:AQ,tabelas!AV:AV))</f>
        <v/>
      </c>
      <c r="BY17" s="217" t="str">
        <f>+IF(BD17="","",LOOKUP(BD17,tabelas!AQ:AQ,tabelas!AX:AX))</f>
        <v/>
      </c>
      <c r="BZ17" s="217" t="str">
        <f>+IF(BD17="","",LOOKUP(BD17,tabelas!AQ:AQ,tabelas!AZ:AZ))</f>
        <v/>
      </c>
      <c r="CA17" s="219" t="str">
        <f>+IF(BD17="","",LOOKUP(BD17,tabelas!AQ:AQ,tabelas!AY:AY))</f>
        <v/>
      </c>
      <c r="CB17" s="217" t="str">
        <f>+IF(BD17="","",LOOKUP(BD17,tabelas!AQ:AQ,tabelas!BA:BA))</f>
        <v/>
      </c>
      <c r="CC17" s="217" t="str">
        <f>+IF(BD17="","",LOOKUP(BD17,tabelas!AQ:AQ,tabelas!BC:BC))</f>
        <v/>
      </c>
      <c r="CD17" s="219" t="str">
        <f>+IF(BD17="","",LOOKUP(BD17,tabelas!AQ:AQ,tabelas!BB:BB))</f>
        <v/>
      </c>
      <c r="CE17" s="217" t="str">
        <f>+IF(BD17="","",LOOKUP(BD17,tabelas!AQ:AQ,tabelas!BD:BD))</f>
        <v/>
      </c>
      <c r="CF17" s="217" t="str">
        <f>+IF(BD17="","",LOOKUP(BD17,tabelas!AQ:AQ,tabelas!BF:BF))</f>
        <v/>
      </c>
      <c r="CG17" s="219" t="str">
        <f>+IF(BD17="","",LOOKUP(BD17,tabelas!AQ:AQ,tabelas!BE:BE))</f>
        <v/>
      </c>
      <c r="CH17" s="217" t="str">
        <f>+IF(BD17="","",LOOKUP(BD17,tabelas!AQ:AQ,tabelas!BG:BG))</f>
        <v/>
      </c>
      <c r="CI17" s="26"/>
      <c r="CJ17" s="221" t="str">
        <f t="shared" si="30"/>
        <v/>
      </c>
      <c r="CK17" s="227" t="str">
        <f t="shared" si="75"/>
        <v/>
      </c>
      <c r="CL17" s="217" t="str">
        <f t="shared" si="31"/>
        <v/>
      </c>
      <c r="CM17" s="217" t="str">
        <f t="shared" si="32"/>
        <v/>
      </c>
      <c r="CN17" s="217" t="str">
        <f t="shared" si="33"/>
        <v/>
      </c>
      <c r="CO17" s="217" t="str">
        <f t="shared" si="34"/>
        <v/>
      </c>
      <c r="CP17" s="217" t="str">
        <f t="shared" si="35"/>
        <v/>
      </c>
      <c r="CQ17" s="217" t="str">
        <f t="shared" si="36"/>
        <v/>
      </c>
      <c r="CR17" s="217" t="str">
        <f t="shared" si="37"/>
        <v/>
      </c>
      <c r="CS17" s="217" t="str">
        <f t="shared" si="38"/>
        <v/>
      </c>
      <c r="CT17" s="228" t="str">
        <f t="shared" si="39"/>
        <v/>
      </c>
      <c r="CU17" s="217" t="str">
        <f t="shared" si="40"/>
        <v/>
      </c>
      <c r="CV17" s="223" t="str">
        <f t="shared" si="41"/>
        <v/>
      </c>
      <c r="CW17" s="229" t="str">
        <f t="shared" si="42"/>
        <v/>
      </c>
      <c r="CX17" s="223" t="str">
        <f t="shared" si="43"/>
        <v/>
      </c>
      <c r="CY17" s="229" t="str">
        <f t="shared" si="44"/>
        <v/>
      </c>
      <c r="CZ17" s="228" t="str">
        <f t="shared" si="45"/>
        <v/>
      </c>
      <c r="DA17" s="228" t="str">
        <f t="shared" si="46"/>
        <v/>
      </c>
      <c r="DB17" s="230" t="str">
        <f t="shared" si="47"/>
        <v/>
      </c>
      <c r="DC17" s="217" t="str">
        <f t="shared" si="48"/>
        <v/>
      </c>
      <c r="DD17" s="228" t="str">
        <f t="shared" si="49"/>
        <v/>
      </c>
      <c r="DE17" s="228" t="str">
        <f t="shared" si="50"/>
        <v/>
      </c>
      <c r="DF17" s="228" t="str">
        <f t="shared" si="51"/>
        <v/>
      </c>
      <c r="DG17" s="217" t="str">
        <f t="shared" si="52"/>
        <v/>
      </c>
      <c r="DH17" s="217" t="str">
        <f t="shared" si="53"/>
        <v/>
      </c>
      <c r="DI17" s="217" t="str">
        <f t="shared" si="54"/>
        <v/>
      </c>
      <c r="DJ17" s="26"/>
      <c r="DK17" s="216" t="str">
        <f>+IF(CJ17="","",LOOKUP(CJ17,tabelas!AQ:AQ,tabelas!AR:AR))</f>
        <v/>
      </c>
      <c r="DL17" s="217" t="str">
        <f>+IF(CJ17="","",LOOKUP(CJ17,tabelas!AQ:AQ,tabelas!AT:AT))</f>
        <v/>
      </c>
      <c r="DM17" s="219" t="str">
        <f>+IF(CJ17="","",LOOKUP(CJ17,tabelas!AQ:AQ,tabelas!AS:AS))</f>
        <v/>
      </c>
      <c r="DN17" s="217" t="str">
        <f>+IF(CJ17="","",LOOKUP(CJ17,tabelas!AQ:AQ,tabelas!AU:AU))</f>
        <v/>
      </c>
      <c r="DO17" s="217" t="str">
        <f>+IF(CJ17="","",LOOKUP(CJ17,tabelas!AQ:AQ,tabelas!AW:AW))</f>
        <v/>
      </c>
      <c r="DP17" s="219" t="str">
        <f>+IF(CJ17="","",LOOKUP(CJ17,tabelas!AQ:AQ,tabelas!AV:AV))</f>
        <v/>
      </c>
      <c r="DQ17" s="217" t="str">
        <f>+IF(CJ17="","",LOOKUP(CJ17,tabelas!AQ:AQ,tabelas!AX:AX))</f>
        <v/>
      </c>
      <c r="DR17" s="217" t="str">
        <f>+IF(CJ17="","",LOOKUP(CJ17,tabelas!AQ:AQ,tabelas!AZ:AZ))</f>
        <v/>
      </c>
      <c r="DS17" s="219" t="str">
        <f>+IF(CJ17="","",LOOKUP(CJ17,tabelas!AQ:AQ,tabelas!AY:AY))</f>
        <v/>
      </c>
      <c r="DT17" s="217" t="str">
        <f>+IF(CJ17="","",LOOKUP(CJ17,tabelas!AQ:AQ,tabelas!BA:BA))</f>
        <v/>
      </c>
      <c r="DU17" s="217" t="str">
        <f>+IF(CJ17="","",LOOKUP(CJ17,tabelas!AQ:AQ,tabelas!BC:BC))</f>
        <v/>
      </c>
      <c r="DV17" s="219" t="str">
        <f>+IF(CJ17="","",LOOKUP(CJ17,tabelas!AQ:AQ,tabelas!BB:BB))</f>
        <v/>
      </c>
      <c r="DW17" s="217" t="str">
        <f>+IF(CJ17="","",LOOKUP(CJ17,tabelas!AQ:AQ,tabelas!BD:BD))</f>
        <v/>
      </c>
      <c r="DX17" s="217" t="str">
        <f>+IF(CJ17="","",LOOKUP(CJ17,tabelas!AQ:AQ,tabelas!BF:BF))</f>
        <v/>
      </c>
      <c r="DY17" s="219" t="str">
        <f>+IF(CJ17="","",LOOKUP(CJ17,tabelas!AQ:AQ,tabelas!BE:BE))</f>
        <v/>
      </c>
      <c r="DZ17" s="217" t="str">
        <f>+IF(CJ17="","",LOOKUP(CJ17,tabelas!AQ:AQ,tabelas!BG:BG))</f>
        <v/>
      </c>
      <c r="EA17" s="26"/>
      <c r="EB17" s="326" t="str">
        <f>+IF(CJ17="","",LOOKUP(CJ17,tabelas!AQ:AQ,tabelas!BI:BI))</f>
        <v/>
      </c>
      <c r="EC17" s="222" t="str">
        <f t="shared" si="55"/>
        <v/>
      </c>
      <c r="ED17" s="231" t="str">
        <f t="shared" si="56"/>
        <v/>
      </c>
      <c r="EE17" s="222" t="str">
        <f>+IF(CJ17="","",IF(AND(ROUND(CJ17,0)&gt;1991,ROUND(CJ17,0)&lt;1995),LOOKUP(DATE(ROUND(CJ17,0)+1,5,1),tabelas!CC:CC,tabelas!CD:CD),""))</f>
        <v/>
      </c>
      <c r="EF17" s="222" t="str">
        <f t="shared" si="57"/>
        <v/>
      </c>
      <c r="EG17" s="26"/>
      <c r="EH17" s="233" t="str">
        <f t="shared" si="58"/>
        <v/>
      </c>
      <c r="EI17" s="246" t="str">
        <f t="shared" si="76"/>
        <v/>
      </c>
      <c r="EJ17" s="26"/>
      <c r="EK17" s="221" t="str">
        <f t="shared" si="77"/>
        <v/>
      </c>
      <c r="EL17" s="235" t="str">
        <f t="shared" si="59"/>
        <v/>
      </c>
      <c r="EM17" s="229" t="str">
        <f t="shared" si="60"/>
        <v/>
      </c>
      <c r="EN17" s="236" t="str">
        <f>+IF(EL17="","",LOOKUP(EL17,tabelas!CN:CN,tabelas!CO:CO)/IND_CM_DIST)</f>
        <v/>
      </c>
      <c r="EO17" s="229" t="str">
        <f t="shared" si="78"/>
        <v/>
      </c>
      <c r="EP17" s="237" t="str">
        <f>+IF(EL17="","",LOOKUP(EDATE(EL17,0),tabelas!CQ:CQ,tabelas!CR:CR)-IND_JR_DIST)</f>
        <v/>
      </c>
      <c r="EQ17" s="229" t="str">
        <f t="shared" si="61"/>
        <v/>
      </c>
      <c r="ER17" s="229" t="str">
        <f t="shared" si="79"/>
        <v/>
      </c>
      <c r="ES17" s="26"/>
      <c r="ET17" s="335" t="s">
        <v>147</v>
      </c>
      <c r="EU17" s="218">
        <f>IF(EU13&gt;EU15,EU15-EU16,EU12)</f>
        <v>0</v>
      </c>
      <c r="EV17" s="26"/>
      <c r="EW17" s="26"/>
      <c r="EX17" s="328" t="str">
        <f t="shared" si="62"/>
        <v/>
      </c>
      <c r="EY17" s="246" t="str">
        <f t="shared" si="80"/>
        <v/>
      </c>
      <c r="EZ17" s="26"/>
      <c r="FA17" s="221" t="str">
        <f t="shared" si="81"/>
        <v/>
      </c>
      <c r="FB17" s="330" t="str">
        <f t="shared" si="63"/>
        <v/>
      </c>
      <c r="FC17" s="229" t="str">
        <f t="shared" si="64"/>
        <v/>
      </c>
      <c r="FD17" s="236" t="str">
        <f>+IF(FB17="","",LOOKUP(FB17,tabelas!CN:CN,tabelas!CO:CO)/IND_CM_FIM)</f>
        <v/>
      </c>
      <c r="FE17" s="229" t="str">
        <f t="shared" si="82"/>
        <v/>
      </c>
      <c r="FF17" s="237" t="str">
        <f>+IF(FB17="","",LOOKUP(EDATE(FB17,0),tabelas!CQ:CQ,tabelas!CR:CR)-IND_JR_FIM+0.01)</f>
        <v/>
      </c>
      <c r="FG17" s="229" t="str">
        <f t="shared" si="65"/>
        <v/>
      </c>
      <c r="FH17" s="229" t="str">
        <f t="shared" si="83"/>
        <v/>
      </c>
      <c r="FJ17" s="534"/>
      <c r="FK17" s="534"/>
      <c r="FL17" s="534"/>
    </row>
    <row r="18" spans="2:168" ht="18" customHeight="1">
      <c r="B18" s="216" t="str">
        <f>+IF(cadastro!B26="","",cadastro!B26)</f>
        <v/>
      </c>
      <c r="C18" s="217" t="str">
        <f>+IF(cadastro!C26="","",cadastro!C26)</f>
        <v/>
      </c>
      <c r="D18" s="218" t="str">
        <f>+IF(cadastro!D26="","",cadastro!D26)</f>
        <v/>
      </c>
      <c r="E18" s="218" t="str">
        <f t="shared" si="0"/>
        <v/>
      </c>
      <c r="F18" s="218" t="str">
        <f t="shared" si="1"/>
        <v/>
      </c>
      <c r="G18" s="218" t="str">
        <f t="shared" si="2"/>
        <v/>
      </c>
      <c r="H18" s="218" t="str">
        <f t="shared" si="3"/>
        <v/>
      </c>
      <c r="I18" s="218" t="str">
        <f>+IF(cadastro!C26="","",IF(cadastro!C26="COMPLETA",IF(cadastro!E26="","",cadastro!E26),0))</f>
        <v/>
      </c>
      <c r="J18" s="218" t="str">
        <f>+IF(OR(cadastro!B26="",cadastro!C26="COMPLETA"),"",LOOKUP(cadastro!B26,tabelas!AQ:AQ,tabelas!BH:BH))</f>
        <v/>
      </c>
      <c r="K18" s="218" t="str">
        <f t="shared" si="4"/>
        <v/>
      </c>
      <c r="L18" s="218" t="str">
        <f t="shared" si="5"/>
        <v/>
      </c>
      <c r="M18" s="218" t="str">
        <f t="shared" si="66"/>
        <v/>
      </c>
      <c r="N18" s="218" t="str">
        <f t="shared" si="67"/>
        <v/>
      </c>
      <c r="O18" s="218" t="str">
        <f t="shared" si="6"/>
        <v/>
      </c>
      <c r="P18" s="218" t="str">
        <f t="shared" si="7"/>
        <v/>
      </c>
      <c r="Q18" s="220" t="str">
        <f t="shared" si="8"/>
        <v/>
      </c>
      <c r="R18" s="218" t="str">
        <f t="shared" si="9"/>
        <v/>
      </c>
      <c r="S18" s="220" t="str">
        <f t="shared" si="10"/>
        <v/>
      </c>
      <c r="T18" s="218" t="str">
        <f t="shared" si="11"/>
        <v/>
      </c>
      <c r="U18" s="218">
        <f>+IF(OR(C18="SIMPLIFICADA",cadastro!G26=""),0,cadastro!G26)</f>
        <v>0</v>
      </c>
      <c r="V18" s="218">
        <f>+IF(cadastro!F26="",0,cadastro!F26)</f>
        <v>0</v>
      </c>
      <c r="W18" s="218" t="str">
        <f t="shared" si="68"/>
        <v/>
      </c>
      <c r="X18" s="218" t="str">
        <f t="shared" si="69"/>
        <v/>
      </c>
      <c r="Y18" s="218" t="str">
        <f>+IF(cadastro!H26="","",cadastro!H26)</f>
        <v/>
      </c>
      <c r="Z18" s="218" t="str">
        <f>+IF(cadastro!J26="","",IF(LEFT(AB18,1)="R",-1,1)*cadastro!J26)</f>
        <v/>
      </c>
      <c r="AA18" s="218" t="str">
        <f t="shared" si="12"/>
        <v/>
      </c>
      <c r="AB18" s="217" t="str">
        <f t="shared" si="13"/>
        <v/>
      </c>
      <c r="AC18" s="218" t="str">
        <f t="shared" si="14"/>
        <v/>
      </c>
      <c r="AD18" s="217" t="str">
        <f t="shared" si="15"/>
        <v/>
      </c>
      <c r="AE18" s="217" t="str">
        <f t="shared" si="70"/>
        <v/>
      </c>
      <c r="AF18" s="216" t="str">
        <f t="shared" si="16"/>
        <v/>
      </c>
      <c r="AG18" s="216" t="str">
        <f t="shared" si="71"/>
        <v/>
      </c>
      <c r="AH18" s="26"/>
      <c r="AI18" s="216" t="str">
        <f>+IF(B18="","",LOOKUP(B18,tabelas!AQ:AQ,tabelas!AR:AR))</f>
        <v/>
      </c>
      <c r="AJ18" s="371" t="str">
        <f>+IF(B18="","",LOOKUP(B18,tabelas!AQ:AQ,tabelas!AT:AT))</f>
        <v/>
      </c>
      <c r="AK18" s="219" t="str">
        <f>+IF(B18="","",LOOKUP(B18,tabelas!AQ:AQ,tabelas!AS:AS))</f>
        <v/>
      </c>
      <c r="AL18" s="371" t="str">
        <f>+IF(B18="","",LOOKUP(B18,tabelas!AQ:AQ,tabelas!AU:AU))</f>
        <v/>
      </c>
      <c r="AM18" s="371" t="str">
        <f>+IF(B18="","",LOOKUP(B18,tabelas!AQ:AQ,tabelas!AW:AW))</f>
        <v/>
      </c>
      <c r="AN18" s="219" t="str">
        <f>+IF(B18="","",LOOKUP(B18,tabelas!AQ:AQ,tabelas!AV:AV))</f>
        <v/>
      </c>
      <c r="AO18" s="371" t="str">
        <f>+IF(B18="","",LOOKUP(B18,tabelas!AQ:AQ,tabelas!AX:AX))</f>
        <v/>
      </c>
      <c r="AP18" s="371" t="str">
        <f>+IF(B18="","",LOOKUP(B18,tabelas!AQ:AQ,tabelas!AZ:AZ))</f>
        <v/>
      </c>
      <c r="AQ18" s="219" t="str">
        <f>+IF(B18="","",LOOKUP(B18,tabelas!AQ:AQ,tabelas!AY:AY))</f>
        <v/>
      </c>
      <c r="AR18" s="371" t="str">
        <f>+IF(B18="","",LOOKUP(B18,tabelas!AQ:AQ,tabelas!BA:BA))</f>
        <v/>
      </c>
      <c r="AS18" s="371" t="str">
        <f>+IF(B18="","",LOOKUP(B18,tabelas!AQ:AQ,tabelas!BC:BC))</f>
        <v/>
      </c>
      <c r="AT18" s="219" t="str">
        <f>+IF(B18="","",LOOKUP(B18,tabelas!AQ:AQ,tabelas!BB:BB))</f>
        <v/>
      </c>
      <c r="AU18" s="371" t="str">
        <f>+IF(B18="","",LOOKUP(B18,tabelas!AQ:AQ,tabelas!BD:BD))</f>
        <v/>
      </c>
      <c r="AV18" s="371" t="str">
        <f>+IF(B18="","",LOOKUP(B18,tabelas!AQ:AQ,tabelas!BF:BF))</f>
        <v/>
      </c>
      <c r="AW18" s="219" t="str">
        <f>+IF(B18="","",LOOKUP(B18,tabelas!AQ:AQ,tabelas!BE:BE))</f>
        <v/>
      </c>
      <c r="AX18" s="371" t="str">
        <f>+IF(B18="","",LOOKUP(B18,tabelas!AQ:AQ,tabelas!BG:BG))</f>
        <v/>
      </c>
      <c r="AY18" s="26"/>
      <c r="AZ18" s="38">
        <v>13</v>
      </c>
      <c r="BA18" s="225" t="str">
        <f t="shared" si="72"/>
        <v/>
      </c>
      <c r="BB18" s="225" t="str">
        <f t="shared" si="73"/>
        <v/>
      </c>
      <c r="BC18" s="26"/>
      <c r="BD18" s="221" t="str">
        <f t="shared" si="17"/>
        <v/>
      </c>
      <c r="BE18" s="227" t="str">
        <f t="shared" si="74"/>
        <v/>
      </c>
      <c r="BF18" s="228" t="str">
        <f t="shared" si="18"/>
        <v/>
      </c>
      <c r="BG18" s="228" t="str">
        <f t="shared" si="19"/>
        <v/>
      </c>
      <c r="BH18" s="228" t="str">
        <f t="shared" si="20"/>
        <v/>
      </c>
      <c r="BI18" s="228" t="str">
        <f t="shared" si="21"/>
        <v/>
      </c>
      <c r="BJ18" s="219" t="str">
        <f t="shared" si="22"/>
        <v/>
      </c>
      <c r="BK18" s="217" t="str">
        <f t="shared" si="23"/>
        <v/>
      </c>
      <c r="BL18" s="228" t="str">
        <f t="shared" si="24"/>
        <v/>
      </c>
      <c r="BM18" s="228" t="str">
        <f t="shared" si="25"/>
        <v/>
      </c>
      <c r="BN18" s="217" t="str">
        <f t="shared" si="26"/>
        <v/>
      </c>
      <c r="BO18" s="228" t="str">
        <f t="shared" si="27"/>
        <v/>
      </c>
      <c r="BP18" s="228" t="str">
        <f t="shared" si="28"/>
        <v/>
      </c>
      <c r="BQ18" s="228" t="str">
        <f t="shared" si="29"/>
        <v/>
      </c>
      <c r="BR18" s="26"/>
      <c r="BS18" s="216" t="str">
        <f>+IF(BD18="","",LOOKUP(BD18,tabelas!AQ:AQ,tabelas!AR:AR))</f>
        <v/>
      </c>
      <c r="BT18" s="217" t="str">
        <f>+IF(BD18="","",LOOKUP(BD18,tabelas!AQ:AQ,tabelas!AT:AT))</f>
        <v/>
      </c>
      <c r="BU18" s="219" t="str">
        <f>+IF(BD18="","",LOOKUP(BD18,tabelas!AQ:AQ,tabelas!AS:AS))</f>
        <v/>
      </c>
      <c r="BV18" s="217" t="str">
        <f>+IF(BD18="","",LOOKUP(BD18,tabelas!AQ:AQ,tabelas!AU:AU))</f>
        <v/>
      </c>
      <c r="BW18" s="217" t="str">
        <f>+IF(BD18="","",LOOKUP(BD18,tabelas!AQ:AQ,tabelas!AW:AW))</f>
        <v/>
      </c>
      <c r="BX18" s="219" t="str">
        <f>+IF(BD18="","",LOOKUP(BD18,tabelas!AQ:AQ,tabelas!AV:AV))</f>
        <v/>
      </c>
      <c r="BY18" s="217" t="str">
        <f>+IF(BD18="","",LOOKUP(BD18,tabelas!AQ:AQ,tabelas!AX:AX))</f>
        <v/>
      </c>
      <c r="BZ18" s="217" t="str">
        <f>+IF(BD18="","",LOOKUP(BD18,tabelas!AQ:AQ,tabelas!AZ:AZ))</f>
        <v/>
      </c>
      <c r="CA18" s="219" t="str">
        <f>+IF(BD18="","",LOOKUP(BD18,tabelas!AQ:AQ,tabelas!AY:AY))</f>
        <v/>
      </c>
      <c r="CB18" s="217" t="str">
        <f>+IF(BD18="","",LOOKUP(BD18,tabelas!AQ:AQ,tabelas!BA:BA))</f>
        <v/>
      </c>
      <c r="CC18" s="217" t="str">
        <f>+IF(BD18="","",LOOKUP(BD18,tabelas!AQ:AQ,tabelas!BC:BC))</f>
        <v/>
      </c>
      <c r="CD18" s="219" t="str">
        <f>+IF(BD18="","",LOOKUP(BD18,tabelas!AQ:AQ,tabelas!BB:BB))</f>
        <v/>
      </c>
      <c r="CE18" s="217" t="str">
        <f>+IF(BD18="","",LOOKUP(BD18,tabelas!AQ:AQ,tabelas!BD:BD))</f>
        <v/>
      </c>
      <c r="CF18" s="217" t="str">
        <f>+IF(BD18="","",LOOKUP(BD18,tabelas!AQ:AQ,tabelas!BF:BF))</f>
        <v/>
      </c>
      <c r="CG18" s="219" t="str">
        <f>+IF(BD18="","",LOOKUP(BD18,tabelas!AQ:AQ,tabelas!BE:BE))</f>
        <v/>
      </c>
      <c r="CH18" s="217" t="str">
        <f>+IF(BD18="","",LOOKUP(BD18,tabelas!AQ:AQ,tabelas!BG:BG))</f>
        <v/>
      </c>
      <c r="CI18" s="26"/>
      <c r="CJ18" s="221" t="str">
        <f t="shared" si="30"/>
        <v/>
      </c>
      <c r="CK18" s="227" t="str">
        <f t="shared" si="75"/>
        <v/>
      </c>
      <c r="CL18" s="217" t="str">
        <f t="shared" si="31"/>
        <v/>
      </c>
      <c r="CM18" s="217" t="str">
        <f t="shared" si="32"/>
        <v/>
      </c>
      <c r="CN18" s="217" t="str">
        <f t="shared" si="33"/>
        <v/>
      </c>
      <c r="CO18" s="217" t="str">
        <f t="shared" si="34"/>
        <v/>
      </c>
      <c r="CP18" s="217" t="str">
        <f t="shared" si="35"/>
        <v/>
      </c>
      <c r="CQ18" s="217" t="str">
        <f t="shared" si="36"/>
        <v/>
      </c>
      <c r="CR18" s="217" t="str">
        <f t="shared" si="37"/>
        <v/>
      </c>
      <c r="CS18" s="217" t="str">
        <f t="shared" si="38"/>
        <v/>
      </c>
      <c r="CT18" s="228" t="str">
        <f t="shared" si="39"/>
        <v/>
      </c>
      <c r="CU18" s="217" t="str">
        <f t="shared" si="40"/>
        <v/>
      </c>
      <c r="CV18" s="223" t="str">
        <f t="shared" si="41"/>
        <v/>
      </c>
      <c r="CW18" s="229" t="str">
        <f t="shared" si="42"/>
        <v/>
      </c>
      <c r="CX18" s="223" t="str">
        <f t="shared" si="43"/>
        <v/>
      </c>
      <c r="CY18" s="229" t="str">
        <f t="shared" si="44"/>
        <v/>
      </c>
      <c r="CZ18" s="228" t="str">
        <f t="shared" si="45"/>
        <v/>
      </c>
      <c r="DA18" s="228" t="str">
        <f t="shared" si="46"/>
        <v/>
      </c>
      <c r="DB18" s="230" t="str">
        <f t="shared" si="47"/>
        <v/>
      </c>
      <c r="DC18" s="217" t="str">
        <f t="shared" si="48"/>
        <v/>
      </c>
      <c r="DD18" s="228" t="str">
        <f t="shared" si="49"/>
        <v/>
      </c>
      <c r="DE18" s="228" t="str">
        <f t="shared" si="50"/>
        <v/>
      </c>
      <c r="DF18" s="228" t="str">
        <f t="shared" si="51"/>
        <v/>
      </c>
      <c r="DG18" s="217" t="str">
        <f t="shared" si="52"/>
        <v/>
      </c>
      <c r="DH18" s="217" t="str">
        <f t="shared" si="53"/>
        <v/>
      </c>
      <c r="DI18" s="217" t="str">
        <f t="shared" si="54"/>
        <v/>
      </c>
      <c r="DJ18" s="26"/>
      <c r="DK18" s="216" t="str">
        <f>+IF(CJ18="","",LOOKUP(CJ18,tabelas!AQ:AQ,tabelas!AR:AR))</f>
        <v/>
      </c>
      <c r="DL18" s="217" t="str">
        <f>+IF(CJ18="","",LOOKUP(CJ18,tabelas!AQ:AQ,tabelas!AT:AT))</f>
        <v/>
      </c>
      <c r="DM18" s="219" t="str">
        <f>+IF(CJ18="","",LOOKUP(CJ18,tabelas!AQ:AQ,tabelas!AS:AS))</f>
        <v/>
      </c>
      <c r="DN18" s="217" t="str">
        <f>+IF(CJ18="","",LOOKUP(CJ18,tabelas!AQ:AQ,tabelas!AU:AU))</f>
        <v/>
      </c>
      <c r="DO18" s="217" t="str">
        <f>+IF(CJ18="","",LOOKUP(CJ18,tabelas!AQ:AQ,tabelas!AW:AW))</f>
        <v/>
      </c>
      <c r="DP18" s="219" t="str">
        <f>+IF(CJ18="","",LOOKUP(CJ18,tabelas!AQ:AQ,tabelas!AV:AV))</f>
        <v/>
      </c>
      <c r="DQ18" s="217" t="str">
        <f>+IF(CJ18="","",LOOKUP(CJ18,tabelas!AQ:AQ,tabelas!AX:AX))</f>
        <v/>
      </c>
      <c r="DR18" s="217" t="str">
        <f>+IF(CJ18="","",LOOKUP(CJ18,tabelas!AQ:AQ,tabelas!AZ:AZ))</f>
        <v/>
      </c>
      <c r="DS18" s="219" t="str">
        <f>+IF(CJ18="","",LOOKUP(CJ18,tabelas!AQ:AQ,tabelas!AY:AY))</f>
        <v/>
      </c>
      <c r="DT18" s="217" t="str">
        <f>+IF(CJ18="","",LOOKUP(CJ18,tabelas!AQ:AQ,tabelas!BA:BA))</f>
        <v/>
      </c>
      <c r="DU18" s="217" t="str">
        <f>+IF(CJ18="","",LOOKUP(CJ18,tabelas!AQ:AQ,tabelas!BC:BC))</f>
        <v/>
      </c>
      <c r="DV18" s="219" t="str">
        <f>+IF(CJ18="","",LOOKUP(CJ18,tabelas!AQ:AQ,tabelas!BB:BB))</f>
        <v/>
      </c>
      <c r="DW18" s="217" t="str">
        <f>+IF(CJ18="","",LOOKUP(CJ18,tabelas!AQ:AQ,tabelas!BD:BD))</f>
        <v/>
      </c>
      <c r="DX18" s="217" t="str">
        <f>+IF(CJ18="","",LOOKUP(CJ18,tabelas!AQ:AQ,tabelas!BF:BF))</f>
        <v/>
      </c>
      <c r="DY18" s="219" t="str">
        <f>+IF(CJ18="","",LOOKUP(CJ18,tabelas!AQ:AQ,tabelas!BE:BE))</f>
        <v/>
      </c>
      <c r="DZ18" s="217" t="str">
        <f>+IF(CJ18="","",LOOKUP(CJ18,tabelas!AQ:AQ,tabelas!BG:BG))</f>
        <v/>
      </c>
      <c r="EA18" s="26"/>
      <c r="EB18" s="326" t="str">
        <f>+IF(CJ18="","",LOOKUP(CJ18,tabelas!AQ:AQ,tabelas!BI:BI))</f>
        <v/>
      </c>
      <c r="EC18" s="222" t="str">
        <f t="shared" si="55"/>
        <v/>
      </c>
      <c r="ED18" s="231" t="str">
        <f t="shared" si="56"/>
        <v/>
      </c>
      <c r="EE18" s="222" t="str">
        <f>+IF(CJ18="","",IF(AND(ROUND(CJ18,0)&gt;1991,ROUND(CJ18,0)&lt;1995),LOOKUP(DATE(ROUND(CJ18,0)+1,5,1),tabelas!CC:CC,tabelas!CD:CD),""))</f>
        <v/>
      </c>
      <c r="EF18" s="222" t="str">
        <f t="shared" si="57"/>
        <v/>
      </c>
      <c r="EG18" s="26"/>
      <c r="EH18" s="233" t="str">
        <f t="shared" si="58"/>
        <v/>
      </c>
      <c r="EI18" s="246" t="str">
        <f t="shared" si="76"/>
        <v/>
      </c>
      <c r="EJ18" s="26"/>
      <c r="EK18" s="221" t="str">
        <f t="shared" si="77"/>
        <v/>
      </c>
      <c r="EL18" s="235" t="str">
        <f t="shared" si="59"/>
        <v/>
      </c>
      <c r="EM18" s="229" t="str">
        <f t="shared" si="60"/>
        <v/>
      </c>
      <c r="EN18" s="236" t="str">
        <f>+IF(EL18="","",LOOKUP(EL18,tabelas!CN:CN,tabelas!CO:CO)/IND_CM_DIST)</f>
        <v/>
      </c>
      <c r="EO18" s="229" t="str">
        <f t="shared" si="78"/>
        <v/>
      </c>
      <c r="EP18" s="237" t="str">
        <f>+IF(EL18="","",LOOKUP(EDATE(EL18,0),tabelas!CQ:CQ,tabelas!CR:CR)-IND_JR_DIST)</f>
        <v/>
      </c>
      <c r="EQ18" s="229" t="str">
        <f t="shared" si="61"/>
        <v/>
      </c>
      <c r="ER18" s="238" t="s">
        <v>138</v>
      </c>
      <c r="ES18" s="26"/>
      <c r="ET18" s="336" t="str">
        <f>+CONCATENATE("VALOR DEVIDO NA DATA DA DISTRIBUIÇÃO (",TEXT(DAT_DIST,"mm/aaaa"),"):")</f>
        <v>VALOR DEVIDO NA DATA DA DISTRIBUIÇÃO (08/2001):</v>
      </c>
      <c r="EU18" s="218">
        <f>+IF(EU13&gt;EU15,EU15,EU13)</f>
        <v>0</v>
      </c>
      <c r="EV18" s="26"/>
      <c r="EW18" s="26"/>
      <c r="EX18" s="328" t="str">
        <f t="shared" si="62"/>
        <v/>
      </c>
      <c r="EY18" s="246" t="str">
        <f t="shared" si="80"/>
        <v/>
      </c>
      <c r="EZ18" s="26"/>
      <c r="FA18" s="221" t="str">
        <f t="shared" si="81"/>
        <v/>
      </c>
      <c r="FB18" s="330" t="str">
        <f t="shared" si="63"/>
        <v/>
      </c>
      <c r="FC18" s="229" t="str">
        <f t="shared" si="64"/>
        <v/>
      </c>
      <c r="FD18" s="236" t="str">
        <f>+IF(FB18="","",LOOKUP(FB18,tabelas!CN:CN,tabelas!CO:CO)/IND_CM_FIM)</f>
        <v/>
      </c>
      <c r="FE18" s="229" t="str">
        <f t="shared" si="82"/>
        <v/>
      </c>
      <c r="FF18" s="237" t="str">
        <f>+IF(FB18="","",LOOKUP(EDATE(FB18,0),tabelas!CQ:CQ,tabelas!CR:CR)-IND_JR_FIM+0.01)</f>
        <v/>
      </c>
      <c r="FG18" s="229" t="str">
        <f t="shared" si="65"/>
        <v/>
      </c>
      <c r="FH18" s="229" t="str">
        <f t="shared" si="83"/>
        <v/>
      </c>
      <c r="FJ18" s="534" t="str">
        <f ca="1">+cadastro!Q24</f>
        <v>- Juros de mora: 1% a.m. simples (03/1991-12/1995), SELIC(01/1996-08/2026)</v>
      </c>
      <c r="FK18" s="534"/>
      <c r="FL18" s="534"/>
    </row>
    <row r="19" spans="2:168" ht="18" customHeight="1">
      <c r="B19" s="216" t="str">
        <f>+IF(cadastro!B27="","",cadastro!B27)</f>
        <v/>
      </c>
      <c r="C19" s="217" t="str">
        <f>+IF(cadastro!C27="","",cadastro!C27)</f>
        <v/>
      </c>
      <c r="D19" s="218" t="str">
        <f>+IF(cadastro!D27="","",cadastro!D27)</f>
        <v/>
      </c>
      <c r="E19" s="218" t="str">
        <f t="shared" si="0"/>
        <v/>
      </c>
      <c r="F19" s="218" t="str">
        <f t="shared" si="1"/>
        <v/>
      </c>
      <c r="G19" s="218" t="str">
        <f t="shared" si="2"/>
        <v/>
      </c>
      <c r="H19" s="218" t="str">
        <f t="shared" si="3"/>
        <v/>
      </c>
      <c r="I19" s="218" t="str">
        <f>+IF(cadastro!C27="","",IF(cadastro!C27="COMPLETA",IF(cadastro!E27="","",cadastro!E27),0))</f>
        <v/>
      </c>
      <c r="J19" s="218" t="str">
        <f>+IF(OR(cadastro!B27="",cadastro!C27="COMPLETA"),"",LOOKUP(cadastro!B27,tabelas!AQ:AQ,tabelas!BH:BH))</f>
        <v/>
      </c>
      <c r="K19" s="218" t="str">
        <f t="shared" si="4"/>
        <v/>
      </c>
      <c r="L19" s="218" t="str">
        <f t="shared" si="5"/>
        <v/>
      </c>
      <c r="M19" s="218" t="str">
        <f t="shared" si="66"/>
        <v/>
      </c>
      <c r="N19" s="218" t="str">
        <f t="shared" si="67"/>
        <v/>
      </c>
      <c r="O19" s="218" t="str">
        <f t="shared" si="6"/>
        <v/>
      </c>
      <c r="P19" s="218" t="str">
        <f t="shared" si="7"/>
        <v/>
      </c>
      <c r="Q19" s="220" t="str">
        <f t="shared" si="8"/>
        <v/>
      </c>
      <c r="R19" s="218" t="str">
        <f t="shared" si="9"/>
        <v/>
      </c>
      <c r="S19" s="220" t="str">
        <f t="shared" si="10"/>
        <v/>
      </c>
      <c r="T19" s="218" t="str">
        <f t="shared" si="11"/>
        <v/>
      </c>
      <c r="U19" s="218">
        <f>+IF(OR(C19="SIMPLIFICADA",cadastro!G27=""),0,cadastro!G27)</f>
        <v>0</v>
      </c>
      <c r="V19" s="218">
        <f>+IF(cadastro!F27="",0,cadastro!F27)</f>
        <v>0</v>
      </c>
      <c r="W19" s="218" t="str">
        <f t="shared" si="68"/>
        <v/>
      </c>
      <c r="X19" s="218" t="str">
        <f t="shared" si="69"/>
        <v/>
      </c>
      <c r="Y19" s="218" t="str">
        <f>+IF(cadastro!H27="","",cadastro!H27)</f>
        <v/>
      </c>
      <c r="Z19" s="218" t="str">
        <f>+IF(cadastro!J27="","",IF(LEFT(AB19,1)="R",-1,1)*cadastro!J27)</f>
        <v/>
      </c>
      <c r="AA19" s="218" t="str">
        <f t="shared" si="12"/>
        <v/>
      </c>
      <c r="AB19" s="217" t="str">
        <f t="shared" si="13"/>
        <v/>
      </c>
      <c r="AC19" s="218" t="str">
        <f t="shared" si="14"/>
        <v/>
      </c>
      <c r="AD19" s="217" t="str">
        <f t="shared" si="15"/>
        <v/>
      </c>
      <c r="AE19" s="217" t="str">
        <f t="shared" si="70"/>
        <v/>
      </c>
      <c r="AF19" s="216" t="str">
        <f t="shared" si="16"/>
        <v/>
      </c>
      <c r="AG19" s="216" t="str">
        <f t="shared" si="71"/>
        <v/>
      </c>
      <c r="AH19" s="26"/>
      <c r="AI19" s="216" t="str">
        <f>+IF(B19="","",LOOKUP(B19,tabelas!AQ:AQ,tabelas!AR:AR))</f>
        <v/>
      </c>
      <c r="AJ19" s="371" t="str">
        <f>+IF(B19="","",LOOKUP(B19,tabelas!AQ:AQ,tabelas!AT:AT))</f>
        <v/>
      </c>
      <c r="AK19" s="219" t="str">
        <f>+IF(B19="","",LOOKUP(B19,tabelas!AQ:AQ,tabelas!AS:AS))</f>
        <v/>
      </c>
      <c r="AL19" s="371" t="str">
        <f>+IF(B19="","",LOOKUP(B19,tabelas!AQ:AQ,tabelas!AU:AU))</f>
        <v/>
      </c>
      <c r="AM19" s="371" t="str">
        <f>+IF(B19="","",LOOKUP(B19,tabelas!AQ:AQ,tabelas!AW:AW))</f>
        <v/>
      </c>
      <c r="AN19" s="219" t="str">
        <f>+IF(B19="","",LOOKUP(B19,tabelas!AQ:AQ,tabelas!AV:AV))</f>
        <v/>
      </c>
      <c r="AO19" s="371" t="str">
        <f>+IF(B19="","",LOOKUP(B19,tabelas!AQ:AQ,tabelas!AX:AX))</f>
        <v/>
      </c>
      <c r="AP19" s="371" t="str">
        <f>+IF(B19="","",LOOKUP(B19,tabelas!AQ:AQ,tabelas!AZ:AZ))</f>
        <v/>
      </c>
      <c r="AQ19" s="219" t="str">
        <f>+IF(B19="","",LOOKUP(B19,tabelas!AQ:AQ,tabelas!AY:AY))</f>
        <v/>
      </c>
      <c r="AR19" s="371" t="str">
        <f>+IF(B19="","",LOOKUP(B19,tabelas!AQ:AQ,tabelas!BA:BA))</f>
        <v/>
      </c>
      <c r="AS19" s="371" t="str">
        <f>+IF(B19="","",LOOKUP(B19,tabelas!AQ:AQ,tabelas!BC:BC))</f>
        <v/>
      </c>
      <c r="AT19" s="219" t="str">
        <f>+IF(B19="","",LOOKUP(B19,tabelas!AQ:AQ,tabelas!BB:BB))</f>
        <v/>
      </c>
      <c r="AU19" s="371" t="str">
        <f>+IF(B19="","",LOOKUP(B19,tabelas!AQ:AQ,tabelas!BD:BD))</f>
        <v/>
      </c>
      <c r="AV19" s="371" t="str">
        <f>+IF(B19="","",LOOKUP(B19,tabelas!AQ:AQ,tabelas!BF:BF))</f>
        <v/>
      </c>
      <c r="AW19" s="219" t="str">
        <f>+IF(B19="","",LOOKUP(B19,tabelas!AQ:AQ,tabelas!BE:BE))</f>
        <v/>
      </c>
      <c r="AX19" s="371" t="str">
        <f>+IF(B19="","",LOOKUP(B19,tabelas!AQ:AQ,tabelas!BG:BG))</f>
        <v/>
      </c>
      <c r="AY19" s="26"/>
      <c r="AZ19" s="38">
        <v>14</v>
      </c>
      <c r="BA19" s="225" t="str">
        <f t="shared" si="72"/>
        <v/>
      </c>
      <c r="BB19" s="225" t="str">
        <f t="shared" si="73"/>
        <v/>
      </c>
      <c r="BC19" s="26"/>
      <c r="BD19" s="221" t="str">
        <f t="shared" si="17"/>
        <v/>
      </c>
      <c r="BE19" s="227" t="str">
        <f t="shared" si="74"/>
        <v/>
      </c>
      <c r="BF19" s="228" t="str">
        <f t="shared" si="18"/>
        <v/>
      </c>
      <c r="BG19" s="228" t="str">
        <f t="shared" si="19"/>
        <v/>
      </c>
      <c r="BH19" s="228" t="str">
        <f t="shared" si="20"/>
        <v/>
      </c>
      <c r="BI19" s="228" t="str">
        <f t="shared" si="21"/>
        <v/>
      </c>
      <c r="BJ19" s="219" t="str">
        <f t="shared" si="22"/>
        <v/>
      </c>
      <c r="BK19" s="217" t="str">
        <f t="shared" si="23"/>
        <v/>
      </c>
      <c r="BL19" s="228" t="str">
        <f t="shared" si="24"/>
        <v/>
      </c>
      <c r="BM19" s="228" t="str">
        <f t="shared" si="25"/>
        <v/>
      </c>
      <c r="BN19" s="217" t="str">
        <f t="shared" si="26"/>
        <v/>
      </c>
      <c r="BO19" s="228" t="str">
        <f t="shared" si="27"/>
        <v/>
      </c>
      <c r="BP19" s="228" t="str">
        <f t="shared" si="28"/>
        <v/>
      </c>
      <c r="BQ19" s="228" t="str">
        <f t="shared" si="29"/>
        <v/>
      </c>
      <c r="BR19" s="26"/>
      <c r="BS19" s="216" t="str">
        <f>+IF(BD19="","",LOOKUP(BD19,tabelas!AQ:AQ,tabelas!AR:AR))</f>
        <v/>
      </c>
      <c r="BT19" s="217" t="str">
        <f>+IF(BD19="","",LOOKUP(BD19,tabelas!AQ:AQ,tabelas!AT:AT))</f>
        <v/>
      </c>
      <c r="BU19" s="219" t="str">
        <f>+IF(BD19="","",LOOKUP(BD19,tabelas!AQ:AQ,tabelas!AS:AS))</f>
        <v/>
      </c>
      <c r="BV19" s="217" t="str">
        <f>+IF(BD19="","",LOOKUP(BD19,tabelas!AQ:AQ,tabelas!AU:AU))</f>
        <v/>
      </c>
      <c r="BW19" s="217" t="str">
        <f>+IF(BD19="","",LOOKUP(BD19,tabelas!AQ:AQ,tabelas!AW:AW))</f>
        <v/>
      </c>
      <c r="BX19" s="219" t="str">
        <f>+IF(BD19="","",LOOKUP(BD19,tabelas!AQ:AQ,tabelas!AV:AV))</f>
        <v/>
      </c>
      <c r="BY19" s="217" t="str">
        <f>+IF(BD19="","",LOOKUP(BD19,tabelas!AQ:AQ,tabelas!AX:AX))</f>
        <v/>
      </c>
      <c r="BZ19" s="217" t="str">
        <f>+IF(BD19="","",LOOKUP(BD19,tabelas!AQ:AQ,tabelas!AZ:AZ))</f>
        <v/>
      </c>
      <c r="CA19" s="219" t="str">
        <f>+IF(BD19="","",LOOKUP(BD19,tabelas!AQ:AQ,tabelas!AY:AY))</f>
        <v/>
      </c>
      <c r="CB19" s="217" t="str">
        <f>+IF(BD19="","",LOOKUP(BD19,tabelas!AQ:AQ,tabelas!BA:BA))</f>
        <v/>
      </c>
      <c r="CC19" s="217" t="str">
        <f>+IF(BD19="","",LOOKUP(BD19,tabelas!AQ:AQ,tabelas!BC:BC))</f>
        <v/>
      </c>
      <c r="CD19" s="219" t="str">
        <f>+IF(BD19="","",LOOKUP(BD19,tabelas!AQ:AQ,tabelas!BB:BB))</f>
        <v/>
      </c>
      <c r="CE19" s="217" t="str">
        <f>+IF(BD19="","",LOOKUP(BD19,tabelas!AQ:AQ,tabelas!BD:BD))</f>
        <v/>
      </c>
      <c r="CF19" s="217" t="str">
        <f>+IF(BD19="","",LOOKUP(BD19,tabelas!AQ:AQ,tabelas!BF:BF))</f>
        <v/>
      </c>
      <c r="CG19" s="219" t="str">
        <f>+IF(BD19="","",LOOKUP(BD19,tabelas!AQ:AQ,tabelas!BE:BE))</f>
        <v/>
      </c>
      <c r="CH19" s="217" t="str">
        <f>+IF(BD19="","",LOOKUP(BD19,tabelas!AQ:AQ,tabelas!BG:BG))</f>
        <v/>
      </c>
      <c r="CI19" s="26"/>
      <c r="CJ19" s="221" t="str">
        <f t="shared" si="30"/>
        <v/>
      </c>
      <c r="CK19" s="227" t="str">
        <f t="shared" si="75"/>
        <v/>
      </c>
      <c r="CL19" s="217" t="str">
        <f t="shared" si="31"/>
        <v/>
      </c>
      <c r="CM19" s="217" t="str">
        <f t="shared" si="32"/>
        <v/>
      </c>
      <c r="CN19" s="217" t="str">
        <f t="shared" si="33"/>
        <v/>
      </c>
      <c r="CO19" s="217" t="str">
        <f t="shared" si="34"/>
        <v/>
      </c>
      <c r="CP19" s="217" t="str">
        <f t="shared" si="35"/>
        <v/>
      </c>
      <c r="CQ19" s="217" t="str">
        <f t="shared" si="36"/>
        <v/>
      </c>
      <c r="CR19" s="217" t="str">
        <f t="shared" si="37"/>
        <v/>
      </c>
      <c r="CS19" s="217" t="str">
        <f t="shared" si="38"/>
        <v/>
      </c>
      <c r="CT19" s="228" t="str">
        <f t="shared" si="39"/>
        <v/>
      </c>
      <c r="CU19" s="217" t="str">
        <f t="shared" si="40"/>
        <v/>
      </c>
      <c r="CV19" s="223" t="str">
        <f t="shared" si="41"/>
        <v/>
      </c>
      <c r="CW19" s="229" t="str">
        <f t="shared" si="42"/>
        <v/>
      </c>
      <c r="CX19" s="223" t="str">
        <f t="shared" si="43"/>
        <v/>
      </c>
      <c r="CY19" s="229" t="str">
        <f t="shared" si="44"/>
        <v/>
      </c>
      <c r="CZ19" s="228" t="str">
        <f t="shared" si="45"/>
        <v/>
      </c>
      <c r="DA19" s="228" t="str">
        <f t="shared" si="46"/>
        <v/>
      </c>
      <c r="DB19" s="230" t="str">
        <f t="shared" si="47"/>
        <v/>
      </c>
      <c r="DC19" s="217" t="str">
        <f t="shared" si="48"/>
        <v/>
      </c>
      <c r="DD19" s="228" t="str">
        <f t="shared" si="49"/>
        <v/>
      </c>
      <c r="DE19" s="228" t="str">
        <f t="shared" si="50"/>
        <v/>
      </c>
      <c r="DF19" s="228" t="str">
        <f t="shared" si="51"/>
        <v/>
      </c>
      <c r="DG19" s="217" t="str">
        <f t="shared" si="52"/>
        <v/>
      </c>
      <c r="DH19" s="217" t="str">
        <f t="shared" si="53"/>
        <v/>
      </c>
      <c r="DI19" s="217" t="str">
        <f t="shared" si="54"/>
        <v/>
      </c>
      <c r="DJ19" s="26"/>
      <c r="DK19" s="216" t="str">
        <f>+IF(CJ19="","",LOOKUP(CJ19,tabelas!AQ:AQ,tabelas!AR:AR))</f>
        <v/>
      </c>
      <c r="DL19" s="217" t="str">
        <f>+IF(CJ19="","",LOOKUP(CJ19,tabelas!AQ:AQ,tabelas!AT:AT))</f>
        <v/>
      </c>
      <c r="DM19" s="219" t="str">
        <f>+IF(CJ19="","",LOOKUP(CJ19,tabelas!AQ:AQ,tabelas!AS:AS))</f>
        <v/>
      </c>
      <c r="DN19" s="217" t="str">
        <f>+IF(CJ19="","",LOOKUP(CJ19,tabelas!AQ:AQ,tabelas!AU:AU))</f>
        <v/>
      </c>
      <c r="DO19" s="217" t="str">
        <f>+IF(CJ19="","",LOOKUP(CJ19,tabelas!AQ:AQ,tabelas!AW:AW))</f>
        <v/>
      </c>
      <c r="DP19" s="219" t="str">
        <f>+IF(CJ19="","",LOOKUP(CJ19,tabelas!AQ:AQ,tabelas!AV:AV))</f>
        <v/>
      </c>
      <c r="DQ19" s="217" t="str">
        <f>+IF(CJ19="","",LOOKUP(CJ19,tabelas!AQ:AQ,tabelas!AX:AX))</f>
        <v/>
      </c>
      <c r="DR19" s="217" t="str">
        <f>+IF(CJ19="","",LOOKUP(CJ19,tabelas!AQ:AQ,tabelas!AZ:AZ))</f>
        <v/>
      </c>
      <c r="DS19" s="219" t="str">
        <f>+IF(CJ19="","",LOOKUP(CJ19,tabelas!AQ:AQ,tabelas!AY:AY))</f>
        <v/>
      </c>
      <c r="DT19" s="217" t="str">
        <f>+IF(CJ19="","",LOOKUP(CJ19,tabelas!AQ:AQ,tabelas!BA:BA))</f>
        <v/>
      </c>
      <c r="DU19" s="217" t="str">
        <f>+IF(CJ19="","",LOOKUP(CJ19,tabelas!AQ:AQ,tabelas!BC:BC))</f>
        <v/>
      </c>
      <c r="DV19" s="219" t="str">
        <f>+IF(CJ19="","",LOOKUP(CJ19,tabelas!AQ:AQ,tabelas!BB:BB))</f>
        <v/>
      </c>
      <c r="DW19" s="217" t="str">
        <f>+IF(CJ19="","",LOOKUP(CJ19,tabelas!AQ:AQ,tabelas!BD:BD))</f>
        <v/>
      </c>
      <c r="DX19" s="217" t="str">
        <f>+IF(CJ19="","",LOOKUP(CJ19,tabelas!AQ:AQ,tabelas!BF:BF))</f>
        <v/>
      </c>
      <c r="DY19" s="219" t="str">
        <f>+IF(CJ19="","",LOOKUP(CJ19,tabelas!AQ:AQ,tabelas!BE:BE))</f>
        <v/>
      </c>
      <c r="DZ19" s="217" t="str">
        <f>+IF(CJ19="","",LOOKUP(CJ19,tabelas!AQ:AQ,tabelas!BG:BG))</f>
        <v/>
      </c>
      <c r="EA19" s="26"/>
      <c r="EB19" s="326" t="str">
        <f>+IF(CJ19="","",LOOKUP(CJ19,tabelas!AQ:AQ,tabelas!BI:BI))</f>
        <v/>
      </c>
      <c r="EC19" s="222" t="str">
        <f t="shared" si="55"/>
        <v/>
      </c>
      <c r="ED19" s="231" t="str">
        <f t="shared" si="56"/>
        <v/>
      </c>
      <c r="EE19" s="222" t="str">
        <f>+IF(CJ19="","",IF(AND(ROUND(CJ19,0)&gt;1991,ROUND(CJ19,0)&lt;1995),LOOKUP(DATE(ROUND(CJ19,0)+1,5,1),tabelas!CC:CC,tabelas!CD:CD),""))</f>
        <v/>
      </c>
      <c r="EF19" s="222" t="str">
        <f t="shared" si="57"/>
        <v/>
      </c>
      <c r="EG19" s="26"/>
      <c r="EH19" s="233" t="str">
        <f t="shared" si="58"/>
        <v/>
      </c>
      <c r="EI19" s="246" t="str">
        <f t="shared" si="76"/>
        <v/>
      </c>
      <c r="EJ19" s="26"/>
      <c r="EK19" s="221" t="str">
        <f t="shared" si="77"/>
        <v/>
      </c>
      <c r="EL19" s="235" t="str">
        <f t="shared" si="59"/>
        <v/>
      </c>
      <c r="EM19" s="229" t="str">
        <f t="shared" si="60"/>
        <v/>
      </c>
      <c r="EN19" s="236" t="str">
        <f>+IF(EL19="","",LOOKUP(EL19,tabelas!CN:CN,tabelas!CO:CO)/IND_CM_DIST)</f>
        <v/>
      </c>
      <c r="EO19" s="229" t="str">
        <f t="shared" si="78"/>
        <v/>
      </c>
      <c r="EP19" s="237" t="str">
        <f>+IF(EL19="","",LOOKUP(EDATE(EL19,0),tabelas!CQ:CQ,tabelas!CR:CR)-IND_JR_DIST)</f>
        <v/>
      </c>
      <c r="EQ19" s="229" t="str">
        <f t="shared" si="61"/>
        <v/>
      </c>
      <c r="ER19" s="229" t="str">
        <f t="shared" si="79"/>
        <v/>
      </c>
      <c r="ES19" s="26"/>
      <c r="ET19" s="335" t="s">
        <v>148</v>
      </c>
      <c r="EU19" s="337" t="e">
        <f>+EU11/EU13</f>
        <v>#DIV/0!</v>
      </c>
      <c r="EV19" s="26"/>
      <c r="EW19" s="26"/>
      <c r="EX19" s="328" t="str">
        <f t="shared" si="62"/>
        <v/>
      </c>
      <c r="EY19" s="246" t="str">
        <f t="shared" si="80"/>
        <v/>
      </c>
      <c r="EZ19" s="26"/>
      <c r="FA19" s="221" t="str">
        <f t="shared" si="81"/>
        <v/>
      </c>
      <c r="FB19" s="330" t="str">
        <f t="shared" si="63"/>
        <v/>
      </c>
      <c r="FC19" s="229" t="str">
        <f t="shared" si="64"/>
        <v/>
      </c>
      <c r="FD19" s="236" t="str">
        <f>+IF(FB19="","",LOOKUP(FB19,tabelas!CN:CN,tabelas!CO:CO)/IND_CM_FIM)</f>
        <v/>
      </c>
      <c r="FE19" s="229" t="str">
        <f t="shared" si="82"/>
        <v/>
      </c>
      <c r="FF19" s="237" t="str">
        <f>+IF(FB19="","",LOOKUP(EDATE(FB19,0),tabelas!CQ:CQ,tabelas!CR:CR)-IND_JR_FIM+0.01)</f>
        <v/>
      </c>
      <c r="FG19" s="229" t="str">
        <f t="shared" si="65"/>
        <v/>
      </c>
      <c r="FH19" s="229" t="str">
        <f t="shared" si="83"/>
        <v/>
      </c>
      <c r="FJ19" s="534"/>
      <c r="FK19" s="534"/>
      <c r="FL19" s="534"/>
    </row>
    <row r="20" spans="2:168" ht="18" customHeight="1">
      <c r="B20" s="216" t="str">
        <f>+IF(cadastro!B28="","",cadastro!B28)</f>
        <v/>
      </c>
      <c r="C20" s="217" t="str">
        <f>+IF(cadastro!C28="","",cadastro!C28)</f>
        <v/>
      </c>
      <c r="D20" s="218" t="str">
        <f>+IF(cadastro!D28="","",cadastro!D28)</f>
        <v/>
      </c>
      <c r="E20" s="218" t="str">
        <f t="shared" si="0"/>
        <v/>
      </c>
      <c r="F20" s="218" t="str">
        <f t="shared" si="1"/>
        <v/>
      </c>
      <c r="G20" s="218" t="str">
        <f t="shared" si="2"/>
        <v/>
      </c>
      <c r="H20" s="218" t="str">
        <f t="shared" si="3"/>
        <v/>
      </c>
      <c r="I20" s="218" t="str">
        <f>+IF(cadastro!C28="","",IF(cadastro!C28="COMPLETA",IF(cadastro!E28="","",cadastro!E28),0))</f>
        <v/>
      </c>
      <c r="J20" s="218" t="str">
        <f>+IF(OR(cadastro!B28="",cadastro!C28="COMPLETA"),"",LOOKUP(cadastro!B28,tabelas!AQ:AQ,tabelas!BH:BH))</f>
        <v/>
      </c>
      <c r="K20" s="218" t="str">
        <f t="shared" si="4"/>
        <v/>
      </c>
      <c r="L20" s="218" t="str">
        <f t="shared" si="5"/>
        <v/>
      </c>
      <c r="M20" s="218" t="str">
        <f t="shared" si="66"/>
        <v/>
      </c>
      <c r="N20" s="218" t="str">
        <f t="shared" si="67"/>
        <v/>
      </c>
      <c r="O20" s="218" t="str">
        <f t="shared" si="6"/>
        <v/>
      </c>
      <c r="P20" s="218" t="str">
        <f t="shared" si="7"/>
        <v/>
      </c>
      <c r="Q20" s="220" t="str">
        <f t="shared" si="8"/>
        <v/>
      </c>
      <c r="R20" s="218" t="str">
        <f t="shared" si="9"/>
        <v/>
      </c>
      <c r="S20" s="220" t="str">
        <f t="shared" si="10"/>
        <v/>
      </c>
      <c r="T20" s="218" t="str">
        <f t="shared" si="11"/>
        <v/>
      </c>
      <c r="U20" s="218">
        <f>+IF(OR(C20="SIMPLIFICADA",cadastro!G28=""),0,cadastro!G28)</f>
        <v>0</v>
      </c>
      <c r="V20" s="218">
        <f>+IF(cadastro!F28="",0,cadastro!F28)</f>
        <v>0</v>
      </c>
      <c r="W20" s="218" t="str">
        <f t="shared" si="68"/>
        <v/>
      </c>
      <c r="X20" s="218" t="str">
        <f t="shared" si="69"/>
        <v/>
      </c>
      <c r="Y20" s="218" t="str">
        <f>+IF(cadastro!H28="","",cadastro!H28)</f>
        <v/>
      </c>
      <c r="Z20" s="218" t="str">
        <f>+IF(cadastro!J28="","",IF(LEFT(AB20,1)="R",-1,1)*cadastro!J28)</f>
        <v/>
      </c>
      <c r="AA20" s="218" t="str">
        <f t="shared" si="12"/>
        <v/>
      </c>
      <c r="AB20" s="217" t="str">
        <f t="shared" si="13"/>
        <v/>
      </c>
      <c r="AC20" s="218" t="str">
        <f t="shared" si="14"/>
        <v/>
      </c>
      <c r="AD20" s="217" t="str">
        <f t="shared" si="15"/>
        <v/>
      </c>
      <c r="AE20" s="217" t="str">
        <f t="shared" si="70"/>
        <v/>
      </c>
      <c r="AF20" s="216" t="str">
        <f t="shared" si="16"/>
        <v/>
      </c>
      <c r="AG20" s="216" t="str">
        <f t="shared" si="71"/>
        <v/>
      </c>
      <c r="AH20" s="26"/>
      <c r="AI20" s="216" t="str">
        <f>+IF(B20="","",LOOKUP(B20,tabelas!AQ:AQ,tabelas!AR:AR))</f>
        <v/>
      </c>
      <c r="AJ20" s="371" t="str">
        <f>+IF(B20="","",LOOKUP(B20,tabelas!AQ:AQ,tabelas!AT:AT))</f>
        <v/>
      </c>
      <c r="AK20" s="219" t="str">
        <f>+IF(B20="","",LOOKUP(B20,tabelas!AQ:AQ,tabelas!AS:AS))</f>
        <v/>
      </c>
      <c r="AL20" s="371" t="str">
        <f>+IF(B20="","",LOOKUP(B20,tabelas!AQ:AQ,tabelas!AU:AU))</f>
        <v/>
      </c>
      <c r="AM20" s="371" t="str">
        <f>+IF(B20="","",LOOKUP(B20,tabelas!AQ:AQ,tabelas!AW:AW))</f>
        <v/>
      </c>
      <c r="AN20" s="219" t="str">
        <f>+IF(B20="","",LOOKUP(B20,tabelas!AQ:AQ,tabelas!AV:AV))</f>
        <v/>
      </c>
      <c r="AO20" s="371" t="str">
        <f>+IF(B20="","",LOOKUP(B20,tabelas!AQ:AQ,tabelas!AX:AX))</f>
        <v/>
      </c>
      <c r="AP20" s="371" t="str">
        <f>+IF(B20="","",LOOKUP(B20,tabelas!AQ:AQ,tabelas!AZ:AZ))</f>
        <v/>
      </c>
      <c r="AQ20" s="219" t="str">
        <f>+IF(B20="","",LOOKUP(B20,tabelas!AQ:AQ,tabelas!AY:AY))</f>
        <v/>
      </c>
      <c r="AR20" s="371" t="str">
        <f>+IF(B20="","",LOOKUP(B20,tabelas!AQ:AQ,tabelas!BA:BA))</f>
        <v/>
      </c>
      <c r="AS20" s="371" t="str">
        <f>+IF(B20="","",LOOKUP(B20,tabelas!AQ:AQ,tabelas!BC:BC))</f>
        <v/>
      </c>
      <c r="AT20" s="219" t="str">
        <f>+IF(B20="","",LOOKUP(B20,tabelas!AQ:AQ,tabelas!BB:BB))</f>
        <v/>
      </c>
      <c r="AU20" s="371" t="str">
        <f>+IF(B20="","",LOOKUP(B20,tabelas!AQ:AQ,tabelas!BD:BD))</f>
        <v/>
      </c>
      <c r="AV20" s="371" t="str">
        <f>+IF(B20="","",LOOKUP(B20,tabelas!AQ:AQ,tabelas!BF:BF))</f>
        <v/>
      </c>
      <c r="AW20" s="219" t="str">
        <f>+IF(B20="","",LOOKUP(B20,tabelas!AQ:AQ,tabelas!BE:BE))</f>
        <v/>
      </c>
      <c r="AX20" s="371" t="str">
        <f>+IF(B20="","",LOOKUP(B20,tabelas!AQ:AQ,tabelas!BG:BG))</f>
        <v/>
      </c>
      <c r="AY20" s="26"/>
      <c r="AZ20" s="38">
        <v>15</v>
      </c>
      <c r="BA20" s="225" t="str">
        <f t="shared" si="72"/>
        <v/>
      </c>
      <c r="BB20" s="225" t="str">
        <f t="shared" si="73"/>
        <v/>
      </c>
      <c r="BC20" s="26"/>
      <c r="BD20" s="221" t="str">
        <f t="shared" si="17"/>
        <v/>
      </c>
      <c r="BE20" s="227" t="str">
        <f t="shared" si="74"/>
        <v/>
      </c>
      <c r="BF20" s="228" t="str">
        <f t="shared" si="18"/>
        <v/>
      </c>
      <c r="BG20" s="228" t="str">
        <f t="shared" si="19"/>
        <v/>
      </c>
      <c r="BH20" s="228" t="str">
        <f t="shared" si="20"/>
        <v/>
      </c>
      <c r="BI20" s="228" t="str">
        <f t="shared" si="21"/>
        <v/>
      </c>
      <c r="BJ20" s="219" t="str">
        <f t="shared" si="22"/>
        <v/>
      </c>
      <c r="BK20" s="217" t="str">
        <f t="shared" si="23"/>
        <v/>
      </c>
      <c r="BL20" s="228" t="str">
        <f t="shared" si="24"/>
        <v/>
      </c>
      <c r="BM20" s="228" t="str">
        <f t="shared" si="25"/>
        <v/>
      </c>
      <c r="BN20" s="217" t="str">
        <f t="shared" si="26"/>
        <v/>
      </c>
      <c r="BO20" s="228" t="str">
        <f t="shared" si="27"/>
        <v/>
      </c>
      <c r="BP20" s="228" t="str">
        <f t="shared" si="28"/>
        <v/>
      </c>
      <c r="BQ20" s="228" t="str">
        <f t="shared" si="29"/>
        <v/>
      </c>
      <c r="BR20" s="26"/>
      <c r="BS20" s="216" t="str">
        <f>+IF(BD20="","",LOOKUP(BD20,tabelas!AQ:AQ,tabelas!AR:AR))</f>
        <v/>
      </c>
      <c r="BT20" s="217" t="str">
        <f>+IF(BD20="","",LOOKUP(BD20,tabelas!AQ:AQ,tabelas!AT:AT))</f>
        <v/>
      </c>
      <c r="BU20" s="219" t="str">
        <f>+IF(BD20="","",LOOKUP(BD20,tabelas!AQ:AQ,tabelas!AS:AS))</f>
        <v/>
      </c>
      <c r="BV20" s="217" t="str">
        <f>+IF(BD20="","",LOOKUP(BD20,tabelas!AQ:AQ,tabelas!AU:AU))</f>
        <v/>
      </c>
      <c r="BW20" s="217" t="str">
        <f>+IF(BD20="","",LOOKUP(BD20,tabelas!AQ:AQ,tabelas!AW:AW))</f>
        <v/>
      </c>
      <c r="BX20" s="219" t="str">
        <f>+IF(BD20="","",LOOKUP(BD20,tabelas!AQ:AQ,tabelas!AV:AV))</f>
        <v/>
      </c>
      <c r="BY20" s="217" t="str">
        <f>+IF(BD20="","",LOOKUP(BD20,tabelas!AQ:AQ,tabelas!AX:AX))</f>
        <v/>
      </c>
      <c r="BZ20" s="217" t="str">
        <f>+IF(BD20="","",LOOKUP(BD20,tabelas!AQ:AQ,tabelas!AZ:AZ))</f>
        <v/>
      </c>
      <c r="CA20" s="219" t="str">
        <f>+IF(BD20="","",LOOKUP(BD20,tabelas!AQ:AQ,tabelas!AY:AY))</f>
        <v/>
      </c>
      <c r="CB20" s="217" t="str">
        <f>+IF(BD20="","",LOOKUP(BD20,tabelas!AQ:AQ,tabelas!BA:BA))</f>
        <v/>
      </c>
      <c r="CC20" s="217" t="str">
        <f>+IF(BD20="","",LOOKUP(BD20,tabelas!AQ:AQ,tabelas!BC:BC))</f>
        <v/>
      </c>
      <c r="CD20" s="219" t="str">
        <f>+IF(BD20="","",LOOKUP(BD20,tabelas!AQ:AQ,tabelas!BB:BB))</f>
        <v/>
      </c>
      <c r="CE20" s="217" t="str">
        <f>+IF(BD20="","",LOOKUP(BD20,tabelas!AQ:AQ,tabelas!BD:BD))</f>
        <v/>
      </c>
      <c r="CF20" s="217" t="str">
        <f>+IF(BD20="","",LOOKUP(BD20,tabelas!AQ:AQ,tabelas!BF:BF))</f>
        <v/>
      </c>
      <c r="CG20" s="219" t="str">
        <f>+IF(BD20="","",LOOKUP(BD20,tabelas!AQ:AQ,tabelas!BE:BE))</f>
        <v/>
      </c>
      <c r="CH20" s="217" t="str">
        <f>+IF(BD20="","",LOOKUP(BD20,tabelas!AQ:AQ,tabelas!BG:BG))</f>
        <v/>
      </c>
      <c r="CI20" s="26"/>
      <c r="CJ20" s="221" t="str">
        <f t="shared" si="30"/>
        <v/>
      </c>
      <c r="CK20" s="227" t="str">
        <f t="shared" si="75"/>
        <v/>
      </c>
      <c r="CL20" s="217" t="str">
        <f t="shared" si="31"/>
        <v/>
      </c>
      <c r="CM20" s="217" t="str">
        <f t="shared" si="32"/>
        <v/>
      </c>
      <c r="CN20" s="217" t="str">
        <f t="shared" si="33"/>
        <v/>
      </c>
      <c r="CO20" s="217" t="str">
        <f t="shared" si="34"/>
        <v/>
      </c>
      <c r="CP20" s="217" t="str">
        <f t="shared" si="35"/>
        <v/>
      </c>
      <c r="CQ20" s="217" t="str">
        <f t="shared" si="36"/>
        <v/>
      </c>
      <c r="CR20" s="217" t="str">
        <f t="shared" si="37"/>
        <v/>
      </c>
      <c r="CS20" s="217" t="str">
        <f t="shared" si="38"/>
        <v/>
      </c>
      <c r="CT20" s="228" t="str">
        <f t="shared" si="39"/>
        <v/>
      </c>
      <c r="CU20" s="217" t="str">
        <f t="shared" si="40"/>
        <v/>
      </c>
      <c r="CV20" s="223" t="str">
        <f t="shared" si="41"/>
        <v/>
      </c>
      <c r="CW20" s="229" t="str">
        <f t="shared" si="42"/>
        <v/>
      </c>
      <c r="CX20" s="223" t="str">
        <f t="shared" si="43"/>
        <v/>
      </c>
      <c r="CY20" s="229" t="str">
        <f t="shared" si="44"/>
        <v/>
      </c>
      <c r="CZ20" s="228" t="str">
        <f t="shared" si="45"/>
        <v/>
      </c>
      <c r="DA20" s="228" t="str">
        <f t="shared" si="46"/>
        <v/>
      </c>
      <c r="DB20" s="230" t="str">
        <f t="shared" si="47"/>
        <v/>
      </c>
      <c r="DC20" s="217" t="str">
        <f t="shared" si="48"/>
        <v/>
      </c>
      <c r="DD20" s="228" t="str">
        <f t="shared" si="49"/>
        <v/>
      </c>
      <c r="DE20" s="228" t="str">
        <f t="shared" si="50"/>
        <v/>
      </c>
      <c r="DF20" s="228" t="str">
        <f t="shared" si="51"/>
        <v/>
      </c>
      <c r="DG20" s="217" t="str">
        <f t="shared" si="52"/>
        <v/>
      </c>
      <c r="DH20" s="217" t="str">
        <f t="shared" si="53"/>
        <v/>
      </c>
      <c r="DI20" s="217" t="str">
        <f t="shared" si="54"/>
        <v/>
      </c>
      <c r="DJ20" s="26"/>
      <c r="DK20" s="216" t="str">
        <f>+IF(CJ20="","",LOOKUP(CJ20,tabelas!AQ:AQ,tabelas!AR:AR))</f>
        <v/>
      </c>
      <c r="DL20" s="217" t="str">
        <f>+IF(CJ20="","",LOOKUP(CJ20,tabelas!AQ:AQ,tabelas!AT:AT))</f>
        <v/>
      </c>
      <c r="DM20" s="219" t="str">
        <f>+IF(CJ20="","",LOOKUP(CJ20,tabelas!AQ:AQ,tabelas!AS:AS))</f>
        <v/>
      </c>
      <c r="DN20" s="217" t="str">
        <f>+IF(CJ20="","",LOOKUP(CJ20,tabelas!AQ:AQ,tabelas!AU:AU))</f>
        <v/>
      </c>
      <c r="DO20" s="217" t="str">
        <f>+IF(CJ20="","",LOOKUP(CJ20,tabelas!AQ:AQ,tabelas!AW:AW))</f>
        <v/>
      </c>
      <c r="DP20" s="219" t="str">
        <f>+IF(CJ20="","",LOOKUP(CJ20,tabelas!AQ:AQ,tabelas!AV:AV))</f>
        <v/>
      </c>
      <c r="DQ20" s="217" t="str">
        <f>+IF(CJ20="","",LOOKUP(CJ20,tabelas!AQ:AQ,tabelas!AX:AX))</f>
        <v/>
      </c>
      <c r="DR20" s="217" t="str">
        <f>+IF(CJ20="","",LOOKUP(CJ20,tabelas!AQ:AQ,tabelas!AZ:AZ))</f>
        <v/>
      </c>
      <c r="DS20" s="219" t="str">
        <f>+IF(CJ20="","",LOOKUP(CJ20,tabelas!AQ:AQ,tabelas!AY:AY))</f>
        <v/>
      </c>
      <c r="DT20" s="217" t="str">
        <f>+IF(CJ20="","",LOOKUP(CJ20,tabelas!AQ:AQ,tabelas!BA:BA))</f>
        <v/>
      </c>
      <c r="DU20" s="217" t="str">
        <f>+IF(CJ20="","",LOOKUP(CJ20,tabelas!AQ:AQ,tabelas!BC:BC))</f>
        <v/>
      </c>
      <c r="DV20" s="219" t="str">
        <f>+IF(CJ20="","",LOOKUP(CJ20,tabelas!AQ:AQ,tabelas!BB:BB))</f>
        <v/>
      </c>
      <c r="DW20" s="217" t="str">
        <f>+IF(CJ20="","",LOOKUP(CJ20,tabelas!AQ:AQ,tabelas!BD:BD))</f>
        <v/>
      </c>
      <c r="DX20" s="217" t="str">
        <f>+IF(CJ20="","",LOOKUP(CJ20,tabelas!AQ:AQ,tabelas!BF:BF))</f>
        <v/>
      </c>
      <c r="DY20" s="219" t="str">
        <f>+IF(CJ20="","",LOOKUP(CJ20,tabelas!AQ:AQ,tabelas!BE:BE))</f>
        <v/>
      </c>
      <c r="DZ20" s="217" t="str">
        <f>+IF(CJ20="","",LOOKUP(CJ20,tabelas!AQ:AQ,tabelas!BG:BG))</f>
        <v/>
      </c>
      <c r="EA20" s="26"/>
      <c r="EB20" s="326" t="str">
        <f>+IF(CJ20="","",LOOKUP(CJ20,tabelas!AQ:AQ,tabelas!BI:BI))</f>
        <v/>
      </c>
      <c r="EC20" s="222" t="str">
        <f t="shared" si="55"/>
        <v/>
      </c>
      <c r="ED20" s="231" t="str">
        <f t="shared" si="56"/>
        <v/>
      </c>
      <c r="EE20" s="222" t="str">
        <f>+IF(CJ20="","",IF(AND(ROUND(CJ20,0)&gt;1991,ROUND(CJ20,0)&lt;1995),LOOKUP(DATE(ROUND(CJ20,0)+1,5,1),tabelas!CC:CC,tabelas!CD:CD),""))</f>
        <v/>
      </c>
      <c r="EF20" s="222" t="str">
        <f t="shared" si="57"/>
        <v/>
      </c>
      <c r="EG20" s="26"/>
      <c r="EH20" s="233" t="str">
        <f t="shared" si="58"/>
        <v/>
      </c>
      <c r="EI20" s="246" t="str">
        <f t="shared" si="76"/>
        <v/>
      </c>
      <c r="EJ20" s="26"/>
      <c r="EK20" s="221" t="str">
        <f t="shared" si="77"/>
        <v/>
      </c>
      <c r="EL20" s="235" t="str">
        <f t="shared" si="59"/>
        <v/>
      </c>
      <c r="EM20" s="229" t="str">
        <f t="shared" si="60"/>
        <v/>
      </c>
      <c r="EN20" s="236" t="str">
        <f>+IF(EL20="","",LOOKUP(EL20,tabelas!CN:CN,tabelas!CO:CO)/IND_CM_DIST)</f>
        <v/>
      </c>
      <c r="EO20" s="229" t="str">
        <f t="shared" si="78"/>
        <v/>
      </c>
      <c r="EP20" s="237" t="str">
        <f>+IF(EL20="","",LOOKUP(EDATE(EL20,0),tabelas!CQ:CQ,tabelas!CR:CR)-IND_JR_DIST)</f>
        <v/>
      </c>
      <c r="EQ20" s="229" t="str">
        <f t="shared" si="61"/>
        <v/>
      </c>
      <c r="ER20" s="229" t="str">
        <f t="shared" si="79"/>
        <v/>
      </c>
      <c r="ES20" s="26"/>
      <c r="ET20" s="532" t="str">
        <f>+IF(EU13&gt;EU15,"- Foi considerado no cálculo o teto dos Juizados Federais (demonstrativo do valor devido até a data da distribuição).","")</f>
        <v/>
      </c>
      <c r="EU20" s="532"/>
      <c r="EV20" s="26"/>
      <c r="EW20" s="26"/>
      <c r="EX20" s="328" t="str">
        <f t="shared" si="62"/>
        <v/>
      </c>
      <c r="EY20" s="246" t="str">
        <f t="shared" si="80"/>
        <v/>
      </c>
      <c r="EZ20" s="26"/>
      <c r="FA20" s="221" t="str">
        <f t="shared" si="81"/>
        <v/>
      </c>
      <c r="FB20" s="330" t="str">
        <f t="shared" si="63"/>
        <v/>
      </c>
      <c r="FC20" s="229" t="str">
        <f t="shared" si="64"/>
        <v/>
      </c>
      <c r="FD20" s="236" t="str">
        <f>+IF(FB20="","",LOOKUP(FB20,tabelas!CN:CN,tabelas!CO:CO)/IND_CM_FIM)</f>
        <v/>
      </c>
      <c r="FE20" s="229" t="str">
        <f t="shared" si="82"/>
        <v/>
      </c>
      <c r="FF20" s="237" t="str">
        <f>+IF(FB20="","",LOOKUP(EDATE(FB20,0),tabelas!CQ:CQ,tabelas!CR:CR)-IND_JR_FIM+0.01)</f>
        <v/>
      </c>
      <c r="FG20" s="229" t="str">
        <f t="shared" si="65"/>
        <v/>
      </c>
      <c r="FH20" s="229" t="str">
        <f t="shared" si="83"/>
        <v/>
      </c>
      <c r="FJ20" s="504" t="s">
        <v>125</v>
      </c>
      <c r="FK20" s="504"/>
      <c r="FL20" s="504"/>
    </row>
    <row r="21" spans="2:168" ht="18" customHeight="1">
      <c r="B21" s="216" t="str">
        <f>+IF(cadastro!B29="","",cadastro!B29)</f>
        <v/>
      </c>
      <c r="C21" s="217" t="str">
        <f>+IF(cadastro!C29="","",cadastro!C29)</f>
        <v/>
      </c>
      <c r="D21" s="218" t="str">
        <f>+IF(cadastro!D29="","",cadastro!D29)</f>
        <v/>
      </c>
      <c r="E21" s="218" t="str">
        <f t="shared" si="0"/>
        <v/>
      </c>
      <c r="F21" s="218" t="str">
        <f t="shared" si="1"/>
        <v/>
      </c>
      <c r="G21" s="218" t="str">
        <f t="shared" si="2"/>
        <v/>
      </c>
      <c r="H21" s="218" t="str">
        <f t="shared" si="3"/>
        <v/>
      </c>
      <c r="I21" s="218" t="str">
        <f>+IF(cadastro!C29="","",IF(cadastro!C29="COMPLETA",IF(cadastro!E29="","",cadastro!E29),0))</f>
        <v/>
      </c>
      <c r="J21" s="218" t="str">
        <f>+IF(OR(cadastro!B29="",cadastro!C29="COMPLETA"),"",LOOKUP(cadastro!B29,tabelas!AQ:AQ,tabelas!BH:BH))</f>
        <v/>
      </c>
      <c r="K21" s="218" t="str">
        <f t="shared" si="4"/>
        <v/>
      </c>
      <c r="L21" s="218" t="str">
        <f t="shared" si="5"/>
        <v/>
      </c>
      <c r="M21" s="218" t="str">
        <f t="shared" si="66"/>
        <v/>
      </c>
      <c r="N21" s="218" t="str">
        <f t="shared" si="67"/>
        <v/>
      </c>
      <c r="O21" s="218" t="str">
        <f t="shared" si="6"/>
        <v/>
      </c>
      <c r="P21" s="218" t="str">
        <f t="shared" si="7"/>
        <v/>
      </c>
      <c r="Q21" s="220" t="str">
        <f t="shared" si="8"/>
        <v/>
      </c>
      <c r="R21" s="218" t="str">
        <f t="shared" si="9"/>
        <v/>
      </c>
      <c r="S21" s="220" t="str">
        <f t="shared" si="10"/>
        <v/>
      </c>
      <c r="T21" s="218" t="str">
        <f t="shared" si="11"/>
        <v/>
      </c>
      <c r="U21" s="218">
        <f>+IF(OR(C21="SIMPLIFICADA",cadastro!G29=""),0,cadastro!G29)</f>
        <v>0</v>
      </c>
      <c r="V21" s="218">
        <f>+IF(cadastro!F29="",0,cadastro!F29)</f>
        <v>0</v>
      </c>
      <c r="W21" s="218" t="str">
        <f t="shared" si="68"/>
        <v/>
      </c>
      <c r="X21" s="218" t="str">
        <f t="shared" si="69"/>
        <v/>
      </c>
      <c r="Y21" s="218" t="str">
        <f>+IF(cadastro!H29="","",cadastro!H29)</f>
        <v/>
      </c>
      <c r="Z21" s="218" t="str">
        <f>+IF(cadastro!J29="","",IF(LEFT(AB21,1)="R",-1,1)*cadastro!J29)</f>
        <v/>
      </c>
      <c r="AA21" s="218" t="str">
        <f t="shared" si="12"/>
        <v/>
      </c>
      <c r="AB21" s="217" t="str">
        <f t="shared" si="13"/>
        <v/>
      </c>
      <c r="AC21" s="218" t="str">
        <f t="shared" si="14"/>
        <v/>
      </c>
      <c r="AD21" s="217" t="str">
        <f t="shared" si="15"/>
        <v/>
      </c>
      <c r="AE21" s="217" t="str">
        <f t="shared" si="70"/>
        <v/>
      </c>
      <c r="AF21" s="216" t="str">
        <f t="shared" si="16"/>
        <v/>
      </c>
      <c r="AG21" s="216" t="str">
        <f t="shared" si="71"/>
        <v/>
      </c>
      <c r="AH21" s="26"/>
      <c r="AI21" s="216" t="str">
        <f>+IF(B21="","",LOOKUP(B21,tabelas!AQ:AQ,tabelas!AR:AR))</f>
        <v/>
      </c>
      <c r="AJ21" s="371" t="str">
        <f>+IF(B21="","",LOOKUP(B21,tabelas!AQ:AQ,tabelas!AT:AT))</f>
        <v/>
      </c>
      <c r="AK21" s="219" t="str">
        <f>+IF(B21="","",LOOKUP(B21,tabelas!AQ:AQ,tabelas!AS:AS))</f>
        <v/>
      </c>
      <c r="AL21" s="371" t="str">
        <f>+IF(B21="","",LOOKUP(B21,tabelas!AQ:AQ,tabelas!AU:AU))</f>
        <v/>
      </c>
      <c r="AM21" s="371" t="str">
        <f>+IF(B21="","",LOOKUP(B21,tabelas!AQ:AQ,tabelas!AW:AW))</f>
        <v/>
      </c>
      <c r="AN21" s="219" t="str">
        <f>+IF(B21="","",LOOKUP(B21,tabelas!AQ:AQ,tabelas!AV:AV))</f>
        <v/>
      </c>
      <c r="AO21" s="371" t="str">
        <f>+IF(B21="","",LOOKUP(B21,tabelas!AQ:AQ,tabelas!AX:AX))</f>
        <v/>
      </c>
      <c r="AP21" s="371" t="str">
        <f>+IF(B21="","",LOOKUP(B21,tabelas!AQ:AQ,tabelas!AZ:AZ))</f>
        <v/>
      </c>
      <c r="AQ21" s="219" t="str">
        <f>+IF(B21="","",LOOKUP(B21,tabelas!AQ:AQ,tabelas!AY:AY))</f>
        <v/>
      </c>
      <c r="AR21" s="371" t="str">
        <f>+IF(B21="","",LOOKUP(B21,tabelas!AQ:AQ,tabelas!BA:BA))</f>
        <v/>
      </c>
      <c r="AS21" s="371" t="str">
        <f>+IF(B21="","",LOOKUP(B21,tabelas!AQ:AQ,tabelas!BC:BC))</f>
        <v/>
      </c>
      <c r="AT21" s="219" t="str">
        <f>+IF(B21="","",LOOKUP(B21,tabelas!AQ:AQ,tabelas!BB:BB))</f>
        <v/>
      </c>
      <c r="AU21" s="371" t="str">
        <f>+IF(B21="","",LOOKUP(B21,tabelas!AQ:AQ,tabelas!BD:BD))</f>
        <v/>
      </c>
      <c r="AV21" s="371" t="str">
        <f>+IF(B21="","",LOOKUP(B21,tabelas!AQ:AQ,tabelas!BF:BF))</f>
        <v/>
      </c>
      <c r="AW21" s="219" t="str">
        <f>+IF(B21="","",LOOKUP(B21,tabelas!AQ:AQ,tabelas!BE:BE))</f>
        <v/>
      </c>
      <c r="AX21" s="371" t="str">
        <f>+IF(B21="","",LOOKUP(B21,tabelas!AQ:AQ,tabelas!BG:BG))</f>
        <v/>
      </c>
      <c r="AY21" s="26"/>
      <c r="AZ21" s="38">
        <v>16</v>
      </c>
      <c r="BA21" s="225" t="str">
        <f t="shared" si="72"/>
        <v/>
      </c>
      <c r="BB21" s="225" t="str">
        <f t="shared" si="73"/>
        <v/>
      </c>
      <c r="BC21" s="26"/>
      <c r="BD21" s="221" t="str">
        <f t="shared" si="17"/>
        <v/>
      </c>
      <c r="BE21" s="227" t="str">
        <f t="shared" si="74"/>
        <v/>
      </c>
      <c r="BF21" s="228" t="str">
        <f t="shared" si="18"/>
        <v/>
      </c>
      <c r="BG21" s="228" t="str">
        <f t="shared" si="19"/>
        <v/>
      </c>
      <c r="BH21" s="228" t="str">
        <f t="shared" si="20"/>
        <v/>
      </c>
      <c r="BI21" s="228" t="str">
        <f t="shared" si="21"/>
        <v/>
      </c>
      <c r="BJ21" s="219" t="str">
        <f t="shared" si="22"/>
        <v/>
      </c>
      <c r="BK21" s="217" t="str">
        <f t="shared" si="23"/>
        <v/>
      </c>
      <c r="BL21" s="228" t="str">
        <f t="shared" si="24"/>
        <v/>
      </c>
      <c r="BM21" s="228" t="str">
        <f t="shared" si="25"/>
        <v/>
      </c>
      <c r="BN21" s="217" t="str">
        <f t="shared" si="26"/>
        <v/>
      </c>
      <c r="BO21" s="228" t="str">
        <f t="shared" si="27"/>
        <v/>
      </c>
      <c r="BP21" s="228" t="str">
        <f t="shared" si="28"/>
        <v/>
      </c>
      <c r="BQ21" s="228" t="str">
        <f t="shared" si="29"/>
        <v/>
      </c>
      <c r="BR21" s="26"/>
      <c r="BS21" s="216" t="str">
        <f>+IF(BD21="","",LOOKUP(BD21,tabelas!AQ:AQ,tabelas!AR:AR))</f>
        <v/>
      </c>
      <c r="BT21" s="217" t="str">
        <f>+IF(BD21="","",LOOKUP(BD21,tabelas!AQ:AQ,tabelas!AT:AT))</f>
        <v/>
      </c>
      <c r="BU21" s="219" t="str">
        <f>+IF(BD21="","",LOOKUP(BD21,tabelas!AQ:AQ,tabelas!AS:AS))</f>
        <v/>
      </c>
      <c r="BV21" s="217" t="str">
        <f>+IF(BD21="","",LOOKUP(BD21,tabelas!AQ:AQ,tabelas!AU:AU))</f>
        <v/>
      </c>
      <c r="BW21" s="217" t="str">
        <f>+IF(BD21="","",LOOKUP(BD21,tabelas!AQ:AQ,tabelas!AW:AW))</f>
        <v/>
      </c>
      <c r="BX21" s="219" t="str">
        <f>+IF(BD21="","",LOOKUP(BD21,tabelas!AQ:AQ,tabelas!AV:AV))</f>
        <v/>
      </c>
      <c r="BY21" s="217" t="str">
        <f>+IF(BD21="","",LOOKUP(BD21,tabelas!AQ:AQ,tabelas!AX:AX))</f>
        <v/>
      </c>
      <c r="BZ21" s="217" t="str">
        <f>+IF(BD21="","",LOOKUP(BD21,tabelas!AQ:AQ,tabelas!AZ:AZ))</f>
        <v/>
      </c>
      <c r="CA21" s="219" t="str">
        <f>+IF(BD21="","",LOOKUP(BD21,tabelas!AQ:AQ,tabelas!AY:AY))</f>
        <v/>
      </c>
      <c r="CB21" s="217" t="str">
        <f>+IF(BD21="","",LOOKUP(BD21,tabelas!AQ:AQ,tabelas!BA:BA))</f>
        <v/>
      </c>
      <c r="CC21" s="217" t="str">
        <f>+IF(BD21="","",LOOKUP(BD21,tabelas!AQ:AQ,tabelas!BC:BC))</f>
        <v/>
      </c>
      <c r="CD21" s="219" t="str">
        <f>+IF(BD21="","",LOOKUP(BD21,tabelas!AQ:AQ,tabelas!BB:BB))</f>
        <v/>
      </c>
      <c r="CE21" s="217" t="str">
        <f>+IF(BD21="","",LOOKUP(BD21,tabelas!AQ:AQ,tabelas!BD:BD))</f>
        <v/>
      </c>
      <c r="CF21" s="217" t="str">
        <f>+IF(BD21="","",LOOKUP(BD21,tabelas!AQ:AQ,tabelas!BF:BF))</f>
        <v/>
      </c>
      <c r="CG21" s="219" t="str">
        <f>+IF(BD21="","",LOOKUP(BD21,tabelas!AQ:AQ,tabelas!BE:BE))</f>
        <v/>
      </c>
      <c r="CH21" s="217" t="str">
        <f>+IF(BD21="","",LOOKUP(BD21,tabelas!AQ:AQ,tabelas!BG:BG))</f>
        <v/>
      </c>
      <c r="CI21" s="26"/>
      <c r="CJ21" s="221" t="str">
        <f t="shared" si="30"/>
        <v/>
      </c>
      <c r="CK21" s="227" t="str">
        <f t="shared" si="75"/>
        <v/>
      </c>
      <c r="CL21" s="217" t="str">
        <f t="shared" si="31"/>
        <v/>
      </c>
      <c r="CM21" s="217" t="str">
        <f t="shared" si="32"/>
        <v/>
      </c>
      <c r="CN21" s="217" t="str">
        <f t="shared" si="33"/>
        <v/>
      </c>
      <c r="CO21" s="217" t="str">
        <f t="shared" si="34"/>
        <v/>
      </c>
      <c r="CP21" s="217" t="str">
        <f t="shared" si="35"/>
        <v/>
      </c>
      <c r="CQ21" s="217" t="str">
        <f t="shared" si="36"/>
        <v/>
      </c>
      <c r="CR21" s="217" t="str">
        <f t="shared" si="37"/>
        <v/>
      </c>
      <c r="CS21" s="217" t="str">
        <f t="shared" si="38"/>
        <v/>
      </c>
      <c r="CT21" s="228" t="str">
        <f t="shared" si="39"/>
        <v/>
      </c>
      <c r="CU21" s="217" t="str">
        <f t="shared" si="40"/>
        <v/>
      </c>
      <c r="CV21" s="223" t="str">
        <f t="shared" si="41"/>
        <v/>
      </c>
      <c r="CW21" s="229" t="str">
        <f t="shared" si="42"/>
        <v/>
      </c>
      <c r="CX21" s="223" t="str">
        <f t="shared" si="43"/>
        <v/>
      </c>
      <c r="CY21" s="229" t="str">
        <f t="shared" si="44"/>
        <v/>
      </c>
      <c r="CZ21" s="228" t="str">
        <f t="shared" si="45"/>
        <v/>
      </c>
      <c r="DA21" s="228" t="str">
        <f t="shared" si="46"/>
        <v/>
      </c>
      <c r="DB21" s="230" t="str">
        <f t="shared" si="47"/>
        <v/>
      </c>
      <c r="DC21" s="217" t="str">
        <f t="shared" si="48"/>
        <v/>
      </c>
      <c r="DD21" s="228" t="str">
        <f t="shared" si="49"/>
        <v/>
      </c>
      <c r="DE21" s="228" t="str">
        <f t="shared" si="50"/>
        <v/>
      </c>
      <c r="DF21" s="228" t="str">
        <f t="shared" si="51"/>
        <v/>
      </c>
      <c r="DG21" s="217" t="str">
        <f t="shared" si="52"/>
        <v/>
      </c>
      <c r="DH21" s="217" t="str">
        <f t="shared" si="53"/>
        <v/>
      </c>
      <c r="DI21" s="217" t="str">
        <f t="shared" si="54"/>
        <v/>
      </c>
      <c r="DJ21" s="26"/>
      <c r="DK21" s="216" t="str">
        <f>+IF(CJ21="","",LOOKUP(CJ21,tabelas!AQ:AQ,tabelas!AR:AR))</f>
        <v/>
      </c>
      <c r="DL21" s="217" t="str">
        <f>+IF(CJ21="","",LOOKUP(CJ21,tabelas!AQ:AQ,tabelas!AT:AT))</f>
        <v/>
      </c>
      <c r="DM21" s="219" t="str">
        <f>+IF(CJ21="","",LOOKUP(CJ21,tabelas!AQ:AQ,tabelas!AS:AS))</f>
        <v/>
      </c>
      <c r="DN21" s="217" t="str">
        <f>+IF(CJ21="","",LOOKUP(CJ21,tabelas!AQ:AQ,tabelas!AU:AU))</f>
        <v/>
      </c>
      <c r="DO21" s="217" t="str">
        <f>+IF(CJ21="","",LOOKUP(CJ21,tabelas!AQ:AQ,tabelas!AW:AW))</f>
        <v/>
      </c>
      <c r="DP21" s="219" t="str">
        <f>+IF(CJ21="","",LOOKUP(CJ21,tabelas!AQ:AQ,tabelas!AV:AV))</f>
        <v/>
      </c>
      <c r="DQ21" s="217" t="str">
        <f>+IF(CJ21="","",LOOKUP(CJ21,tabelas!AQ:AQ,tabelas!AX:AX))</f>
        <v/>
      </c>
      <c r="DR21" s="217" t="str">
        <f>+IF(CJ21="","",LOOKUP(CJ21,tabelas!AQ:AQ,tabelas!AZ:AZ))</f>
        <v/>
      </c>
      <c r="DS21" s="219" t="str">
        <f>+IF(CJ21="","",LOOKUP(CJ21,tabelas!AQ:AQ,tabelas!AY:AY))</f>
        <v/>
      </c>
      <c r="DT21" s="217" t="str">
        <f>+IF(CJ21="","",LOOKUP(CJ21,tabelas!AQ:AQ,tabelas!BA:BA))</f>
        <v/>
      </c>
      <c r="DU21" s="217" t="str">
        <f>+IF(CJ21="","",LOOKUP(CJ21,tabelas!AQ:AQ,tabelas!BC:BC))</f>
        <v/>
      </c>
      <c r="DV21" s="219" t="str">
        <f>+IF(CJ21="","",LOOKUP(CJ21,tabelas!AQ:AQ,tabelas!BB:BB))</f>
        <v/>
      </c>
      <c r="DW21" s="217" t="str">
        <f>+IF(CJ21="","",LOOKUP(CJ21,tabelas!AQ:AQ,tabelas!BD:BD))</f>
        <v/>
      </c>
      <c r="DX21" s="217" t="str">
        <f>+IF(CJ21="","",LOOKUP(CJ21,tabelas!AQ:AQ,tabelas!BF:BF))</f>
        <v/>
      </c>
      <c r="DY21" s="219" t="str">
        <f>+IF(CJ21="","",LOOKUP(CJ21,tabelas!AQ:AQ,tabelas!BE:BE))</f>
        <v/>
      </c>
      <c r="DZ21" s="217" t="str">
        <f>+IF(CJ21="","",LOOKUP(CJ21,tabelas!AQ:AQ,tabelas!BG:BG))</f>
        <v/>
      </c>
      <c r="EA21" s="26"/>
      <c r="EB21" s="326" t="str">
        <f>+IF(CJ21="","",LOOKUP(CJ21,tabelas!AQ:AQ,tabelas!BI:BI))</f>
        <v/>
      </c>
      <c r="EC21" s="222" t="str">
        <f t="shared" si="55"/>
        <v/>
      </c>
      <c r="ED21" s="231" t="str">
        <f t="shared" si="56"/>
        <v/>
      </c>
      <c r="EE21" s="222" t="str">
        <f>+IF(CJ21="","",IF(AND(ROUND(CJ21,0)&gt;1991,ROUND(CJ21,0)&lt;1995),LOOKUP(DATE(ROUND(CJ21,0)+1,5,1),tabelas!CC:CC,tabelas!CD:CD),""))</f>
        <v/>
      </c>
      <c r="EF21" s="222" t="str">
        <f t="shared" si="57"/>
        <v/>
      </c>
      <c r="EG21" s="26"/>
      <c r="EH21" s="233" t="str">
        <f t="shared" si="58"/>
        <v/>
      </c>
      <c r="EI21" s="246" t="str">
        <f t="shared" si="76"/>
        <v/>
      </c>
      <c r="EJ21" s="26"/>
      <c r="EK21" s="221" t="str">
        <f t="shared" si="77"/>
        <v/>
      </c>
      <c r="EL21" s="235" t="str">
        <f t="shared" si="59"/>
        <v/>
      </c>
      <c r="EM21" s="229" t="str">
        <f t="shared" si="60"/>
        <v/>
      </c>
      <c r="EN21" s="236" t="str">
        <f>+IF(EL21="","",LOOKUP(EL21,tabelas!CN:CN,tabelas!CO:CO)/IND_CM_DIST)</f>
        <v/>
      </c>
      <c r="EO21" s="229" t="str">
        <f t="shared" si="78"/>
        <v/>
      </c>
      <c r="EP21" s="237" t="str">
        <f>+IF(EL21="","",LOOKUP(EDATE(EL21,0),tabelas!CQ:CQ,tabelas!CR:CR)-IND_JR_DIST)</f>
        <v/>
      </c>
      <c r="EQ21" s="229" t="str">
        <f t="shared" si="61"/>
        <v/>
      </c>
      <c r="ER21" s="229" t="str">
        <f t="shared" si="79"/>
        <v/>
      </c>
      <c r="ES21" s="26"/>
      <c r="ET21" s="532"/>
      <c r="EU21" s="532"/>
      <c r="EV21" s="26"/>
      <c r="EW21" s="26"/>
      <c r="EX21" s="328" t="str">
        <f t="shared" si="62"/>
        <v/>
      </c>
      <c r="EY21" s="246" t="str">
        <f t="shared" si="80"/>
        <v/>
      </c>
      <c r="EZ21" s="26"/>
      <c r="FA21" s="221" t="str">
        <f t="shared" si="81"/>
        <v/>
      </c>
      <c r="FB21" s="330" t="str">
        <f t="shared" si="63"/>
        <v/>
      </c>
      <c r="FC21" s="229" t="str">
        <f t="shared" si="64"/>
        <v/>
      </c>
      <c r="FD21" s="236" t="str">
        <f>+IF(FB21="","",LOOKUP(FB21,tabelas!CN:CN,tabelas!CO:CO)/IND_CM_FIM)</f>
        <v/>
      </c>
      <c r="FE21" s="229" t="str">
        <f t="shared" si="82"/>
        <v/>
      </c>
      <c r="FF21" s="237" t="str">
        <f>+IF(FB21="","",LOOKUP(EDATE(FB21,0),tabelas!CQ:CQ,tabelas!CR:CR)-IND_JR_FIM+0.01)</f>
        <v/>
      </c>
      <c r="FG21" s="229" t="str">
        <f t="shared" si="65"/>
        <v/>
      </c>
      <c r="FH21" s="229" t="str">
        <f t="shared" si="83"/>
        <v/>
      </c>
      <c r="FJ21" s="534" t="str">
        <f ca="1">+IF(cadastro!T18="SIM",CONCATENATE("O cálculo não pode ser atualizado para ",TEXT(DAT_FIM,"mmm-aaaa")," ,pois uma das declarações digitadas tem correção monetária iniciada em data posterior (",TEXT(cadastro!T17,"mmm-aaaa")," referente ao ano-calendário: ",TEXT(YEAR(cadastro!T17)-1,"####"),")."),"")</f>
        <v/>
      </c>
      <c r="FK21" s="534"/>
      <c r="FL21" s="534"/>
    </row>
    <row r="22" spans="2:168" ht="18" customHeight="1">
      <c r="B22" s="216" t="str">
        <f>+IF(cadastro!B30="","",cadastro!B30)</f>
        <v/>
      </c>
      <c r="C22" s="217" t="str">
        <f>+IF(cadastro!C30="","",cadastro!C30)</f>
        <v/>
      </c>
      <c r="D22" s="218" t="str">
        <f>+IF(cadastro!D30="","",cadastro!D30)</f>
        <v/>
      </c>
      <c r="E22" s="218" t="str">
        <f t="shared" si="0"/>
        <v/>
      </c>
      <c r="F22" s="218" t="str">
        <f t="shared" si="1"/>
        <v/>
      </c>
      <c r="G22" s="218" t="str">
        <f t="shared" si="2"/>
        <v/>
      </c>
      <c r="H22" s="218" t="str">
        <f t="shared" si="3"/>
        <v/>
      </c>
      <c r="I22" s="218" t="str">
        <f>+IF(cadastro!C30="","",IF(cadastro!C30="COMPLETA",IF(cadastro!E30="","",cadastro!E30),0))</f>
        <v/>
      </c>
      <c r="J22" s="218" t="str">
        <f>+IF(OR(cadastro!B30="",cadastro!C30="COMPLETA"),"",LOOKUP(cadastro!B30,tabelas!AQ:AQ,tabelas!BH:BH))</f>
        <v/>
      </c>
      <c r="K22" s="218" t="str">
        <f t="shared" si="4"/>
        <v/>
      </c>
      <c r="L22" s="218" t="str">
        <f t="shared" si="5"/>
        <v/>
      </c>
      <c r="M22" s="218" t="str">
        <f t="shared" si="66"/>
        <v/>
      </c>
      <c r="N22" s="218" t="str">
        <f t="shared" si="67"/>
        <v/>
      </c>
      <c r="O22" s="218" t="str">
        <f t="shared" si="6"/>
        <v/>
      </c>
      <c r="P22" s="218" t="str">
        <f t="shared" si="7"/>
        <v/>
      </c>
      <c r="Q22" s="220" t="str">
        <f t="shared" si="8"/>
        <v/>
      </c>
      <c r="R22" s="218" t="str">
        <f t="shared" si="9"/>
        <v/>
      </c>
      <c r="S22" s="220" t="str">
        <f t="shared" si="10"/>
        <v/>
      </c>
      <c r="T22" s="218" t="str">
        <f t="shared" si="11"/>
        <v/>
      </c>
      <c r="U22" s="218">
        <f>+IF(OR(C22="SIMPLIFICADA",cadastro!G30=""),0,cadastro!G30)</f>
        <v>0</v>
      </c>
      <c r="V22" s="218">
        <f>+IF(cadastro!F30="",0,cadastro!F30)</f>
        <v>0</v>
      </c>
      <c r="W22" s="218" t="str">
        <f t="shared" si="68"/>
        <v/>
      </c>
      <c r="X22" s="218" t="str">
        <f t="shared" si="69"/>
        <v/>
      </c>
      <c r="Y22" s="218" t="str">
        <f>+IF(cadastro!H30="","",cadastro!H30)</f>
        <v/>
      </c>
      <c r="Z22" s="218" t="str">
        <f>+IF(cadastro!J30="","",IF(LEFT(AB22,1)="R",-1,1)*cadastro!J30)</f>
        <v/>
      </c>
      <c r="AA22" s="218" t="str">
        <f t="shared" si="12"/>
        <v/>
      </c>
      <c r="AB22" s="217" t="str">
        <f t="shared" si="13"/>
        <v/>
      </c>
      <c r="AC22" s="218" t="str">
        <f t="shared" si="14"/>
        <v/>
      </c>
      <c r="AD22" s="217" t="str">
        <f t="shared" si="15"/>
        <v/>
      </c>
      <c r="AE22" s="217" t="str">
        <f t="shared" si="70"/>
        <v/>
      </c>
      <c r="AF22" s="216" t="str">
        <f t="shared" si="16"/>
        <v/>
      </c>
      <c r="AG22" s="216" t="str">
        <f t="shared" si="71"/>
        <v/>
      </c>
      <c r="AH22" s="26"/>
      <c r="AI22" s="216" t="str">
        <f>+IF(B22="","",LOOKUP(B22,tabelas!AQ:AQ,tabelas!AR:AR))</f>
        <v/>
      </c>
      <c r="AJ22" s="371" t="str">
        <f>+IF(B22="","",LOOKUP(B22,tabelas!AQ:AQ,tabelas!AT:AT))</f>
        <v/>
      </c>
      <c r="AK22" s="219" t="str">
        <f>+IF(B22="","",LOOKUP(B22,tabelas!AQ:AQ,tabelas!AS:AS))</f>
        <v/>
      </c>
      <c r="AL22" s="371" t="str">
        <f>+IF(B22="","",LOOKUP(B22,tabelas!AQ:AQ,tabelas!AU:AU))</f>
        <v/>
      </c>
      <c r="AM22" s="371" t="str">
        <f>+IF(B22="","",LOOKUP(B22,tabelas!AQ:AQ,tabelas!AW:AW))</f>
        <v/>
      </c>
      <c r="AN22" s="219" t="str">
        <f>+IF(B22="","",LOOKUP(B22,tabelas!AQ:AQ,tabelas!AV:AV))</f>
        <v/>
      </c>
      <c r="AO22" s="371" t="str">
        <f>+IF(B22="","",LOOKUP(B22,tabelas!AQ:AQ,tabelas!AX:AX))</f>
        <v/>
      </c>
      <c r="AP22" s="371" t="str">
        <f>+IF(B22="","",LOOKUP(B22,tabelas!AQ:AQ,tabelas!AZ:AZ))</f>
        <v/>
      </c>
      <c r="AQ22" s="219" t="str">
        <f>+IF(B22="","",LOOKUP(B22,tabelas!AQ:AQ,tabelas!AY:AY))</f>
        <v/>
      </c>
      <c r="AR22" s="371" t="str">
        <f>+IF(B22="","",LOOKUP(B22,tabelas!AQ:AQ,tabelas!BA:BA))</f>
        <v/>
      </c>
      <c r="AS22" s="371" t="str">
        <f>+IF(B22="","",LOOKUP(B22,tabelas!AQ:AQ,tabelas!BC:BC))</f>
        <v/>
      </c>
      <c r="AT22" s="219" t="str">
        <f>+IF(B22="","",LOOKUP(B22,tabelas!AQ:AQ,tabelas!BB:BB))</f>
        <v/>
      </c>
      <c r="AU22" s="371" t="str">
        <f>+IF(B22="","",LOOKUP(B22,tabelas!AQ:AQ,tabelas!BD:BD))</f>
        <v/>
      </c>
      <c r="AV22" s="371" t="str">
        <f>+IF(B22="","",LOOKUP(B22,tabelas!AQ:AQ,tabelas!BF:BF))</f>
        <v/>
      </c>
      <c r="AW22" s="219" t="str">
        <f>+IF(B22="","",LOOKUP(B22,tabelas!AQ:AQ,tabelas!BE:BE))</f>
        <v/>
      </c>
      <c r="AX22" s="371" t="str">
        <f>+IF(B22="","",LOOKUP(B22,tabelas!AQ:AQ,tabelas!BG:BG))</f>
        <v/>
      </c>
      <c r="AY22" s="26"/>
      <c r="AZ22" s="38">
        <v>17</v>
      </c>
      <c r="BA22" s="225" t="str">
        <f t="shared" si="72"/>
        <v/>
      </c>
      <c r="BB22" s="225" t="str">
        <f t="shared" si="73"/>
        <v/>
      </c>
      <c r="BC22" s="26"/>
      <c r="BD22" s="221" t="str">
        <f t="shared" si="17"/>
        <v/>
      </c>
      <c r="BE22" s="227" t="str">
        <f t="shared" si="74"/>
        <v/>
      </c>
      <c r="BF22" s="228" t="str">
        <f t="shared" si="18"/>
        <v/>
      </c>
      <c r="BG22" s="228" t="str">
        <f t="shared" si="19"/>
        <v/>
      </c>
      <c r="BH22" s="228" t="str">
        <f t="shared" si="20"/>
        <v/>
      </c>
      <c r="BI22" s="228" t="str">
        <f t="shared" si="21"/>
        <v/>
      </c>
      <c r="BJ22" s="219" t="str">
        <f t="shared" si="22"/>
        <v/>
      </c>
      <c r="BK22" s="217" t="str">
        <f t="shared" si="23"/>
        <v/>
      </c>
      <c r="BL22" s="228" t="str">
        <f t="shared" si="24"/>
        <v/>
      </c>
      <c r="BM22" s="228" t="str">
        <f t="shared" si="25"/>
        <v/>
      </c>
      <c r="BN22" s="217" t="str">
        <f t="shared" si="26"/>
        <v/>
      </c>
      <c r="BO22" s="228" t="str">
        <f t="shared" si="27"/>
        <v/>
      </c>
      <c r="BP22" s="228" t="str">
        <f t="shared" si="28"/>
        <v/>
      </c>
      <c r="BQ22" s="228" t="str">
        <f t="shared" si="29"/>
        <v/>
      </c>
      <c r="BR22" s="26"/>
      <c r="BS22" s="216" t="str">
        <f>+IF(BD22="","",LOOKUP(BD22,tabelas!AQ:AQ,tabelas!AR:AR))</f>
        <v/>
      </c>
      <c r="BT22" s="217" t="str">
        <f>+IF(BD22="","",LOOKUP(BD22,tabelas!AQ:AQ,tabelas!AT:AT))</f>
        <v/>
      </c>
      <c r="BU22" s="219" t="str">
        <f>+IF(BD22="","",LOOKUP(BD22,tabelas!AQ:AQ,tabelas!AS:AS))</f>
        <v/>
      </c>
      <c r="BV22" s="217" t="str">
        <f>+IF(BD22="","",LOOKUP(BD22,tabelas!AQ:AQ,tabelas!AU:AU))</f>
        <v/>
      </c>
      <c r="BW22" s="217" t="str">
        <f>+IF(BD22="","",LOOKUP(BD22,tabelas!AQ:AQ,tabelas!AW:AW))</f>
        <v/>
      </c>
      <c r="BX22" s="219" t="str">
        <f>+IF(BD22="","",LOOKUP(BD22,tabelas!AQ:AQ,tabelas!AV:AV))</f>
        <v/>
      </c>
      <c r="BY22" s="217" t="str">
        <f>+IF(BD22="","",LOOKUP(BD22,tabelas!AQ:AQ,tabelas!AX:AX))</f>
        <v/>
      </c>
      <c r="BZ22" s="217" t="str">
        <f>+IF(BD22="","",LOOKUP(BD22,tabelas!AQ:AQ,tabelas!AZ:AZ))</f>
        <v/>
      </c>
      <c r="CA22" s="219" t="str">
        <f>+IF(BD22="","",LOOKUP(BD22,tabelas!AQ:AQ,tabelas!AY:AY))</f>
        <v/>
      </c>
      <c r="CB22" s="217" t="str">
        <f>+IF(BD22="","",LOOKUP(BD22,tabelas!AQ:AQ,tabelas!BA:BA))</f>
        <v/>
      </c>
      <c r="CC22" s="217" t="str">
        <f>+IF(BD22="","",LOOKUP(BD22,tabelas!AQ:AQ,tabelas!BC:BC))</f>
        <v/>
      </c>
      <c r="CD22" s="219" t="str">
        <f>+IF(BD22="","",LOOKUP(BD22,tabelas!AQ:AQ,tabelas!BB:BB))</f>
        <v/>
      </c>
      <c r="CE22" s="217" t="str">
        <f>+IF(BD22="","",LOOKUP(BD22,tabelas!AQ:AQ,tabelas!BD:BD))</f>
        <v/>
      </c>
      <c r="CF22" s="217" t="str">
        <f>+IF(BD22="","",LOOKUP(BD22,tabelas!AQ:AQ,tabelas!BF:BF))</f>
        <v/>
      </c>
      <c r="CG22" s="219" t="str">
        <f>+IF(BD22="","",LOOKUP(BD22,tabelas!AQ:AQ,tabelas!BE:BE))</f>
        <v/>
      </c>
      <c r="CH22" s="217" t="str">
        <f>+IF(BD22="","",LOOKUP(BD22,tabelas!AQ:AQ,tabelas!BG:BG))</f>
        <v/>
      </c>
      <c r="CI22" s="26"/>
      <c r="CJ22" s="221" t="str">
        <f t="shared" si="30"/>
        <v/>
      </c>
      <c r="CK22" s="227" t="str">
        <f t="shared" si="75"/>
        <v/>
      </c>
      <c r="CL22" s="217" t="str">
        <f t="shared" si="31"/>
        <v/>
      </c>
      <c r="CM22" s="217" t="str">
        <f t="shared" si="32"/>
        <v/>
      </c>
      <c r="CN22" s="217" t="str">
        <f t="shared" si="33"/>
        <v/>
      </c>
      <c r="CO22" s="217" t="str">
        <f t="shared" si="34"/>
        <v/>
      </c>
      <c r="CP22" s="217" t="str">
        <f t="shared" si="35"/>
        <v/>
      </c>
      <c r="CQ22" s="217" t="str">
        <f t="shared" si="36"/>
        <v/>
      </c>
      <c r="CR22" s="217" t="str">
        <f t="shared" si="37"/>
        <v/>
      </c>
      <c r="CS22" s="217" t="str">
        <f t="shared" si="38"/>
        <v/>
      </c>
      <c r="CT22" s="228" t="str">
        <f t="shared" si="39"/>
        <v/>
      </c>
      <c r="CU22" s="217" t="str">
        <f t="shared" si="40"/>
        <v/>
      </c>
      <c r="CV22" s="219" t="str">
        <f t="shared" si="41"/>
        <v/>
      </c>
      <c r="CW22" s="217" t="str">
        <f t="shared" si="42"/>
        <v/>
      </c>
      <c r="CX22" s="219" t="str">
        <f t="shared" si="43"/>
        <v/>
      </c>
      <c r="CY22" s="217" t="str">
        <f t="shared" si="44"/>
        <v/>
      </c>
      <c r="CZ22" s="217" t="str">
        <f t="shared" si="45"/>
        <v/>
      </c>
      <c r="DA22" s="217" t="str">
        <f t="shared" si="46"/>
        <v/>
      </c>
      <c r="DB22" s="217" t="str">
        <f t="shared" si="47"/>
        <v/>
      </c>
      <c r="DC22" s="217" t="str">
        <f t="shared" si="48"/>
        <v/>
      </c>
      <c r="DD22" s="228" t="str">
        <f t="shared" si="49"/>
        <v/>
      </c>
      <c r="DE22" s="228" t="str">
        <f t="shared" si="50"/>
        <v/>
      </c>
      <c r="DF22" s="228" t="str">
        <f t="shared" si="51"/>
        <v/>
      </c>
      <c r="DG22" s="217" t="str">
        <f t="shared" si="52"/>
        <v/>
      </c>
      <c r="DH22" s="217" t="str">
        <f t="shared" si="53"/>
        <v/>
      </c>
      <c r="DI22" s="217" t="str">
        <f t="shared" si="54"/>
        <v/>
      </c>
      <c r="DJ22" s="26"/>
      <c r="DK22" s="216" t="str">
        <f>+IF(CJ22="","",LOOKUP(CJ22,tabelas!AQ:AQ,tabelas!AR:AR))</f>
        <v/>
      </c>
      <c r="DL22" s="217" t="str">
        <f>+IF(CJ22="","",LOOKUP(CJ22,tabelas!AQ:AQ,tabelas!AT:AT))</f>
        <v/>
      </c>
      <c r="DM22" s="219" t="str">
        <f>+IF(CJ22="","",LOOKUP(CJ22,tabelas!AQ:AQ,tabelas!AS:AS))</f>
        <v/>
      </c>
      <c r="DN22" s="217" t="str">
        <f>+IF(CJ22="","",LOOKUP(CJ22,tabelas!AQ:AQ,tabelas!AU:AU))</f>
        <v/>
      </c>
      <c r="DO22" s="217" t="str">
        <f>+IF(CJ22="","",LOOKUP(CJ22,tabelas!AQ:AQ,tabelas!AW:AW))</f>
        <v/>
      </c>
      <c r="DP22" s="219" t="str">
        <f>+IF(CJ22="","",LOOKUP(CJ22,tabelas!AQ:AQ,tabelas!AV:AV))</f>
        <v/>
      </c>
      <c r="DQ22" s="217" t="str">
        <f>+IF(CJ22="","",LOOKUP(CJ22,tabelas!AQ:AQ,tabelas!AX:AX))</f>
        <v/>
      </c>
      <c r="DR22" s="217" t="str">
        <f>+IF(CJ22="","",LOOKUP(CJ22,tabelas!AQ:AQ,tabelas!AZ:AZ))</f>
        <v/>
      </c>
      <c r="DS22" s="219" t="str">
        <f>+IF(CJ22="","",LOOKUP(CJ22,tabelas!AQ:AQ,tabelas!AY:AY))</f>
        <v/>
      </c>
      <c r="DT22" s="217" t="str">
        <f>+IF(CJ22="","",LOOKUP(CJ22,tabelas!AQ:AQ,tabelas!BA:BA))</f>
        <v/>
      </c>
      <c r="DU22" s="217" t="str">
        <f>+IF(CJ22="","",LOOKUP(CJ22,tabelas!AQ:AQ,tabelas!BC:BC))</f>
        <v/>
      </c>
      <c r="DV22" s="219" t="str">
        <f>+IF(CJ22="","",LOOKUP(CJ22,tabelas!AQ:AQ,tabelas!BB:BB))</f>
        <v/>
      </c>
      <c r="DW22" s="217" t="str">
        <f>+IF(CJ22="","",LOOKUP(CJ22,tabelas!AQ:AQ,tabelas!BD:BD))</f>
        <v/>
      </c>
      <c r="DX22" s="217" t="str">
        <f>+IF(CJ22="","",LOOKUP(CJ22,tabelas!AQ:AQ,tabelas!BF:BF))</f>
        <v/>
      </c>
      <c r="DY22" s="219" t="str">
        <f>+IF(CJ22="","",LOOKUP(CJ22,tabelas!AQ:AQ,tabelas!BE:BE))</f>
        <v/>
      </c>
      <c r="DZ22" s="217" t="str">
        <f>+IF(CJ22="","",LOOKUP(CJ22,tabelas!AQ:AQ,tabelas!BG:BG))</f>
        <v/>
      </c>
      <c r="EA22" s="26"/>
      <c r="EB22" s="326" t="str">
        <f>+IF(CJ22="","",LOOKUP(CJ22,tabelas!AQ:AQ,tabelas!BI:BI))</f>
        <v/>
      </c>
      <c r="EC22" s="222" t="str">
        <f t="shared" si="55"/>
        <v/>
      </c>
      <c r="ED22" s="231" t="str">
        <f t="shared" si="56"/>
        <v/>
      </c>
      <c r="EE22" s="222" t="str">
        <f>+IF(CJ22="","",IF(AND(ROUND(CJ22,0)&gt;1991,ROUND(CJ22,0)&lt;1995),LOOKUP(DATE(ROUND(CJ22,0)+1,5,1),tabelas!CC:CC,tabelas!CD:CD),""))</f>
        <v/>
      </c>
      <c r="EF22" s="222" t="str">
        <f t="shared" si="57"/>
        <v/>
      </c>
      <c r="EG22" s="26"/>
      <c r="EH22" s="233" t="str">
        <f t="shared" si="58"/>
        <v/>
      </c>
      <c r="EI22" s="246" t="str">
        <f t="shared" si="76"/>
        <v/>
      </c>
      <c r="EJ22" s="26"/>
      <c r="EK22" s="216" t="str">
        <f t="shared" si="77"/>
        <v/>
      </c>
      <c r="EL22" s="234" t="str">
        <f t="shared" si="59"/>
        <v/>
      </c>
      <c r="EM22" s="217" t="str">
        <f t="shared" si="60"/>
        <v/>
      </c>
      <c r="EN22" s="236" t="str">
        <f>+IF(EL22="","",LOOKUP(EL22,tabelas!CN:CN,tabelas!CO:CO)/IND_CM_DIST)</f>
        <v/>
      </c>
      <c r="EO22" s="217" t="str">
        <f t="shared" si="78"/>
        <v/>
      </c>
      <c r="EP22" s="237" t="str">
        <f>+IF(EL22="","",LOOKUP(EDATE(EL22,0),tabelas!CQ:CQ,tabelas!CR:CR)-IND_JR_DIST)</f>
        <v/>
      </c>
      <c r="EQ22" s="217" t="str">
        <f t="shared" si="61"/>
        <v/>
      </c>
      <c r="ER22" s="217" t="str">
        <f t="shared" si="79"/>
        <v/>
      </c>
      <c r="ES22" s="26"/>
      <c r="ET22" s="532" t="str">
        <f>+IF(EU13&gt;EU15,"- O valor devido na data da distribuição foi limitado ao teto dos Juizados Federais.","- O valor devido na data da distribuição não foi limitado ao teto dos Juizados Federais.")</f>
        <v>- O valor devido na data da distribuição não foi limitado ao teto dos Juizados Federais.</v>
      </c>
      <c r="EU22" s="532"/>
      <c r="EV22" s="26"/>
      <c r="EW22" s="26"/>
      <c r="EX22" s="328" t="str">
        <f t="shared" si="62"/>
        <v/>
      </c>
      <c r="EY22" s="246" t="str">
        <f t="shared" si="80"/>
        <v/>
      </c>
      <c r="EZ22" s="26"/>
      <c r="FA22" s="221" t="str">
        <f t="shared" si="81"/>
        <v/>
      </c>
      <c r="FB22" s="330" t="str">
        <f t="shared" si="63"/>
        <v/>
      </c>
      <c r="FC22" s="229" t="str">
        <f t="shared" si="64"/>
        <v/>
      </c>
      <c r="FD22" s="236" t="str">
        <f>+IF(FB22="","",LOOKUP(FB22,tabelas!CN:CN,tabelas!CO:CO)/IND_CM_FIM)</f>
        <v/>
      </c>
      <c r="FE22" s="229" t="str">
        <f t="shared" si="82"/>
        <v/>
      </c>
      <c r="FF22" s="237" t="str">
        <f>+IF(FB22="","",LOOKUP(EDATE(FB22,0),tabelas!CQ:CQ,tabelas!CR:CR)-IND_JR_FIM+0.01)</f>
        <v/>
      </c>
      <c r="FG22" s="229" t="str">
        <f t="shared" si="65"/>
        <v/>
      </c>
      <c r="FH22" s="229" t="str">
        <f t="shared" si="83"/>
        <v/>
      </c>
      <c r="FJ22" s="534"/>
      <c r="FK22" s="534"/>
      <c r="FL22" s="534"/>
    </row>
    <row r="23" spans="2:168" ht="18" customHeight="1">
      <c r="B23" s="216" t="str">
        <f>+IF(cadastro!B31="","",cadastro!B31)</f>
        <v/>
      </c>
      <c r="C23" s="217" t="str">
        <f>+IF(cadastro!C31="","",cadastro!C31)</f>
        <v/>
      </c>
      <c r="D23" s="218" t="str">
        <f>+IF(cadastro!D31="","",cadastro!D31)</f>
        <v/>
      </c>
      <c r="E23" s="218" t="str">
        <f t="shared" si="0"/>
        <v/>
      </c>
      <c r="F23" s="218" t="str">
        <f t="shared" si="1"/>
        <v/>
      </c>
      <c r="G23" s="218" t="str">
        <f t="shared" si="2"/>
        <v/>
      </c>
      <c r="H23" s="218" t="str">
        <f t="shared" si="3"/>
        <v/>
      </c>
      <c r="I23" s="218" t="str">
        <f>+IF(cadastro!C31="","",IF(cadastro!C31="COMPLETA",IF(cadastro!E31="","",cadastro!E31),0))</f>
        <v/>
      </c>
      <c r="J23" s="218" t="str">
        <f>+IF(OR(cadastro!B31="",cadastro!C31="COMPLETA"),"",LOOKUP(cadastro!B31,tabelas!AQ:AQ,tabelas!BH:BH))</f>
        <v/>
      </c>
      <c r="K23" s="218" t="str">
        <f t="shared" si="4"/>
        <v/>
      </c>
      <c r="L23" s="218" t="str">
        <f t="shared" si="5"/>
        <v/>
      </c>
      <c r="M23" s="218" t="str">
        <f t="shared" si="66"/>
        <v/>
      </c>
      <c r="N23" s="218" t="str">
        <f t="shared" si="67"/>
        <v/>
      </c>
      <c r="O23" s="218" t="str">
        <f t="shared" si="6"/>
        <v/>
      </c>
      <c r="P23" s="218" t="str">
        <f t="shared" si="7"/>
        <v/>
      </c>
      <c r="Q23" s="220" t="str">
        <f t="shared" si="8"/>
        <v/>
      </c>
      <c r="R23" s="218" t="str">
        <f t="shared" si="9"/>
        <v/>
      </c>
      <c r="S23" s="220" t="str">
        <f t="shared" si="10"/>
        <v/>
      </c>
      <c r="T23" s="218" t="str">
        <f t="shared" si="11"/>
        <v/>
      </c>
      <c r="U23" s="218">
        <f>+IF(OR(C23="SIMPLIFICADA",cadastro!G31=""),0,cadastro!G31)</f>
        <v>0</v>
      </c>
      <c r="V23" s="218">
        <f>+IF(cadastro!F31="",0,cadastro!F31)</f>
        <v>0</v>
      </c>
      <c r="W23" s="218" t="str">
        <f t="shared" si="68"/>
        <v/>
      </c>
      <c r="X23" s="218" t="str">
        <f t="shared" si="69"/>
        <v/>
      </c>
      <c r="Y23" s="218" t="str">
        <f>+IF(cadastro!H31="","",cadastro!H31)</f>
        <v/>
      </c>
      <c r="Z23" s="218" t="str">
        <f>+IF(cadastro!J31="","",IF(LEFT(AB23,1)="R",-1,1)*cadastro!J31)</f>
        <v/>
      </c>
      <c r="AA23" s="218" t="str">
        <f t="shared" si="12"/>
        <v/>
      </c>
      <c r="AB23" s="217" t="str">
        <f t="shared" si="13"/>
        <v/>
      </c>
      <c r="AC23" s="218" t="str">
        <f t="shared" si="14"/>
        <v/>
      </c>
      <c r="AD23" s="217" t="str">
        <f t="shared" si="15"/>
        <v/>
      </c>
      <c r="AE23" s="217" t="str">
        <f t="shared" si="70"/>
        <v/>
      </c>
      <c r="AF23" s="216" t="str">
        <f t="shared" si="16"/>
        <v/>
      </c>
      <c r="AG23" s="216" t="str">
        <f t="shared" si="71"/>
        <v/>
      </c>
      <c r="AH23" s="26"/>
      <c r="AI23" s="216" t="str">
        <f>+IF(B23="","",LOOKUP(B23,tabelas!AQ:AQ,tabelas!AR:AR))</f>
        <v/>
      </c>
      <c r="AJ23" s="371" t="str">
        <f>+IF(B23="","",LOOKUP(B23,tabelas!AQ:AQ,tabelas!AT:AT))</f>
        <v/>
      </c>
      <c r="AK23" s="219" t="str">
        <f>+IF(B23="","",LOOKUP(B23,tabelas!AQ:AQ,tabelas!AS:AS))</f>
        <v/>
      </c>
      <c r="AL23" s="371" t="str">
        <f>+IF(B23="","",LOOKUP(B23,tabelas!AQ:AQ,tabelas!AU:AU))</f>
        <v/>
      </c>
      <c r="AM23" s="371" t="str">
        <f>+IF(B23="","",LOOKUP(B23,tabelas!AQ:AQ,tabelas!AW:AW))</f>
        <v/>
      </c>
      <c r="AN23" s="219" t="str">
        <f>+IF(B23="","",LOOKUP(B23,tabelas!AQ:AQ,tabelas!AV:AV))</f>
        <v/>
      </c>
      <c r="AO23" s="371" t="str">
        <f>+IF(B23="","",LOOKUP(B23,tabelas!AQ:AQ,tabelas!AX:AX))</f>
        <v/>
      </c>
      <c r="AP23" s="371" t="str">
        <f>+IF(B23="","",LOOKUP(B23,tabelas!AQ:AQ,tabelas!AZ:AZ))</f>
        <v/>
      </c>
      <c r="AQ23" s="219" t="str">
        <f>+IF(B23="","",LOOKUP(B23,tabelas!AQ:AQ,tabelas!AY:AY))</f>
        <v/>
      </c>
      <c r="AR23" s="371" t="str">
        <f>+IF(B23="","",LOOKUP(B23,tabelas!AQ:AQ,tabelas!BA:BA))</f>
        <v/>
      </c>
      <c r="AS23" s="371" t="str">
        <f>+IF(B23="","",LOOKUP(B23,tabelas!AQ:AQ,tabelas!BC:BC))</f>
        <v/>
      </c>
      <c r="AT23" s="219" t="str">
        <f>+IF(B23="","",LOOKUP(B23,tabelas!AQ:AQ,tabelas!BB:BB))</f>
        <v/>
      </c>
      <c r="AU23" s="371" t="str">
        <f>+IF(B23="","",LOOKUP(B23,tabelas!AQ:AQ,tabelas!BD:BD))</f>
        <v/>
      </c>
      <c r="AV23" s="371" t="str">
        <f>+IF(B23="","",LOOKUP(B23,tabelas!AQ:AQ,tabelas!BF:BF))</f>
        <v/>
      </c>
      <c r="AW23" s="219" t="str">
        <f>+IF(B23="","",LOOKUP(B23,tabelas!AQ:AQ,tabelas!BE:BE))</f>
        <v/>
      </c>
      <c r="AX23" s="371" t="str">
        <f>+IF(B23="","",LOOKUP(B23,tabelas!AQ:AQ,tabelas!BG:BG))</f>
        <v/>
      </c>
      <c r="AY23" s="26"/>
      <c r="AZ23" s="38">
        <v>18</v>
      </c>
      <c r="BA23" s="225" t="str">
        <f t="shared" si="72"/>
        <v/>
      </c>
      <c r="BB23" s="225" t="str">
        <f t="shared" si="73"/>
        <v/>
      </c>
      <c r="BC23" s="26"/>
      <c r="BD23" s="216" t="str">
        <f t="shared" si="17"/>
        <v/>
      </c>
      <c r="BE23" s="216" t="str">
        <f t="shared" si="74"/>
        <v/>
      </c>
      <c r="BF23" s="217" t="str">
        <f t="shared" si="18"/>
        <v/>
      </c>
      <c r="BG23" s="217" t="str">
        <f t="shared" si="19"/>
        <v/>
      </c>
      <c r="BH23" s="228" t="str">
        <f t="shared" si="20"/>
        <v/>
      </c>
      <c r="BI23" s="228" t="str">
        <f t="shared" si="21"/>
        <v/>
      </c>
      <c r="BJ23" s="219" t="str">
        <f t="shared" si="22"/>
        <v/>
      </c>
      <c r="BK23" s="217" t="str">
        <f t="shared" si="23"/>
        <v/>
      </c>
      <c r="BL23" s="228" t="str">
        <f t="shared" si="24"/>
        <v/>
      </c>
      <c r="BM23" s="228" t="str">
        <f t="shared" si="25"/>
        <v/>
      </c>
      <c r="BN23" s="217" t="str">
        <f t="shared" si="26"/>
        <v/>
      </c>
      <c r="BO23" s="228" t="str">
        <f t="shared" si="27"/>
        <v/>
      </c>
      <c r="BP23" s="228" t="str">
        <f t="shared" si="28"/>
        <v/>
      </c>
      <c r="BQ23" s="228" t="str">
        <f t="shared" si="29"/>
        <v/>
      </c>
      <c r="BR23" s="26"/>
      <c r="BS23" s="216" t="str">
        <f>+IF(BD23="","",LOOKUP(BD23,tabelas!AQ:AQ,tabelas!AR:AR))</f>
        <v/>
      </c>
      <c r="BT23" s="217" t="str">
        <f>+IF(BD23="","",LOOKUP(BD23,tabelas!AQ:AQ,tabelas!AT:AT))</f>
        <v/>
      </c>
      <c r="BU23" s="219" t="str">
        <f>+IF(BD23="","",LOOKUP(BD23,tabelas!AQ:AQ,tabelas!AS:AS))</f>
        <v/>
      </c>
      <c r="BV23" s="217" t="str">
        <f>+IF(BD23="","",LOOKUP(BD23,tabelas!AQ:AQ,tabelas!AU:AU))</f>
        <v/>
      </c>
      <c r="BW23" s="217" t="str">
        <f>+IF(BD23="","",LOOKUP(BD23,tabelas!AQ:AQ,tabelas!AW:AW))</f>
        <v/>
      </c>
      <c r="BX23" s="219" t="str">
        <f>+IF(BD23="","",LOOKUP(BD23,tabelas!AQ:AQ,tabelas!AV:AV))</f>
        <v/>
      </c>
      <c r="BY23" s="217" t="str">
        <f>+IF(BD23="","",LOOKUP(BD23,tabelas!AQ:AQ,tabelas!AX:AX))</f>
        <v/>
      </c>
      <c r="BZ23" s="217" t="str">
        <f>+IF(BD23="","",LOOKUP(BD23,tabelas!AQ:AQ,tabelas!AZ:AZ))</f>
        <v/>
      </c>
      <c r="CA23" s="219" t="str">
        <f>+IF(BD23="","",LOOKUP(BD23,tabelas!AQ:AQ,tabelas!AY:AY))</f>
        <v/>
      </c>
      <c r="CB23" s="217" t="str">
        <f>+IF(BD23="","",LOOKUP(BD23,tabelas!AQ:AQ,tabelas!BA:BA))</f>
        <v/>
      </c>
      <c r="CC23" s="217" t="str">
        <f>+IF(BD23="","",LOOKUP(BD23,tabelas!AQ:AQ,tabelas!BC:BC))</f>
        <v/>
      </c>
      <c r="CD23" s="219" t="str">
        <f>+IF(BD23="","",LOOKUP(BD23,tabelas!AQ:AQ,tabelas!BB:BB))</f>
        <v/>
      </c>
      <c r="CE23" s="217" t="str">
        <f>+IF(BD23="","",LOOKUP(BD23,tabelas!AQ:AQ,tabelas!BD:BD))</f>
        <v/>
      </c>
      <c r="CF23" s="217" t="str">
        <f>+IF(BD23="","",LOOKUP(BD23,tabelas!AQ:AQ,tabelas!BF:BF))</f>
        <v/>
      </c>
      <c r="CG23" s="219" t="str">
        <f>+IF(BD23="","",LOOKUP(BD23,tabelas!AQ:AQ,tabelas!BE:BE))</f>
        <v/>
      </c>
      <c r="CH23" s="217" t="str">
        <f>+IF(BD23="","",LOOKUP(BD23,tabelas!AQ:AQ,tabelas!BG:BG))</f>
        <v/>
      </c>
      <c r="CI23" s="26"/>
      <c r="CJ23" s="216" t="str">
        <f t="shared" si="30"/>
        <v/>
      </c>
      <c r="CK23" s="216" t="str">
        <f t="shared" si="75"/>
        <v/>
      </c>
      <c r="CL23" s="217" t="str">
        <f t="shared" si="31"/>
        <v/>
      </c>
      <c r="CM23" s="217" t="str">
        <f t="shared" si="32"/>
        <v/>
      </c>
      <c r="CN23" s="217" t="str">
        <f t="shared" si="33"/>
        <v/>
      </c>
      <c r="CO23" s="217" t="str">
        <f t="shared" si="34"/>
        <v/>
      </c>
      <c r="CP23" s="217" t="str">
        <f t="shared" si="35"/>
        <v/>
      </c>
      <c r="CQ23" s="217" t="str">
        <f t="shared" si="36"/>
        <v/>
      </c>
      <c r="CR23" s="217" t="str">
        <f t="shared" si="37"/>
        <v/>
      </c>
      <c r="CS23" s="217" t="str">
        <f t="shared" si="38"/>
        <v/>
      </c>
      <c r="CT23" s="228" t="str">
        <f t="shared" si="39"/>
        <v/>
      </c>
      <c r="CU23" s="217" t="str">
        <f t="shared" si="40"/>
        <v/>
      </c>
      <c r="CV23" s="219" t="str">
        <f t="shared" si="41"/>
        <v/>
      </c>
      <c r="CW23" s="217" t="str">
        <f t="shared" si="42"/>
        <v/>
      </c>
      <c r="CX23" s="219" t="str">
        <f t="shared" si="43"/>
        <v/>
      </c>
      <c r="CY23" s="217" t="str">
        <f t="shared" si="44"/>
        <v/>
      </c>
      <c r="CZ23" s="217" t="str">
        <f t="shared" si="45"/>
        <v/>
      </c>
      <c r="DA23" s="217" t="str">
        <f t="shared" si="46"/>
        <v/>
      </c>
      <c r="DB23" s="217" t="str">
        <f t="shared" si="47"/>
        <v/>
      </c>
      <c r="DC23" s="217" t="str">
        <f t="shared" si="48"/>
        <v/>
      </c>
      <c r="DD23" s="228" t="str">
        <f t="shared" si="49"/>
        <v/>
      </c>
      <c r="DE23" s="228" t="str">
        <f t="shared" si="50"/>
        <v/>
      </c>
      <c r="DF23" s="228" t="str">
        <f t="shared" si="51"/>
        <v/>
      </c>
      <c r="DG23" s="217" t="str">
        <f t="shared" si="52"/>
        <v/>
      </c>
      <c r="DH23" s="217" t="str">
        <f t="shared" si="53"/>
        <v/>
      </c>
      <c r="DI23" s="217" t="str">
        <f t="shared" si="54"/>
        <v/>
      </c>
      <c r="DJ23" s="26"/>
      <c r="DK23" s="216" t="str">
        <f>+IF(CJ23="","",LOOKUP(CJ23,tabelas!AQ:AQ,tabelas!AR:AR))</f>
        <v/>
      </c>
      <c r="DL23" s="217" t="str">
        <f>+IF(CJ23="","",LOOKUP(CJ23,tabelas!AQ:AQ,tabelas!AT:AT))</f>
        <v/>
      </c>
      <c r="DM23" s="219" t="str">
        <f>+IF(CJ23="","",LOOKUP(CJ23,tabelas!AQ:AQ,tabelas!AS:AS))</f>
        <v/>
      </c>
      <c r="DN23" s="217" t="str">
        <f>+IF(CJ23="","",LOOKUP(CJ23,tabelas!AQ:AQ,tabelas!AU:AU))</f>
        <v/>
      </c>
      <c r="DO23" s="217" t="str">
        <f>+IF(CJ23="","",LOOKUP(CJ23,tabelas!AQ:AQ,tabelas!AW:AW))</f>
        <v/>
      </c>
      <c r="DP23" s="219" t="str">
        <f>+IF(CJ23="","",LOOKUP(CJ23,tabelas!AQ:AQ,tabelas!AV:AV))</f>
        <v/>
      </c>
      <c r="DQ23" s="217" t="str">
        <f>+IF(CJ23="","",LOOKUP(CJ23,tabelas!AQ:AQ,tabelas!AX:AX))</f>
        <v/>
      </c>
      <c r="DR23" s="217" t="str">
        <f>+IF(CJ23="","",LOOKUP(CJ23,tabelas!AQ:AQ,tabelas!AZ:AZ))</f>
        <v/>
      </c>
      <c r="DS23" s="219" t="str">
        <f>+IF(CJ23="","",LOOKUP(CJ23,tabelas!AQ:AQ,tabelas!AY:AY))</f>
        <v/>
      </c>
      <c r="DT23" s="217" t="str">
        <f>+IF(CJ23="","",LOOKUP(CJ23,tabelas!AQ:AQ,tabelas!BA:BA))</f>
        <v/>
      </c>
      <c r="DU23" s="217" t="str">
        <f>+IF(CJ23="","",LOOKUP(CJ23,tabelas!AQ:AQ,tabelas!BC:BC))</f>
        <v/>
      </c>
      <c r="DV23" s="219" t="str">
        <f>+IF(CJ23="","",LOOKUP(CJ23,tabelas!AQ:AQ,tabelas!BB:BB))</f>
        <v/>
      </c>
      <c r="DW23" s="217" t="str">
        <f>+IF(CJ23="","",LOOKUP(CJ23,tabelas!AQ:AQ,tabelas!BD:BD))</f>
        <v/>
      </c>
      <c r="DX23" s="217" t="str">
        <f>+IF(CJ23="","",LOOKUP(CJ23,tabelas!AQ:AQ,tabelas!BF:BF))</f>
        <v/>
      </c>
      <c r="DY23" s="219" t="str">
        <f>+IF(CJ23="","",LOOKUP(CJ23,tabelas!AQ:AQ,tabelas!BE:BE))</f>
        <v/>
      </c>
      <c r="DZ23" s="217" t="str">
        <f>+IF(CJ23="","",LOOKUP(CJ23,tabelas!AQ:AQ,tabelas!BG:BG))</f>
        <v/>
      </c>
      <c r="EA23" s="26"/>
      <c r="EB23" s="326" t="str">
        <f>+IF(CJ23="","",LOOKUP(CJ23,tabelas!AQ:AQ,tabelas!BI:BI))</f>
        <v/>
      </c>
      <c r="EC23" s="224" t="str">
        <f t="shared" si="55"/>
        <v/>
      </c>
      <c r="ED23" s="232" t="str">
        <f t="shared" si="56"/>
        <v/>
      </c>
      <c r="EE23" s="224" t="str">
        <f>+IF(CJ23="","",IF(AND(ROUND(CJ23,0)&gt;1991,ROUND(CJ23,0)&lt;1995),LOOKUP(DATE(ROUND(CJ23,0)+1,5,1),tabelas!CC:CC,tabelas!CD:CD),""))</f>
        <v/>
      </c>
      <c r="EF23" s="224" t="str">
        <f t="shared" si="57"/>
        <v/>
      </c>
      <c r="EG23" s="26"/>
      <c r="EH23" s="234" t="str">
        <f t="shared" si="58"/>
        <v/>
      </c>
      <c r="EI23" s="246" t="str">
        <f t="shared" si="76"/>
        <v/>
      </c>
      <c r="EJ23" s="26"/>
      <c r="EK23" s="216" t="str">
        <f t="shared" si="77"/>
        <v/>
      </c>
      <c r="EL23" s="234" t="str">
        <f t="shared" si="59"/>
        <v/>
      </c>
      <c r="EM23" s="217" t="str">
        <f t="shared" si="60"/>
        <v/>
      </c>
      <c r="EN23" s="236" t="str">
        <f>+IF(EL23="","",LOOKUP(EL23,tabelas!CN:CN,tabelas!CO:CO)/IND_CM_DIST)</f>
        <v/>
      </c>
      <c r="EO23" s="217" t="str">
        <f t="shared" si="78"/>
        <v/>
      </c>
      <c r="EP23" s="237" t="str">
        <f>+IF(EL23="","",LOOKUP(EDATE(EL23,0),tabelas!CQ:CQ,tabelas!CR:CR)-IND_JR_DIST)</f>
        <v/>
      </c>
      <c r="EQ23" s="217" t="str">
        <f t="shared" si="61"/>
        <v/>
      </c>
      <c r="ER23" s="217" t="str">
        <f t="shared" si="79"/>
        <v/>
      </c>
      <c r="ET23" s="532"/>
      <c r="EU23" s="532"/>
      <c r="EV23" s="26"/>
      <c r="EX23" s="329" t="str">
        <f t="shared" si="62"/>
        <v/>
      </c>
      <c r="EY23" s="246" t="str">
        <f t="shared" si="80"/>
        <v/>
      </c>
      <c r="EZ23" s="26"/>
      <c r="FA23" s="216" t="str">
        <f t="shared" si="81"/>
        <v/>
      </c>
      <c r="FB23" s="329" t="str">
        <f t="shared" si="63"/>
        <v/>
      </c>
      <c r="FC23" s="217" t="str">
        <f t="shared" si="64"/>
        <v/>
      </c>
      <c r="FD23" s="236" t="str">
        <f>+IF(FB23="","",LOOKUP(FB23,tabelas!CN:CN,tabelas!CO:CO)/IND_CM_FIM)</f>
        <v/>
      </c>
      <c r="FE23" s="217" t="str">
        <f t="shared" si="82"/>
        <v/>
      </c>
      <c r="FF23" s="237" t="str">
        <f>+IF(FB23="","",LOOKUP(EDATE(FB23,0),tabelas!CQ:CQ,tabelas!CR:CR)-IND_JR_FIM+0.01)</f>
        <v/>
      </c>
      <c r="FG23" s="217" t="str">
        <f t="shared" si="65"/>
        <v/>
      </c>
      <c r="FH23" s="217" t="str">
        <f t="shared" si="83"/>
        <v/>
      </c>
    </row>
    <row r="24" spans="2:168" ht="15" customHeight="1">
      <c r="AL24" s="21"/>
      <c r="AM24" s="21"/>
      <c r="AN24" s="21"/>
      <c r="AO24" s="21"/>
      <c r="AP24" s="21"/>
      <c r="AQ24" s="21"/>
      <c r="AS24" s="22"/>
      <c r="AT24" s="23"/>
      <c r="BV24" s="21"/>
      <c r="BW24" s="21"/>
      <c r="BX24" s="21"/>
      <c r="BY24" s="21"/>
      <c r="BZ24" s="21"/>
      <c r="CA24" s="21"/>
      <c r="CC24" s="22"/>
      <c r="CD24" s="23"/>
      <c r="ET24" s="533" t="str">
        <f>+IF(DAT_DIST&lt;&gt;"",CONCATENATE("- Data da distribuição: ",TEXT(DAT_DIST,"d-mmm-aaaa")),"- Data da distribuição: não informada")</f>
        <v>- Data da distribuição: 1-ago-2001</v>
      </c>
      <c r="EU24" s="533"/>
      <c r="EV24" s="26"/>
    </row>
    <row r="25" spans="2:168" ht="15" customHeight="1">
      <c r="AL25" s="21"/>
      <c r="AM25" s="21"/>
      <c r="AN25" s="21"/>
      <c r="AO25" s="21"/>
      <c r="AP25" s="21"/>
      <c r="AQ25" s="21"/>
      <c r="AS25" s="22"/>
      <c r="AT25" s="23"/>
      <c r="BV25" s="21"/>
      <c r="BW25" s="21"/>
      <c r="BX25" s="21"/>
      <c r="BY25" s="21"/>
      <c r="BZ25" s="21"/>
      <c r="CA25" s="21"/>
      <c r="CC25" s="22"/>
      <c r="CD25" s="23"/>
      <c r="EV25" s="26"/>
    </row>
    <row r="26" spans="2:168" ht="15" customHeight="1">
      <c r="AL26" s="21"/>
      <c r="AM26" s="21"/>
      <c r="AN26" s="21"/>
      <c r="AO26" s="21"/>
      <c r="AP26" s="21"/>
      <c r="AQ26" s="21"/>
      <c r="AS26" s="22"/>
      <c r="AT26" s="23"/>
      <c r="BV26" s="21"/>
      <c r="BW26" s="21"/>
      <c r="BX26" s="21"/>
      <c r="BY26" s="21"/>
      <c r="BZ26" s="21"/>
      <c r="CA26" s="21"/>
      <c r="CC26" s="22"/>
      <c r="CD26" s="23"/>
      <c r="ET26" s="535" t="s">
        <v>73</v>
      </c>
      <c r="EV26" s="26"/>
    </row>
    <row r="27" spans="2:168" ht="15" customHeight="1">
      <c r="AL27" s="21"/>
      <c r="AM27" s="21"/>
      <c r="AN27" s="21"/>
      <c r="AO27" s="21"/>
      <c r="AP27" s="21"/>
      <c r="AQ27" s="21"/>
      <c r="AS27" s="22"/>
      <c r="AT27" s="23"/>
      <c r="BV27" s="21"/>
      <c r="BW27" s="21"/>
      <c r="BX27" s="21"/>
      <c r="BY27" s="21"/>
      <c r="BZ27" s="21"/>
      <c r="CA27" s="21"/>
      <c r="CC27" s="22"/>
      <c r="CD27" s="23"/>
      <c r="ET27" s="535"/>
    </row>
    <row r="28" spans="2:168" ht="14.1" customHeight="1">
      <c r="AL28" s="21"/>
      <c r="AM28" s="21"/>
      <c r="AN28" s="21"/>
      <c r="AO28" s="21"/>
      <c r="AP28" s="21"/>
      <c r="AQ28" s="21"/>
      <c r="AS28" s="22"/>
      <c r="AT28" s="23"/>
      <c r="BV28" s="21"/>
      <c r="BW28" s="21"/>
      <c r="BX28" s="21"/>
      <c r="BY28" s="21"/>
      <c r="BZ28" s="21"/>
      <c r="CA28" s="21"/>
      <c r="CC28" s="22"/>
      <c r="CD28" s="23"/>
      <c r="DN28" s="21"/>
      <c r="DO28" s="21"/>
      <c r="DP28" s="21"/>
      <c r="DQ28" s="21"/>
      <c r="DR28" s="21"/>
      <c r="DS28" s="21"/>
      <c r="DU28" s="22"/>
      <c r="DV28" s="23"/>
      <c r="ET28" s="535"/>
    </row>
  </sheetData>
  <sheetCalcPr fullCalcOnLoad="1"/>
  <mergeCells count="126">
    <mergeCell ref="BN3:BN4"/>
    <mergeCell ref="CC3:CE3"/>
    <mergeCell ref="BO3:BO5"/>
    <mergeCell ref="BP3:BQ3"/>
    <mergeCell ref="BP4:BQ4"/>
    <mergeCell ref="DD3:DD5"/>
    <mergeCell ref="CZ3:CZ5"/>
    <mergeCell ref="DB4:DB5"/>
    <mergeCell ref="DC4:DC5"/>
    <mergeCell ref="BB2:BB5"/>
    <mergeCell ref="BH3:BH4"/>
    <mergeCell ref="BJ3:BK3"/>
    <mergeCell ref="BJ4:BK4"/>
    <mergeCell ref="BS2:CH2"/>
    <mergeCell ref="BS3:BS5"/>
    <mergeCell ref="BT3:BV3"/>
    <mergeCell ref="BW3:BY3"/>
    <mergeCell ref="BZ3:CB3"/>
    <mergeCell ref="BL3:BL5"/>
    <mergeCell ref="P4:P5"/>
    <mergeCell ref="D3:H3"/>
    <mergeCell ref="D4:D5"/>
    <mergeCell ref="H4:H5"/>
    <mergeCell ref="Q4:R4"/>
    <mergeCell ref="O4:O5"/>
    <mergeCell ref="O3:P3"/>
    <mergeCell ref="X4:X5"/>
    <mergeCell ref="Z3:AD3"/>
    <mergeCell ref="BF3:BF5"/>
    <mergeCell ref="BG3:BG4"/>
    <mergeCell ref="BA2:BA5"/>
    <mergeCell ref="E4:G4"/>
    <mergeCell ref="I4:I5"/>
    <mergeCell ref="I3:N3"/>
    <mergeCell ref="J4:L4"/>
    <mergeCell ref="M4:N4"/>
    <mergeCell ref="BD3:BD5"/>
    <mergeCell ref="ET26:ET28"/>
    <mergeCell ref="Z4:AB4"/>
    <mergeCell ref="AC4:AD4"/>
    <mergeCell ref="AE3:AE5"/>
    <mergeCell ref="AG3:AG5"/>
    <mergeCell ref="BI3:BI4"/>
    <mergeCell ref="CV3:CY3"/>
    <mergeCell ref="CR3:CS4"/>
    <mergeCell ref="BE3:BE5"/>
    <mergeCell ref="W4:W5"/>
    <mergeCell ref="AV3:AX3"/>
    <mergeCell ref="ET24:EU24"/>
    <mergeCell ref="FJ15:FL15"/>
    <mergeCell ref="FJ16:FL17"/>
    <mergeCell ref="FJ18:FL19"/>
    <mergeCell ref="FJ20:FL20"/>
    <mergeCell ref="FJ21:FL22"/>
    <mergeCell ref="EY4:EY5"/>
    <mergeCell ref="FC3:FC5"/>
    <mergeCell ref="FA3:FA5"/>
    <mergeCell ref="B3:B5"/>
    <mergeCell ref="C3:C5"/>
    <mergeCell ref="AF3:AF5"/>
    <mergeCell ref="S4:T4"/>
    <mergeCell ref="Q3:T3"/>
    <mergeCell ref="AS3:AU3"/>
    <mergeCell ref="U3:U5"/>
    <mergeCell ref="Y3:Y5"/>
    <mergeCell ref="EC3:EC5"/>
    <mergeCell ref="ET20:EU21"/>
    <mergeCell ref="ET22:EU23"/>
    <mergeCell ref="FJ10:FK10"/>
    <mergeCell ref="DK2:DZ2"/>
    <mergeCell ref="DK3:DK5"/>
    <mergeCell ref="FF3:FG4"/>
    <mergeCell ref="EN3:EO4"/>
    <mergeCell ref="EE3:EE5"/>
    <mergeCell ref="FA2:FH2"/>
    <mergeCell ref="EK2:ER2"/>
    <mergeCell ref="FN2:FU2"/>
    <mergeCell ref="EM3:EM5"/>
    <mergeCell ref="FB3:FB5"/>
    <mergeCell ref="EK3:EK5"/>
    <mergeCell ref="FD3:FE4"/>
    <mergeCell ref="CF3:CH3"/>
    <mergeCell ref="CJ3:CJ5"/>
    <mergeCell ref="ED3:ED5"/>
    <mergeCell ref="ER3:ER5"/>
    <mergeCell ref="FH3:FH5"/>
    <mergeCell ref="EX4:EX5"/>
    <mergeCell ref="CL3:CL5"/>
    <mergeCell ref="CN4:CP4"/>
    <mergeCell ref="EP3:EQ4"/>
    <mergeCell ref="DO3:DQ3"/>
    <mergeCell ref="DE4:DG4"/>
    <mergeCell ref="DE3:DI3"/>
    <mergeCell ref="DL3:DN3"/>
    <mergeCell ref="DR3:DT3"/>
    <mergeCell ref="EX2:EY3"/>
    <mergeCell ref="V4:V5"/>
    <mergeCell ref="V3:X3"/>
    <mergeCell ref="BM3:BM5"/>
    <mergeCell ref="DA3:DA5"/>
    <mergeCell ref="CK3:CK5"/>
    <mergeCell ref="EB3:EB5"/>
    <mergeCell ref="DX3:DZ3"/>
    <mergeCell ref="AJ3:AL3"/>
    <mergeCell ref="AP3:AR3"/>
    <mergeCell ref="DU3:DW3"/>
    <mergeCell ref="AM3:AO3"/>
    <mergeCell ref="AZ2:AZ5"/>
    <mergeCell ref="AI2:AX2"/>
    <mergeCell ref="AI3:AI5"/>
    <mergeCell ref="CT3:CU3"/>
    <mergeCell ref="CM3:CQ3"/>
    <mergeCell ref="CM4:CM5"/>
    <mergeCell ref="CQ4:CQ5"/>
    <mergeCell ref="CT4:CT5"/>
    <mergeCell ref="CU4:CU5"/>
    <mergeCell ref="ET10:EU10"/>
    <mergeCell ref="EH4:EH5"/>
    <mergeCell ref="EI4:EI5"/>
    <mergeCell ref="EH2:EI3"/>
    <mergeCell ref="CV4:CW4"/>
    <mergeCell ref="DH4:DI4"/>
    <mergeCell ref="CX4:CY4"/>
    <mergeCell ref="DB3:DC3"/>
    <mergeCell ref="EL3:EL5"/>
    <mergeCell ref="EF3:EF5"/>
  </mergeCells>
  <phoneticPr fontId="27" type="noConversion"/>
  <pageMargins left="0.78740157499999996" right="0.78740157499999996" top="0.984251969" bottom="0.984251969" header="0.49212598499999999" footer="0.49212598499999999"/>
  <pageSetup paperSize="9" orientation="portrait" horizontalDpi="1200" verticalDpi="1200" r:id="rId1"/>
  <headerFooter alignWithMargins="0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AH77"/>
  <sheetViews>
    <sheetView showGridLines="0" workbookViewId="0">
      <pane ySplit="5" topLeftCell="A6" activePane="bottomLeft" state="frozen"/>
      <selection pane="bottomLeft" activeCell="O15" sqref="O15"/>
    </sheetView>
  </sheetViews>
  <sheetFormatPr defaultRowHeight="12.75"/>
  <cols>
    <col min="1" max="1" width="17" style="2" customWidth="1"/>
    <col min="2" max="4" width="1.7109375" style="2" customWidth="1"/>
    <col min="5" max="7" width="10.7109375" style="2" customWidth="1"/>
    <col min="8" max="8" width="15.7109375" style="2" customWidth="1"/>
    <col min="9" max="11" width="1.7109375" style="2" customWidth="1"/>
    <col min="12" max="16384" width="9.140625" style="2"/>
  </cols>
  <sheetData>
    <row r="1" spans="1:34" s="11" customFormat="1" ht="3" customHeight="1">
      <c r="A1" s="10"/>
      <c r="B1" s="10"/>
      <c r="C1" s="10"/>
      <c r="D1" s="10"/>
      <c r="E1" s="10"/>
      <c r="F1" s="10"/>
      <c r="G1" s="10"/>
      <c r="H1" s="10"/>
      <c r="I1" s="10"/>
      <c r="J1" s="10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s="11" customFormat="1" ht="18.95" customHeight="1">
      <c r="A2" s="10"/>
      <c r="B2" s="10"/>
      <c r="C2" s="542" t="s">
        <v>243</v>
      </c>
      <c r="D2" s="543"/>
      <c r="E2" s="543"/>
      <c r="F2" s="543"/>
      <c r="G2" s="543"/>
      <c r="H2" s="543"/>
      <c r="I2" s="543"/>
      <c r="J2" s="544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s="11" customFormat="1" ht="18.95" customHeight="1">
      <c r="A3" s="10"/>
      <c r="B3" s="10"/>
      <c r="C3" s="545"/>
      <c r="D3" s="546"/>
      <c r="E3" s="546"/>
      <c r="F3" s="546"/>
      <c r="G3" s="546"/>
      <c r="H3" s="546"/>
      <c r="I3" s="546"/>
      <c r="J3" s="547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18.95" customHeight="1" thickBot="1">
      <c r="A4" s="10"/>
      <c r="B4" s="10"/>
      <c r="C4" s="548"/>
      <c r="D4" s="549"/>
      <c r="E4" s="549"/>
      <c r="F4" s="549"/>
      <c r="G4" s="549"/>
      <c r="H4" s="549"/>
      <c r="I4" s="549"/>
      <c r="J4" s="550"/>
      <c r="M4" s="11"/>
    </row>
    <row r="5" spans="1:34" ht="5.0999999999999996" customHeight="1" thickBot="1">
      <c r="B5" s="190"/>
      <c r="C5" s="191"/>
      <c r="D5" s="191"/>
      <c r="E5" s="191"/>
      <c r="F5" s="191"/>
      <c r="G5" s="191"/>
      <c r="H5" s="191"/>
      <c r="I5" s="191"/>
      <c r="J5" s="191"/>
      <c r="K5" s="192"/>
      <c r="M5" s="11"/>
    </row>
    <row r="6" spans="1:34" s="11" customFormat="1" ht="9.9499999999999993" customHeight="1">
      <c r="A6" s="2"/>
      <c r="B6" s="2"/>
      <c r="C6" s="239"/>
      <c r="D6" s="239"/>
      <c r="E6" s="239"/>
      <c r="F6" s="239"/>
      <c r="G6" s="239"/>
      <c r="H6" s="239"/>
      <c r="I6" s="239"/>
      <c r="J6" s="239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15" customHeight="1">
      <c r="C7" s="174"/>
      <c r="D7" s="564" t="s">
        <v>192</v>
      </c>
      <c r="E7" s="565"/>
      <c r="F7" s="565"/>
      <c r="G7" s="566"/>
      <c r="H7" s="570">
        <v>2007</v>
      </c>
      <c r="I7" s="571"/>
      <c r="J7" s="174"/>
    </row>
    <row r="8" spans="1:34" ht="15" customHeight="1">
      <c r="C8" s="174"/>
      <c r="D8" s="567"/>
      <c r="E8" s="568"/>
      <c r="F8" s="568"/>
      <c r="G8" s="569"/>
      <c r="H8" s="572"/>
      <c r="I8" s="573"/>
      <c r="J8" s="174"/>
    </row>
    <row r="9" spans="1:34" ht="15" customHeight="1">
      <c r="C9" s="174"/>
      <c r="D9" s="176"/>
      <c r="E9" s="562" t="str">
        <f>+IF(H7="","DECLARAÇÃO",CONCATENATE("DECLARAÇÃO ",LOOKUP(H7,rascunho!BE6:BE23,rascunho!BF6:BF23)))</f>
        <v>DECLARAÇÃO COMPLETA</v>
      </c>
      <c r="F9" s="562"/>
      <c r="G9" s="562"/>
      <c r="H9" s="562"/>
      <c r="I9" s="181"/>
      <c r="J9" s="174"/>
    </row>
    <row r="10" spans="1:34" ht="15" customHeight="1">
      <c r="C10" s="174"/>
      <c r="D10" s="177"/>
      <c r="E10" s="563"/>
      <c r="F10" s="563"/>
      <c r="G10" s="563"/>
      <c r="H10" s="563"/>
      <c r="I10" s="182"/>
      <c r="J10" s="174"/>
    </row>
    <row r="11" spans="1:34" ht="15" customHeight="1">
      <c r="C11" s="174"/>
      <c r="D11" s="177"/>
      <c r="E11" s="563"/>
      <c r="F11" s="563"/>
      <c r="G11" s="563"/>
      <c r="H11" s="563"/>
      <c r="I11" s="182"/>
      <c r="J11" s="174"/>
    </row>
    <row r="12" spans="1:34" ht="15" customHeight="1">
      <c r="C12" s="174"/>
      <c r="D12" s="177"/>
      <c r="E12" s="551" t="s">
        <v>89</v>
      </c>
      <c r="F12" s="551"/>
      <c r="G12" s="551"/>
      <c r="H12" s="558">
        <f>+IF(H7="","",LOOKUP(H7,rascunho!BE6:BE23,rascunho!BG6:BG23))</f>
        <v>40510.26</v>
      </c>
      <c r="I12" s="559"/>
      <c r="J12" s="174"/>
    </row>
    <row r="13" spans="1:34" ht="15" customHeight="1">
      <c r="C13" s="174"/>
      <c r="D13" s="177"/>
      <c r="E13" s="551" t="s">
        <v>122</v>
      </c>
      <c r="F13" s="551"/>
      <c r="G13" s="551"/>
      <c r="H13" s="552">
        <f>+IF(H7="","",LOOKUP(H7,rascunho!BE6:BE23,rascunho!BH6:BH23))</f>
        <v>13326.62</v>
      </c>
      <c r="I13" s="553"/>
      <c r="J13" s="175"/>
    </row>
    <row r="14" spans="1:34" ht="15" customHeight="1">
      <c r="C14" s="175"/>
      <c r="D14" s="177"/>
      <c r="E14" s="551" t="s">
        <v>88</v>
      </c>
      <c r="F14" s="551"/>
      <c r="G14" s="551" t="s">
        <v>25</v>
      </c>
      <c r="H14" s="554">
        <f>+IF(H7="","",LOOKUP(H7,rascunho!BE6:BE23,rascunho!BI6:BI23))</f>
        <v>27183.64</v>
      </c>
      <c r="I14" s="555"/>
      <c r="J14" s="175"/>
    </row>
    <row r="15" spans="1:34" ht="15" customHeight="1">
      <c r="C15" s="175"/>
      <c r="D15" s="177"/>
      <c r="E15" s="551" t="s">
        <v>163</v>
      </c>
      <c r="F15" s="551"/>
      <c r="G15" s="551"/>
      <c r="H15" s="560">
        <f>+IF(H7="","",LOOKUP(H7,rascunho!BE6:BE23,rascunho!BJ6:BJ23))</f>
        <v>0.25</v>
      </c>
      <c r="I15" s="561"/>
      <c r="J15" s="175"/>
    </row>
    <row r="16" spans="1:34" ht="15" customHeight="1">
      <c r="C16" s="175"/>
      <c r="D16" s="177"/>
      <c r="E16" s="551" t="s">
        <v>90</v>
      </c>
      <c r="F16" s="551"/>
      <c r="G16" s="551"/>
      <c r="H16" s="558">
        <f>+IF(H7="","",LOOKUP(H7,rascunho!BE6:BE23,rascunho!BK6:BK23))</f>
        <v>3780</v>
      </c>
      <c r="I16" s="559"/>
      <c r="J16" s="175"/>
    </row>
    <row r="17" spans="2:27" ht="15" customHeight="1">
      <c r="C17" s="175"/>
      <c r="D17" s="177"/>
      <c r="E17" s="551" t="s">
        <v>162</v>
      </c>
      <c r="F17" s="551"/>
      <c r="G17" s="551"/>
      <c r="H17" s="558">
        <f>+IF(H7="","",LOOKUP(H7,rascunho!BE6:BE23,rascunho!BL6:BL23))</f>
        <v>0</v>
      </c>
      <c r="I17" s="559"/>
      <c r="J17" s="175"/>
    </row>
    <row r="18" spans="2:27" ht="15" customHeight="1">
      <c r="C18" s="174"/>
      <c r="D18" s="177"/>
      <c r="E18" s="551" t="s">
        <v>228</v>
      </c>
      <c r="F18" s="551"/>
      <c r="G18" s="551"/>
      <c r="H18" s="558">
        <f>+IF(H7="","",LOOKUP(H7,rascunho!BE6:BE23,rascunho!BM6:BM23))</f>
        <v>0</v>
      </c>
      <c r="I18" s="559"/>
      <c r="J18" s="175"/>
    </row>
    <row r="19" spans="2:27" ht="15" customHeight="1">
      <c r="C19" s="174"/>
      <c r="D19" s="177"/>
      <c r="E19" s="551" t="s">
        <v>50</v>
      </c>
      <c r="F19" s="551"/>
      <c r="G19" s="551"/>
      <c r="H19" s="554">
        <f>+IF(H7="","",LOOKUP(H7,rascunho!BE6:BE23,rascunho!BN6:BN23))</f>
        <v>3015.91</v>
      </c>
      <c r="I19" s="555"/>
      <c r="J19" s="175"/>
    </row>
    <row r="20" spans="2:27" ht="15" customHeight="1">
      <c r="C20" s="174"/>
      <c r="D20" s="177"/>
      <c r="E20" s="551" t="s">
        <v>51</v>
      </c>
      <c r="F20" s="551"/>
      <c r="G20" s="551"/>
      <c r="H20" s="552">
        <f>+IF(H7="","",LOOKUP(H7,rascunho!BE6:BE23,rascunho!BO6:BO23))</f>
        <v>2342.81</v>
      </c>
      <c r="I20" s="553"/>
      <c r="J20" s="175"/>
    </row>
    <row r="21" spans="2:27" ht="15" customHeight="1">
      <c r="C21" s="174"/>
      <c r="D21" s="177"/>
      <c r="E21" s="551" t="str">
        <f>+CONCATENATE("IMPOSTO A ",IF(H7="","",LOOKUP(H7,rascunho!BE6:BE23,rascunho!BQ6:BQ23)),"(=):")</f>
        <v>IMPOSTO A PAGAR(=):</v>
      </c>
      <c r="F21" s="551"/>
      <c r="G21" s="551"/>
      <c r="H21" s="554">
        <f>+IF(H7="","",ABS(LOOKUP(H7,rascunho!BE6:BE23,rascunho!BP6:BP23)))</f>
        <v>673.09999999999991</v>
      </c>
      <c r="I21" s="555"/>
      <c r="J21" s="175"/>
    </row>
    <row r="22" spans="2:27" ht="15" customHeight="1">
      <c r="C22" s="174"/>
      <c r="D22" s="177"/>
      <c r="E22" s="556" t="str">
        <f>+IF(H7="","TABELA IRPF DO ANO-CALENDÁRIO",CONCATENATE("TABELA DO ANO-CALENDÁRIO ",H7))</f>
        <v>TABELA DO ANO-CALENDÁRIO 2007</v>
      </c>
      <c r="F22" s="556"/>
      <c r="G22" s="556"/>
      <c r="H22" s="556"/>
      <c r="I22" s="182"/>
      <c r="J22" s="175"/>
    </row>
    <row r="23" spans="2:27" ht="15" customHeight="1">
      <c r="C23" s="174"/>
      <c r="D23" s="177"/>
      <c r="E23" s="557"/>
      <c r="F23" s="557"/>
      <c r="G23" s="557"/>
      <c r="H23" s="557"/>
      <c r="I23" s="182"/>
      <c r="J23" s="175"/>
    </row>
    <row r="24" spans="2:27" ht="15" customHeight="1">
      <c r="C24" s="174"/>
      <c r="D24" s="177"/>
      <c r="E24" s="183" t="s">
        <v>2</v>
      </c>
      <c r="F24" s="183" t="s">
        <v>3</v>
      </c>
      <c r="G24" s="183" t="s">
        <v>14</v>
      </c>
      <c r="H24" s="183" t="s">
        <v>4</v>
      </c>
      <c r="I24" s="184"/>
      <c r="J24" s="175"/>
    </row>
    <row r="25" spans="2:27" ht="15" customHeight="1">
      <c r="C25" s="174"/>
      <c r="D25" s="177"/>
      <c r="E25" s="185">
        <f>+IF(H7="","",IF(LOOKUP(H7,rascunho!BE6:BE23,rascunho!BT6:BT23)=0,"",LOOKUP(H7,rascunho!BE6:BE23,rascunho!BT6:BT23)))</f>
        <v>21600.01</v>
      </c>
      <c r="F25" s="185" t="s">
        <v>5</v>
      </c>
      <c r="G25" s="186">
        <f>+IF(H7="","",IF(LOOKUP(H7,rascunho!BE6:BE23,rascunho!BU6:BU23)="","",LOOKUP(H7,rascunho!BE6:BE23,rascunho!BU6:BU23)))</f>
        <v>0.25</v>
      </c>
      <c r="H25" s="185">
        <f>+IF(H7="","",IF(LOOKUP(H7,rascunho!BE6:BE23,rascunho!BV6:BV23)="","",LOOKUP(H7,rascunho!BE6:BE23,rascunho!BV6:BV23)))</f>
        <v>3780</v>
      </c>
      <c r="I25" s="187"/>
      <c r="J25" s="175"/>
    </row>
    <row r="26" spans="2:27" ht="15" customHeight="1">
      <c r="C26" s="174"/>
      <c r="D26" s="177"/>
      <c r="E26" s="185">
        <f>+IF(F26="","",LOOKUP(H7,rascunho!BE6:BE23,rascunho!BW6:BW23))</f>
        <v>10800.01</v>
      </c>
      <c r="F26" s="185">
        <f>+IF(E25="","",E25-0.01)</f>
        <v>21600</v>
      </c>
      <c r="G26" s="186">
        <f>+IF(F26="","",LOOKUP(H7,rascunho!BE6:BE23,rascunho!BX6:BX23))</f>
        <v>0.15</v>
      </c>
      <c r="H26" s="185">
        <f>+IF(F26="","",LOOKUP(H7,rascunho!BE6:BE23,rascunho!BY6:BY23))</f>
        <v>1620</v>
      </c>
      <c r="I26" s="178"/>
      <c r="J26" s="175"/>
    </row>
    <row r="27" spans="2:27" ht="15" customHeight="1">
      <c r="C27" s="174"/>
      <c r="D27" s="177"/>
      <c r="E27" s="185">
        <f>+IF(F27="","",LOOKUP(H7,rascunho!BE6:BE23,rascunho!BZ6:BZ23))</f>
        <v>0</v>
      </c>
      <c r="F27" s="185">
        <f>+IF(E26="","",E26-0.01)</f>
        <v>10800</v>
      </c>
      <c r="G27" s="186">
        <f>+IF(F27="","",LOOKUP(H7,rascunho!BE6:BE23,rascunho!CA6:CA23))</f>
        <v>0</v>
      </c>
      <c r="H27" s="185">
        <f>+IF(F27="","",LOOKUP(H7,rascunho!BE6:BE23,rascunho!CB6:CB23))</f>
        <v>0</v>
      </c>
      <c r="I27" s="178"/>
      <c r="J27" s="174"/>
    </row>
    <row r="28" spans="2:27" ht="15" customHeight="1">
      <c r="C28" s="174"/>
      <c r="D28" s="177"/>
      <c r="E28" s="185" t="str">
        <f>+IF(F28="","",LOOKUP(H7,rascunho!BE6:BE23,rascunho!CC6:CC23))</f>
        <v/>
      </c>
      <c r="F28" s="185" t="str">
        <f>+IF(OR(E27=0,E27=""),"",E27-0.01)</f>
        <v/>
      </c>
      <c r="G28" s="186" t="str">
        <f>+IF(F28="","",LOOKUP(H7,rascunho!BE6:BE23,rascunho!CD6:CD23))</f>
        <v/>
      </c>
      <c r="H28" s="185" t="str">
        <f>+IF(F28="","",LOOKUP(H7,rascunho!BE6:BE23,rascunho!CE6:CE23))</f>
        <v/>
      </c>
      <c r="I28" s="178"/>
      <c r="J28" s="174"/>
    </row>
    <row r="29" spans="2:27" ht="15" customHeight="1">
      <c r="C29" s="174"/>
      <c r="D29" s="179"/>
      <c r="E29" s="188" t="str">
        <f>+IF(F29="","",LOOKUP(H7,rascunho!BE6:BE23,rascunho!CF6:CF23))</f>
        <v/>
      </c>
      <c r="F29" s="188" t="str">
        <f>+IF(OR(E28=0,E28=""),"",E28-0.01)</f>
        <v/>
      </c>
      <c r="G29" s="189" t="str">
        <f>+IF(F29="","",LOOKUP(H7,rascunho!BE6:BE23,rascunho!CG6:CG23))</f>
        <v/>
      </c>
      <c r="H29" s="188" t="str">
        <f>+IF(F29="","",LOOKUP(H7,rascunho!BE6:BE23,rascunho!CH6:CH23))</f>
        <v/>
      </c>
      <c r="I29" s="180"/>
      <c r="J29" s="174"/>
    </row>
    <row r="30" spans="2:27" ht="9.9499999999999993" customHeight="1" thickBot="1">
      <c r="C30" s="174"/>
      <c r="D30" s="174"/>
      <c r="E30" s="174"/>
      <c r="F30" s="174"/>
      <c r="G30" s="174"/>
      <c r="H30" s="174"/>
      <c r="I30" s="174"/>
      <c r="J30" s="174"/>
      <c r="K30" s="11"/>
      <c r="L30" s="11"/>
      <c r="V30"/>
      <c r="W30"/>
      <c r="X30"/>
      <c r="Y30"/>
      <c r="Z30"/>
      <c r="AA30"/>
    </row>
    <row r="31" spans="2:27" ht="5.0999999999999996" customHeight="1" thickBot="1">
      <c r="B31" s="190"/>
      <c r="C31" s="191"/>
      <c r="D31" s="191"/>
      <c r="E31" s="191"/>
      <c r="F31" s="191"/>
      <c r="G31" s="191"/>
      <c r="H31" s="191"/>
      <c r="I31" s="191"/>
      <c r="J31" s="191"/>
      <c r="K31" s="192"/>
      <c r="L31" s="11"/>
    </row>
    <row r="32" spans="2:27" ht="15" customHeight="1">
      <c r="V32"/>
      <c r="W32"/>
      <c r="X32"/>
      <c r="Y32"/>
      <c r="Z32"/>
      <c r="AA32"/>
    </row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</sheetData>
  <mergeCells count="25">
    <mergeCell ref="E12:G12"/>
    <mergeCell ref="H12:I12"/>
    <mergeCell ref="E13:G13"/>
    <mergeCell ref="H13:I13"/>
    <mergeCell ref="E9:H11"/>
    <mergeCell ref="D7:G8"/>
    <mergeCell ref="H7:I8"/>
    <mergeCell ref="E19:G19"/>
    <mergeCell ref="H19:I19"/>
    <mergeCell ref="E14:G14"/>
    <mergeCell ref="H14:I14"/>
    <mergeCell ref="E15:G15"/>
    <mergeCell ref="H15:I15"/>
    <mergeCell ref="E16:G16"/>
    <mergeCell ref="H16:I16"/>
    <mergeCell ref="C2:J4"/>
    <mergeCell ref="E20:G20"/>
    <mergeCell ref="H20:I20"/>
    <mergeCell ref="E21:G21"/>
    <mergeCell ref="H21:I21"/>
    <mergeCell ref="E22:H23"/>
    <mergeCell ref="E17:G17"/>
    <mergeCell ref="H17:I17"/>
    <mergeCell ref="E18:G18"/>
    <mergeCell ref="H18:I18"/>
  </mergeCells>
  <dataValidations count="1">
    <dataValidation type="list" allowBlank="1" showInputMessage="1" showErrorMessage="1" sqref="H7:I8">
      <formula1>COL_ANOCAL</formula1>
    </dataValidation>
  </dataValidations>
  <pageMargins left="0.19685039370078741" right="0.19685039370078741" top="0.19685039370078741" bottom="0.19685039370078741" header="0.51181102362204722" footer="0.51181102362204722"/>
  <pageSetup paperSize="9" orientation="landscape" blackAndWhite="1" r:id="rId1"/>
  <headerFooter alignWithMargins="0"/>
  <picture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A1:T189"/>
  <sheetViews>
    <sheetView showGridLines="0" showRowColHeaders="0" workbookViewId="0">
      <pane ySplit="1" topLeftCell="A2" activePane="bottomLeft" state="frozen"/>
      <selection pane="bottomLeft"/>
    </sheetView>
  </sheetViews>
  <sheetFormatPr defaultRowHeight="12.75"/>
  <cols>
    <col min="1" max="1" width="1.7109375" style="2" customWidth="1"/>
    <col min="2" max="2" width="18.7109375" style="2" customWidth="1"/>
    <col min="3" max="3" width="65.7109375" style="2" customWidth="1"/>
    <col min="4" max="4" width="18.7109375" style="2" customWidth="1"/>
    <col min="5" max="5" width="8.7109375" style="2" customWidth="1"/>
    <col min="6" max="6" width="25.7109375" style="11" hidden="1" customWidth="1"/>
    <col min="7" max="7" width="10" style="2" hidden="1" customWidth="1"/>
    <col min="8" max="8" width="21.5703125" style="2" hidden="1" customWidth="1"/>
    <col min="9" max="9" width="9.140625" style="2" customWidth="1"/>
    <col min="10" max="16384" width="9.140625" style="2"/>
  </cols>
  <sheetData>
    <row r="1" spans="2:18" ht="38.1" customHeight="1">
      <c r="B1" s="158"/>
      <c r="C1" s="158"/>
      <c r="D1" s="158"/>
      <c r="E1" s="158"/>
      <c r="F1" s="39"/>
      <c r="G1" s="39"/>
      <c r="H1" s="39"/>
      <c r="I1" s="11"/>
    </row>
    <row r="2" spans="2:18" ht="9.9499999999999993" customHeight="1">
      <c r="B2" s="253"/>
      <c r="C2" s="254"/>
      <c r="D2" s="255"/>
      <c r="E2" s="158"/>
      <c r="F2" s="39"/>
      <c r="G2" s="39"/>
      <c r="H2" s="39"/>
      <c r="I2" s="11"/>
    </row>
    <row r="3" spans="2:18" ht="15" customHeight="1">
      <c r="B3" s="580" t="s">
        <v>250</v>
      </c>
      <c r="C3" s="581"/>
      <c r="D3" s="582"/>
      <c r="E3" s="158"/>
      <c r="F3" s="250" t="s">
        <v>256</v>
      </c>
      <c r="G3" s="167" t="s">
        <v>260</v>
      </c>
      <c r="H3" s="247" t="s">
        <v>236</v>
      </c>
      <c r="I3" s="11"/>
    </row>
    <row r="4" spans="2:18" ht="15" customHeight="1">
      <c r="B4" s="580" t="s">
        <v>251</v>
      </c>
      <c r="C4" s="581"/>
      <c r="D4" s="582"/>
      <c r="E4" s="158"/>
      <c r="F4" s="250" t="s">
        <v>247</v>
      </c>
      <c r="G4" s="167" t="s">
        <v>257</v>
      </c>
      <c r="H4" s="243" t="s">
        <v>215</v>
      </c>
      <c r="I4" s="11"/>
    </row>
    <row r="5" spans="2:18" ht="15" customHeight="1">
      <c r="B5" s="580" t="s">
        <v>252</v>
      </c>
      <c r="C5" s="581"/>
      <c r="D5" s="582"/>
      <c r="E5" s="158"/>
      <c r="F5" s="250" t="s">
        <v>255</v>
      </c>
      <c r="G5" s="167" t="s">
        <v>93</v>
      </c>
      <c r="H5" s="245">
        <v>2007</v>
      </c>
      <c r="I5" s="11"/>
    </row>
    <row r="6" spans="2:18" ht="15" customHeight="1">
      <c r="B6" s="574" t="s">
        <v>253</v>
      </c>
      <c r="C6" s="575"/>
      <c r="D6" s="576"/>
      <c r="E6" s="158"/>
      <c r="F6" s="250" t="s">
        <v>254</v>
      </c>
      <c r="G6" s="167" t="s">
        <v>93</v>
      </c>
      <c r="H6" s="244">
        <v>45356</v>
      </c>
      <c r="I6" s="11"/>
    </row>
    <row r="7" spans="2:18" ht="15" customHeight="1">
      <c r="B7" s="574" t="str">
        <f>NOM_PLAN</f>
        <v>PLANILHA DE CÁLCULO DE AJUSTE ANUAL DO IMPOSTO DE RENDA</v>
      </c>
      <c r="C7" s="575"/>
      <c r="D7" s="576"/>
      <c r="E7" s="158"/>
      <c r="F7" s="250" t="s">
        <v>220</v>
      </c>
      <c r="G7" s="167" t="s">
        <v>93</v>
      </c>
      <c r="H7" s="245">
        <v>9</v>
      </c>
      <c r="I7" s="11"/>
    </row>
    <row r="8" spans="2:18" ht="15" customHeight="1">
      <c r="B8" s="577" t="str">
        <f>NOM_VER</f>
        <v>VERSÃO: 9.0.4.2007-2024</v>
      </c>
      <c r="C8" s="578"/>
      <c r="D8" s="579"/>
      <c r="E8" s="158"/>
      <c r="F8" s="250" t="s">
        <v>221</v>
      </c>
      <c r="G8" s="167" t="s">
        <v>93</v>
      </c>
      <c r="H8" s="245">
        <v>0</v>
      </c>
      <c r="I8" s="11"/>
    </row>
    <row r="9" spans="2:18" ht="15" customHeight="1">
      <c r="B9" s="256"/>
      <c r="C9" s="249"/>
      <c r="D9" s="257"/>
      <c r="E9" s="158"/>
      <c r="F9" s="250" t="s">
        <v>222</v>
      </c>
      <c r="G9" s="167" t="s">
        <v>93</v>
      </c>
      <c r="H9" s="245">
        <v>4</v>
      </c>
      <c r="I9" s="11"/>
    </row>
    <row r="10" spans="2:18" ht="9.9499999999999993" customHeight="1">
      <c r="B10" s="158"/>
      <c r="C10" s="158"/>
      <c r="D10" s="158"/>
      <c r="E10" s="158"/>
      <c r="F10" s="250" t="s">
        <v>223</v>
      </c>
      <c r="G10" s="167" t="s">
        <v>93</v>
      </c>
      <c r="H10" s="40">
        <f>+YEAR(H6)</f>
        <v>2024</v>
      </c>
      <c r="I10" s="11"/>
    </row>
    <row r="11" spans="2:18" ht="15" customHeight="1">
      <c r="B11" s="253"/>
      <c r="C11" s="261"/>
      <c r="D11" s="262"/>
      <c r="E11" s="158"/>
      <c r="F11" s="250" t="s">
        <v>220</v>
      </c>
      <c r="G11" s="167" t="s">
        <v>258</v>
      </c>
      <c r="H11" s="251" t="str">
        <f>+CONCATENATE(F7," ",TEXT(H7,"#0"),".",TEXT(H8,"#0"),".",TEXT(H9,"#0"),".",TEXT(H5,"#0"),"-",TEXT(H10,"#0"))</f>
        <v>VERSÃO: 9.0.4.2007-2024</v>
      </c>
      <c r="I11" s="11"/>
    </row>
    <row r="12" spans="2:18" ht="15" customHeight="1">
      <c r="B12" s="586" t="s">
        <v>55</v>
      </c>
      <c r="C12" s="587"/>
      <c r="D12" s="263"/>
      <c r="E12" s="158"/>
      <c r="F12" s="250" t="s">
        <v>248</v>
      </c>
      <c r="G12" s="167" t="s">
        <v>259</v>
      </c>
      <c r="H12" s="40" t="str">
        <f>+CONCATENATE(SIG_PLAN,"-",TEXT(H7,"#00"),"-",TEXT(H8,"#00"),"-",TEXT(H9,"#00"),"-",TEXT(H5,"#0000"),"-",TEXT(H10,"#0000"))</f>
        <v>PCIRA-09-00-04-2007-2024</v>
      </c>
      <c r="I12" s="11"/>
    </row>
    <row r="13" spans="2:18" ht="15" customHeight="1">
      <c r="B13" s="264"/>
      <c r="C13" s="258"/>
      <c r="D13" s="265"/>
      <c r="E13" s="158"/>
      <c r="F13" s="250" t="s">
        <v>261</v>
      </c>
      <c r="G13" s="167" t="s">
        <v>241</v>
      </c>
      <c r="H13" s="247" t="s">
        <v>249</v>
      </c>
      <c r="I13" s="11"/>
      <c r="J13" s="11"/>
      <c r="K13" s="11"/>
      <c r="L13" s="11"/>
      <c r="M13" s="11"/>
      <c r="N13" s="11"/>
      <c r="O13" s="11"/>
      <c r="P13" s="11"/>
      <c r="Q13" s="11"/>
      <c r="R13" s="11"/>
    </row>
    <row r="14" spans="2:18" ht="15" customHeight="1">
      <c r="B14" s="266" t="s">
        <v>74</v>
      </c>
      <c r="C14" s="259"/>
      <c r="D14" s="267"/>
      <c r="E14" s="158"/>
      <c r="F14" s="39"/>
      <c r="G14" s="39"/>
      <c r="H14" s="39"/>
      <c r="I14" s="11"/>
      <c r="J14" s="11"/>
      <c r="K14" s="11"/>
      <c r="L14" s="11"/>
      <c r="M14" s="11"/>
      <c r="N14" s="11"/>
      <c r="O14" s="11"/>
      <c r="P14" s="11"/>
      <c r="Q14" s="11"/>
      <c r="R14" s="11"/>
    </row>
    <row r="15" spans="2:18" ht="15" customHeight="1">
      <c r="B15" s="264"/>
      <c r="C15" s="588" t="s">
        <v>209</v>
      </c>
      <c r="D15" s="589"/>
      <c r="E15" s="158"/>
      <c r="F15" s="248" t="s">
        <v>240</v>
      </c>
      <c r="G15" s="167" t="s">
        <v>264</v>
      </c>
      <c r="H15" s="159">
        <f ca="1">+EOMONTH(NOW(),-1)+1</f>
        <v>46266</v>
      </c>
      <c r="I15" s="11"/>
      <c r="J15" s="11"/>
      <c r="K15" s="11"/>
      <c r="L15" s="11"/>
      <c r="M15" s="11"/>
      <c r="N15" s="11"/>
      <c r="O15" s="11"/>
      <c r="P15" s="11"/>
      <c r="Q15" s="11"/>
      <c r="R15" s="11"/>
    </row>
    <row r="16" spans="2:18" ht="15" customHeight="1">
      <c r="B16" s="264"/>
      <c r="C16" s="588" t="s">
        <v>212</v>
      </c>
      <c r="D16" s="589"/>
      <c r="E16" s="158"/>
      <c r="F16" s="248" t="s">
        <v>240</v>
      </c>
      <c r="G16" s="167" t="s">
        <v>263</v>
      </c>
      <c r="H16" s="159">
        <f ca="1">NOW()</f>
        <v>46281.783474421296</v>
      </c>
      <c r="I16" s="11"/>
      <c r="J16" s="11"/>
      <c r="K16" s="11"/>
      <c r="L16" s="11"/>
      <c r="M16" s="11"/>
      <c r="N16" s="11"/>
      <c r="O16" s="11"/>
      <c r="P16" s="11"/>
      <c r="Q16" s="11"/>
      <c r="R16" s="11"/>
    </row>
    <row r="17" spans="1:20" ht="15" customHeight="1">
      <c r="B17" s="264"/>
      <c r="C17" s="588" t="s">
        <v>211</v>
      </c>
      <c r="D17" s="589"/>
      <c r="E17" s="158"/>
      <c r="F17" s="250" t="s">
        <v>270</v>
      </c>
      <c r="G17" s="167" t="s">
        <v>269</v>
      </c>
      <c r="H17" s="287">
        <v>44531</v>
      </c>
      <c r="I17" s="11"/>
      <c r="J17" s="11"/>
      <c r="K17" s="11"/>
      <c r="L17" s="11"/>
      <c r="M17" s="11"/>
      <c r="N17" s="11"/>
      <c r="O17" s="11"/>
      <c r="P17" s="11"/>
      <c r="Q17" s="11"/>
      <c r="R17" s="11"/>
    </row>
    <row r="18" spans="1:20" ht="15" customHeight="1">
      <c r="B18" s="264"/>
      <c r="C18" s="588" t="s">
        <v>213</v>
      </c>
      <c r="D18" s="589"/>
      <c r="E18" s="158"/>
      <c r="F18" s="250" t="s">
        <v>271</v>
      </c>
      <c r="G18" s="167" t="s">
        <v>272</v>
      </c>
      <c r="H18" s="288" t="s">
        <v>35</v>
      </c>
      <c r="I18" s="11"/>
      <c r="J18" s="11"/>
      <c r="K18" s="11"/>
      <c r="L18" s="11"/>
      <c r="M18" s="11"/>
      <c r="N18" s="11"/>
      <c r="O18" s="11"/>
      <c r="P18" s="11"/>
      <c r="Q18" s="11"/>
      <c r="R18" s="11"/>
    </row>
    <row r="19" spans="1:20" ht="15" customHeight="1">
      <c r="B19" s="266" t="s">
        <v>75</v>
      </c>
      <c r="C19" s="260"/>
      <c r="D19" s="268"/>
      <c r="E19" s="158"/>
      <c r="F19" s="308" t="s">
        <v>289</v>
      </c>
      <c r="G19" s="167" t="s">
        <v>290</v>
      </c>
      <c r="H19" s="288">
        <f ca="1">tabelas!DB10</f>
        <v>46266</v>
      </c>
      <c r="I19" s="11"/>
      <c r="J19" s="11"/>
      <c r="K19" s="11"/>
      <c r="L19" s="11"/>
      <c r="M19" s="11"/>
      <c r="N19" s="11"/>
      <c r="O19" s="11"/>
      <c r="P19" s="11"/>
      <c r="Q19" s="11"/>
      <c r="R19" s="11"/>
    </row>
    <row r="20" spans="1:20" ht="15" customHeight="1">
      <c r="B20" s="264"/>
      <c r="C20" s="593" t="s">
        <v>209</v>
      </c>
      <c r="D20" s="594"/>
      <c r="E20" s="158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</row>
    <row r="21" spans="1:20" ht="15" customHeight="1">
      <c r="B21" s="264"/>
      <c r="C21" s="595" t="s">
        <v>214</v>
      </c>
      <c r="D21" s="596"/>
      <c r="E21" s="158"/>
      <c r="H21" s="11"/>
    </row>
    <row r="22" spans="1:20" ht="15" customHeight="1">
      <c r="B22" s="264"/>
      <c r="C22" s="595"/>
      <c r="D22" s="596"/>
      <c r="E22" s="158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1:20" ht="15" customHeight="1">
      <c r="B23" s="264"/>
      <c r="C23" s="595"/>
      <c r="D23" s="596"/>
      <c r="E23" s="158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1:20" ht="15" customHeight="1">
      <c r="B24" s="264"/>
      <c r="C24" s="593" t="s">
        <v>210</v>
      </c>
      <c r="D24" s="594"/>
      <c r="E24" s="158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</row>
    <row r="25" spans="1:20" ht="15" customHeight="1">
      <c r="B25" s="264"/>
      <c r="C25" s="595" t="s">
        <v>224</v>
      </c>
      <c r="D25" s="596"/>
      <c r="E25" s="158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</row>
    <row r="26" spans="1:20" ht="15" customHeight="1">
      <c r="B26" s="256"/>
      <c r="C26" s="269"/>
      <c r="D26" s="270"/>
      <c r="E26" s="158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27" spans="1:20" ht="9.9499999999999993" customHeight="1">
      <c r="B27" s="158"/>
      <c r="C27" s="158"/>
      <c r="D27" s="158"/>
      <c r="E27" s="158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</row>
    <row r="28" spans="1:20" ht="15" customHeight="1">
      <c r="A28" s="11"/>
      <c r="B28" s="271"/>
      <c r="C28" s="272"/>
      <c r="D28" s="273"/>
      <c r="E28" s="158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</row>
    <row r="29" spans="1:20" ht="15" customHeight="1">
      <c r="A29" s="11"/>
      <c r="B29" s="597" t="s">
        <v>262</v>
      </c>
      <c r="C29" s="598"/>
      <c r="D29" s="599"/>
      <c r="E29" s="158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</row>
    <row r="30" spans="1:20" ht="15" customHeight="1">
      <c r="A30" s="11"/>
      <c r="B30" s="583" t="str">
        <f ca="1">tabelas!DD7</f>
        <v>- Tabela de salário mínimo:  Índices cadastrados de jan-2000 até set-2026.</v>
      </c>
      <c r="C30" s="584"/>
      <c r="D30" s="585"/>
      <c r="E30" s="158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</row>
    <row r="31" spans="1:20" ht="15" customHeight="1">
      <c r="A31" s="11"/>
      <c r="B31" s="583" t="str">
        <f ca="1">tabelas!DD8</f>
        <v>- Tabela de TR:  Índices cadastrados de fev-2001 até set-2026.</v>
      </c>
      <c r="C31" s="584"/>
      <c r="D31" s="585"/>
      <c r="E31" s="158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</row>
    <row r="32" spans="1:20" ht="15" customHeight="1">
      <c r="A32" s="11"/>
      <c r="B32" s="583" t="str">
        <f ca="1">tabelas!DD9</f>
        <v>- Tabela de rentabilidade da poupança:  Índices cadastrados de dez-1995 até set-2026.</v>
      </c>
      <c r="C32" s="584"/>
      <c r="D32" s="585"/>
      <c r="E32" s="158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</row>
    <row r="33" spans="1:19" ht="15" customHeight="1">
      <c r="A33" s="11"/>
      <c r="B33" s="583" t="str">
        <f ca="1">tabelas!DD10</f>
        <v>- Tabela de SELIC:  Índices cadastrados de jan-1996 até set-2026.</v>
      </c>
      <c r="C33" s="584"/>
      <c r="D33" s="585"/>
      <c r="E33" s="158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</row>
    <row r="34" spans="1:19" ht="15" customHeight="1">
      <c r="A34" s="11"/>
      <c r="B34" s="583" t="str">
        <f ca="1">tabelas!DD11</f>
        <v>- Tabela de IR anual:  Índices cadastrados de 1990 até 2025.</v>
      </c>
      <c r="C34" s="584"/>
      <c r="D34" s="585"/>
      <c r="E34" s="158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</row>
    <row r="35" spans="1:19" ht="15" customHeight="1">
      <c r="A35" s="11"/>
      <c r="B35" s="590"/>
      <c r="C35" s="591"/>
      <c r="D35" s="592"/>
      <c r="E35" s="158"/>
      <c r="J35" s="11"/>
      <c r="K35" s="11"/>
      <c r="L35" s="11"/>
      <c r="M35" s="11"/>
      <c r="N35" s="11"/>
      <c r="O35" s="11"/>
      <c r="P35" s="11"/>
      <c r="Q35" s="11"/>
      <c r="R35" s="11"/>
      <c r="S35" s="11"/>
    </row>
    <row r="36" spans="1:19">
      <c r="B36" s="11"/>
      <c r="C36" s="11"/>
      <c r="D36" s="11"/>
      <c r="E36" s="11"/>
    </row>
    <row r="37" spans="1:19">
      <c r="B37" s="11"/>
      <c r="C37" s="11"/>
      <c r="D37" s="11"/>
      <c r="E37" s="11"/>
    </row>
    <row r="38" spans="1:19">
      <c r="B38" s="11"/>
      <c r="C38" s="11"/>
      <c r="D38" s="11"/>
      <c r="E38" s="11"/>
    </row>
    <row r="39" spans="1:19">
      <c r="C39" s="11"/>
      <c r="E39" s="11"/>
    </row>
    <row r="40" spans="1:19">
      <c r="B40" s="11"/>
      <c r="C40" s="11"/>
      <c r="D40" s="11"/>
      <c r="E40" s="11"/>
    </row>
    <row r="41" spans="1:19">
      <c r="B41" s="11"/>
      <c r="C41" s="11"/>
      <c r="D41" s="11"/>
      <c r="E41" s="11"/>
    </row>
    <row r="42" spans="1:19">
      <c r="B42" s="11"/>
      <c r="C42" s="11"/>
      <c r="D42" s="11"/>
      <c r="E42" s="11"/>
    </row>
    <row r="43" spans="1:19">
      <c r="B43" s="11"/>
      <c r="C43" s="11"/>
      <c r="D43" s="11"/>
      <c r="E43" s="11"/>
    </row>
    <row r="44" spans="1:19">
      <c r="B44" s="11"/>
      <c r="C44" s="11"/>
      <c r="D44" s="11"/>
      <c r="E44" s="11"/>
    </row>
    <row r="45" spans="1:19">
      <c r="B45" s="11"/>
      <c r="C45" s="11"/>
      <c r="D45" s="11"/>
      <c r="E45" s="11"/>
    </row>
    <row r="46" spans="1:19">
      <c r="B46" s="11"/>
      <c r="C46" s="11"/>
      <c r="D46" s="11"/>
      <c r="E46" s="11"/>
    </row>
    <row r="47" spans="1:19">
      <c r="B47" s="11"/>
      <c r="C47" s="11"/>
      <c r="D47" s="11"/>
      <c r="E47" s="11"/>
    </row>
    <row r="48" spans="1:19">
      <c r="B48" s="11"/>
      <c r="C48" s="11"/>
      <c r="D48" s="11"/>
      <c r="E48" s="11"/>
    </row>
    <row r="49" spans="2:5">
      <c r="B49" s="11"/>
      <c r="C49" s="11"/>
      <c r="D49" s="11"/>
      <c r="E49" s="11"/>
    </row>
    <row r="50" spans="2:5">
      <c r="B50" s="11"/>
      <c r="C50" s="11"/>
      <c r="D50" s="11"/>
      <c r="E50" s="11"/>
    </row>
    <row r="51" spans="2:5">
      <c r="B51" s="11"/>
      <c r="C51" s="11"/>
      <c r="D51" s="11"/>
      <c r="E51" s="11"/>
    </row>
    <row r="52" spans="2:5">
      <c r="B52" s="11"/>
      <c r="C52" s="11"/>
      <c r="D52" s="11"/>
      <c r="E52" s="11"/>
    </row>
    <row r="53" spans="2:5">
      <c r="B53" s="11"/>
      <c r="C53" s="11"/>
      <c r="D53" s="11"/>
      <c r="E53" s="11"/>
    </row>
    <row r="54" spans="2:5">
      <c r="B54" s="11"/>
      <c r="C54" s="11"/>
      <c r="D54" s="11"/>
      <c r="E54" s="11"/>
    </row>
    <row r="55" spans="2:5">
      <c r="B55" s="11"/>
      <c r="C55" s="11"/>
      <c r="D55" s="11"/>
      <c r="E55" s="11"/>
    </row>
    <row r="56" spans="2:5">
      <c r="B56" s="11"/>
      <c r="C56" s="11"/>
      <c r="D56" s="11"/>
      <c r="E56" s="11"/>
    </row>
    <row r="57" spans="2:5">
      <c r="B57" s="11"/>
      <c r="C57" s="11"/>
      <c r="D57" s="11"/>
      <c r="E57" s="11"/>
    </row>
    <row r="58" spans="2:5">
      <c r="B58" s="11"/>
      <c r="C58" s="11"/>
      <c r="D58" s="11"/>
      <c r="E58" s="11"/>
    </row>
    <row r="59" spans="2:5">
      <c r="B59" s="11"/>
      <c r="C59" s="11"/>
      <c r="D59" s="11"/>
      <c r="E59" s="11"/>
    </row>
    <row r="60" spans="2:5">
      <c r="B60" s="11"/>
      <c r="C60" s="11"/>
      <c r="D60" s="11"/>
      <c r="E60" s="11"/>
    </row>
    <row r="61" spans="2:5">
      <c r="B61" s="11"/>
      <c r="C61" s="11"/>
      <c r="D61" s="11"/>
      <c r="E61" s="11"/>
    </row>
    <row r="62" spans="2:5">
      <c r="B62" s="11"/>
      <c r="C62" s="11"/>
      <c r="D62" s="11"/>
      <c r="E62" s="11"/>
    </row>
    <row r="63" spans="2:5">
      <c r="B63" s="11"/>
      <c r="C63" s="11"/>
      <c r="D63" s="11"/>
      <c r="E63" s="11"/>
    </row>
    <row r="64" spans="2:5">
      <c r="B64" s="11"/>
      <c r="C64" s="11"/>
      <c r="D64" s="11"/>
      <c r="E64" s="11"/>
    </row>
    <row r="65" spans="2:5">
      <c r="B65" s="11"/>
      <c r="C65" s="11"/>
      <c r="D65" s="11"/>
      <c r="E65" s="11"/>
    </row>
    <row r="66" spans="2:5">
      <c r="B66" s="11"/>
      <c r="C66" s="11"/>
      <c r="D66" s="11"/>
      <c r="E66" s="11"/>
    </row>
    <row r="67" spans="2:5">
      <c r="B67" s="11"/>
      <c r="C67" s="11"/>
      <c r="D67" s="11"/>
      <c r="E67" s="11"/>
    </row>
    <row r="68" spans="2:5">
      <c r="B68" s="11"/>
      <c r="C68" s="11"/>
      <c r="D68" s="11"/>
      <c r="E68" s="11"/>
    </row>
    <row r="69" spans="2:5">
      <c r="B69" s="11"/>
      <c r="C69" s="11"/>
      <c r="D69" s="11"/>
      <c r="E69" s="11"/>
    </row>
    <row r="70" spans="2:5">
      <c r="B70" s="11"/>
      <c r="C70" s="11"/>
      <c r="D70" s="11"/>
      <c r="E70" s="11"/>
    </row>
    <row r="71" spans="2:5">
      <c r="B71" s="11"/>
      <c r="C71" s="11"/>
      <c r="D71" s="11"/>
      <c r="E71" s="11"/>
    </row>
    <row r="72" spans="2:5">
      <c r="B72" s="11"/>
      <c r="C72" s="11"/>
      <c r="D72" s="11"/>
      <c r="E72" s="11"/>
    </row>
    <row r="73" spans="2:5">
      <c r="B73" s="11"/>
      <c r="C73" s="11"/>
      <c r="D73" s="11"/>
      <c r="E73" s="11"/>
    </row>
    <row r="74" spans="2:5">
      <c r="B74" s="11"/>
      <c r="C74" s="11"/>
      <c r="D74" s="11"/>
      <c r="E74" s="11"/>
    </row>
    <row r="75" spans="2:5">
      <c r="B75" s="11"/>
      <c r="C75" s="11"/>
      <c r="D75" s="11"/>
      <c r="E75" s="11"/>
    </row>
    <row r="76" spans="2:5">
      <c r="B76" s="11"/>
      <c r="C76" s="11"/>
      <c r="D76" s="11"/>
      <c r="E76" s="11"/>
    </row>
    <row r="77" spans="2:5">
      <c r="B77" s="11"/>
      <c r="C77" s="11"/>
      <c r="D77" s="11"/>
      <c r="E77" s="11"/>
    </row>
    <row r="78" spans="2:5">
      <c r="B78" s="11"/>
      <c r="C78" s="11"/>
      <c r="D78" s="11"/>
      <c r="E78" s="11"/>
    </row>
    <row r="79" spans="2:5">
      <c r="B79" s="11"/>
      <c r="C79" s="11"/>
      <c r="D79" s="11"/>
      <c r="E79" s="11"/>
    </row>
    <row r="80" spans="2:5">
      <c r="B80" s="11"/>
      <c r="C80" s="11"/>
      <c r="D80" s="11"/>
      <c r="E80" s="11"/>
    </row>
    <row r="81" spans="2:5">
      <c r="B81" s="11"/>
      <c r="C81" s="11"/>
      <c r="D81" s="11"/>
      <c r="E81" s="11"/>
    </row>
    <row r="82" spans="2:5">
      <c r="B82" s="11"/>
      <c r="C82" s="11"/>
      <c r="D82" s="11"/>
      <c r="E82" s="11"/>
    </row>
    <row r="83" spans="2:5">
      <c r="B83" s="11"/>
      <c r="C83" s="11"/>
      <c r="D83" s="11"/>
      <c r="E83" s="11"/>
    </row>
    <row r="84" spans="2:5">
      <c r="B84" s="11"/>
      <c r="C84" s="11"/>
      <c r="D84" s="11"/>
      <c r="E84" s="11"/>
    </row>
    <row r="85" spans="2:5">
      <c r="B85" s="11"/>
      <c r="C85" s="11"/>
      <c r="D85" s="11"/>
      <c r="E85" s="11"/>
    </row>
    <row r="86" spans="2:5">
      <c r="B86" s="11"/>
      <c r="C86" s="11"/>
      <c r="D86" s="11"/>
      <c r="E86" s="11"/>
    </row>
    <row r="87" spans="2:5">
      <c r="B87" s="11"/>
      <c r="C87" s="11"/>
      <c r="D87" s="11"/>
      <c r="E87" s="11"/>
    </row>
    <row r="88" spans="2:5">
      <c r="B88" s="11"/>
      <c r="C88" s="11"/>
      <c r="D88" s="11"/>
      <c r="E88" s="11"/>
    </row>
    <row r="89" spans="2:5">
      <c r="B89" s="11"/>
      <c r="C89" s="11"/>
      <c r="D89" s="11"/>
      <c r="E89" s="11"/>
    </row>
    <row r="90" spans="2:5">
      <c r="B90" s="11"/>
      <c r="C90" s="11"/>
      <c r="D90" s="11"/>
      <c r="E90" s="11"/>
    </row>
    <row r="91" spans="2:5">
      <c r="B91" s="11"/>
      <c r="C91" s="11"/>
      <c r="D91" s="11"/>
      <c r="E91" s="11"/>
    </row>
    <row r="92" spans="2:5">
      <c r="B92" s="11"/>
      <c r="C92" s="11"/>
      <c r="D92" s="11"/>
      <c r="E92" s="11"/>
    </row>
    <row r="93" spans="2:5">
      <c r="B93" s="11"/>
      <c r="C93" s="11"/>
      <c r="D93" s="11"/>
      <c r="E93" s="11"/>
    </row>
    <row r="94" spans="2:5">
      <c r="B94" s="11"/>
      <c r="C94" s="11"/>
      <c r="D94" s="11"/>
      <c r="E94" s="11"/>
    </row>
    <row r="95" spans="2:5">
      <c r="B95" s="11"/>
      <c r="C95" s="11"/>
      <c r="D95" s="11"/>
      <c r="E95" s="11"/>
    </row>
    <row r="96" spans="2:5">
      <c r="B96" s="11"/>
      <c r="C96" s="11"/>
      <c r="D96" s="11"/>
      <c r="E96" s="11"/>
    </row>
    <row r="97" spans="2:5">
      <c r="B97" s="11"/>
      <c r="C97" s="11"/>
      <c r="D97" s="11"/>
      <c r="E97" s="11"/>
    </row>
    <row r="98" spans="2:5">
      <c r="B98" s="11"/>
      <c r="C98" s="11"/>
      <c r="D98" s="11"/>
      <c r="E98" s="11"/>
    </row>
    <row r="99" spans="2:5">
      <c r="B99" s="11"/>
      <c r="C99" s="11"/>
      <c r="D99" s="11"/>
      <c r="E99" s="11"/>
    </row>
    <row r="100" spans="2:5">
      <c r="B100" s="11"/>
      <c r="C100" s="11"/>
      <c r="D100" s="11"/>
      <c r="E100" s="11"/>
    </row>
    <row r="101" spans="2:5">
      <c r="B101" s="11"/>
      <c r="C101" s="11"/>
      <c r="D101" s="11"/>
      <c r="E101" s="11"/>
    </row>
    <row r="102" spans="2:5">
      <c r="B102" s="11"/>
      <c r="C102" s="11"/>
      <c r="D102" s="11"/>
      <c r="E102" s="11"/>
    </row>
    <row r="103" spans="2:5">
      <c r="B103" s="11"/>
      <c r="C103" s="11"/>
      <c r="D103" s="11"/>
      <c r="E103" s="11"/>
    </row>
    <row r="104" spans="2:5">
      <c r="B104" s="11"/>
      <c r="C104" s="11"/>
      <c r="D104" s="11"/>
      <c r="E104" s="11"/>
    </row>
    <row r="105" spans="2:5">
      <c r="B105" s="11"/>
      <c r="C105" s="11"/>
      <c r="D105" s="11"/>
      <c r="E105" s="11"/>
    </row>
    <row r="106" spans="2:5">
      <c r="B106" s="11"/>
      <c r="C106" s="11"/>
      <c r="D106" s="11"/>
      <c r="E106" s="11"/>
    </row>
    <row r="107" spans="2:5">
      <c r="B107" s="11"/>
      <c r="C107" s="11"/>
      <c r="D107" s="11"/>
      <c r="E107" s="11"/>
    </row>
    <row r="108" spans="2:5">
      <c r="B108" s="11"/>
      <c r="C108" s="11"/>
      <c r="D108" s="11"/>
      <c r="E108" s="11"/>
    </row>
    <row r="109" spans="2:5">
      <c r="B109" s="11"/>
      <c r="C109" s="11"/>
      <c r="D109" s="11"/>
      <c r="E109" s="11"/>
    </row>
    <row r="110" spans="2:5">
      <c r="B110" s="11"/>
      <c r="C110" s="11"/>
      <c r="D110" s="11"/>
      <c r="E110" s="11"/>
    </row>
    <row r="111" spans="2:5">
      <c r="B111" s="11"/>
      <c r="C111" s="11"/>
      <c r="D111" s="11"/>
      <c r="E111" s="11"/>
    </row>
    <row r="112" spans="2:5">
      <c r="B112" s="11"/>
      <c r="C112" s="11"/>
      <c r="D112" s="11"/>
      <c r="E112" s="11"/>
    </row>
    <row r="113" spans="2:5">
      <c r="B113" s="11"/>
      <c r="C113" s="11"/>
      <c r="D113" s="11"/>
      <c r="E113" s="11"/>
    </row>
    <row r="114" spans="2:5">
      <c r="B114" s="11"/>
      <c r="C114" s="11"/>
      <c r="D114" s="11"/>
      <c r="E114" s="11"/>
    </row>
    <row r="115" spans="2:5">
      <c r="B115" s="11"/>
      <c r="C115" s="11"/>
      <c r="D115" s="11"/>
      <c r="E115" s="11"/>
    </row>
    <row r="116" spans="2:5">
      <c r="B116" s="11"/>
      <c r="C116" s="11"/>
      <c r="D116" s="11"/>
      <c r="E116" s="11"/>
    </row>
    <row r="117" spans="2:5">
      <c r="B117" s="11"/>
      <c r="C117" s="11"/>
      <c r="D117" s="11"/>
      <c r="E117" s="11"/>
    </row>
    <row r="118" spans="2:5">
      <c r="B118" s="11"/>
      <c r="C118" s="11"/>
      <c r="D118" s="11"/>
      <c r="E118" s="11"/>
    </row>
    <row r="119" spans="2:5">
      <c r="B119" s="11"/>
      <c r="C119" s="11"/>
      <c r="D119" s="11"/>
      <c r="E119" s="11"/>
    </row>
    <row r="120" spans="2:5">
      <c r="B120" s="11"/>
      <c r="C120" s="11"/>
      <c r="D120" s="11"/>
      <c r="E120" s="11"/>
    </row>
    <row r="121" spans="2:5">
      <c r="B121" s="11"/>
      <c r="C121" s="11"/>
      <c r="D121" s="11"/>
      <c r="E121" s="11"/>
    </row>
    <row r="122" spans="2:5">
      <c r="B122" s="11"/>
      <c r="C122" s="11"/>
      <c r="D122" s="11"/>
      <c r="E122" s="11"/>
    </row>
    <row r="123" spans="2:5">
      <c r="B123" s="11"/>
      <c r="C123" s="11"/>
      <c r="D123" s="11"/>
      <c r="E123" s="11"/>
    </row>
    <row r="124" spans="2:5">
      <c r="B124" s="11"/>
      <c r="C124" s="11"/>
      <c r="D124" s="11"/>
      <c r="E124" s="11"/>
    </row>
    <row r="125" spans="2:5">
      <c r="B125" s="11"/>
      <c r="C125" s="11"/>
      <c r="D125" s="11"/>
      <c r="E125" s="11"/>
    </row>
    <row r="126" spans="2:5">
      <c r="B126" s="11"/>
      <c r="C126" s="11"/>
      <c r="D126" s="11"/>
      <c r="E126" s="11"/>
    </row>
    <row r="127" spans="2:5">
      <c r="B127" s="11"/>
      <c r="C127" s="11"/>
      <c r="D127" s="11"/>
      <c r="E127" s="11"/>
    </row>
    <row r="128" spans="2:5">
      <c r="B128" s="11"/>
      <c r="C128" s="11"/>
      <c r="D128" s="11"/>
      <c r="E128" s="11"/>
    </row>
    <row r="129" spans="2:5">
      <c r="B129" s="11"/>
      <c r="C129" s="11"/>
      <c r="D129" s="11"/>
      <c r="E129" s="11"/>
    </row>
    <row r="130" spans="2:5">
      <c r="B130" s="11"/>
      <c r="C130" s="11"/>
      <c r="D130" s="11"/>
      <c r="E130" s="11"/>
    </row>
    <row r="131" spans="2:5">
      <c r="B131" s="11"/>
      <c r="C131" s="11"/>
      <c r="D131" s="11"/>
      <c r="E131" s="11"/>
    </row>
    <row r="132" spans="2:5">
      <c r="B132" s="11"/>
      <c r="C132" s="11"/>
      <c r="D132" s="11"/>
      <c r="E132" s="11"/>
    </row>
    <row r="133" spans="2:5">
      <c r="B133" s="11"/>
      <c r="C133" s="11"/>
      <c r="D133" s="11"/>
      <c r="E133" s="11"/>
    </row>
    <row r="134" spans="2:5">
      <c r="B134" s="11"/>
      <c r="C134" s="11"/>
      <c r="D134" s="11"/>
      <c r="E134" s="11"/>
    </row>
    <row r="135" spans="2:5">
      <c r="B135" s="11"/>
      <c r="C135" s="11"/>
      <c r="D135" s="11"/>
      <c r="E135" s="11"/>
    </row>
    <row r="136" spans="2:5">
      <c r="B136" s="11"/>
      <c r="C136" s="11"/>
      <c r="D136" s="11"/>
      <c r="E136" s="11"/>
    </row>
    <row r="137" spans="2:5">
      <c r="B137" s="11"/>
      <c r="C137" s="11"/>
      <c r="D137" s="11"/>
      <c r="E137" s="11"/>
    </row>
    <row r="138" spans="2:5">
      <c r="B138" s="11"/>
      <c r="C138" s="11"/>
      <c r="D138" s="11"/>
      <c r="E138" s="11"/>
    </row>
    <row r="139" spans="2:5">
      <c r="B139" s="11"/>
      <c r="C139" s="11"/>
      <c r="D139" s="11"/>
      <c r="E139" s="11"/>
    </row>
    <row r="140" spans="2:5">
      <c r="B140" s="11"/>
      <c r="C140" s="11"/>
      <c r="D140" s="11"/>
      <c r="E140" s="11"/>
    </row>
    <row r="141" spans="2:5">
      <c r="B141" s="11"/>
      <c r="C141" s="11"/>
      <c r="D141" s="11"/>
      <c r="E141" s="11"/>
    </row>
    <row r="142" spans="2:5">
      <c r="B142" s="11"/>
      <c r="C142" s="11"/>
      <c r="D142" s="11"/>
      <c r="E142" s="11"/>
    </row>
    <row r="143" spans="2:5">
      <c r="B143" s="11"/>
      <c r="C143" s="11"/>
      <c r="D143" s="11"/>
      <c r="E143" s="11"/>
    </row>
    <row r="144" spans="2:5">
      <c r="B144" s="11"/>
      <c r="C144" s="11"/>
      <c r="D144" s="11"/>
      <c r="E144" s="11"/>
    </row>
    <row r="145" spans="2:5">
      <c r="B145" s="11"/>
      <c r="C145" s="11"/>
      <c r="D145" s="11"/>
      <c r="E145" s="11"/>
    </row>
    <row r="146" spans="2:5">
      <c r="B146" s="11"/>
      <c r="C146" s="11"/>
      <c r="D146" s="11"/>
      <c r="E146" s="11"/>
    </row>
    <row r="147" spans="2:5">
      <c r="B147" s="11"/>
      <c r="C147" s="11"/>
      <c r="D147" s="11"/>
      <c r="E147" s="11"/>
    </row>
    <row r="148" spans="2:5">
      <c r="B148" s="11"/>
      <c r="C148" s="11"/>
      <c r="D148" s="11"/>
      <c r="E148" s="11"/>
    </row>
    <row r="149" spans="2:5">
      <c r="B149" s="11"/>
      <c r="C149" s="11"/>
      <c r="D149" s="11"/>
      <c r="E149" s="11"/>
    </row>
    <row r="150" spans="2:5">
      <c r="B150" s="11"/>
      <c r="C150" s="11"/>
      <c r="D150" s="11"/>
      <c r="E150" s="11"/>
    </row>
    <row r="151" spans="2:5">
      <c r="B151" s="11"/>
      <c r="C151" s="11"/>
      <c r="D151" s="11"/>
      <c r="E151" s="11"/>
    </row>
    <row r="152" spans="2:5">
      <c r="B152" s="11"/>
      <c r="C152" s="11"/>
      <c r="D152" s="11"/>
      <c r="E152" s="11"/>
    </row>
    <row r="153" spans="2:5">
      <c r="B153" s="11"/>
      <c r="C153" s="11"/>
      <c r="D153" s="11"/>
      <c r="E153" s="11"/>
    </row>
    <row r="154" spans="2:5">
      <c r="B154" s="11"/>
      <c r="C154" s="11"/>
      <c r="D154" s="11"/>
      <c r="E154" s="11"/>
    </row>
    <row r="155" spans="2:5">
      <c r="B155" s="11"/>
      <c r="C155" s="11"/>
      <c r="D155" s="11"/>
      <c r="E155" s="11"/>
    </row>
    <row r="156" spans="2:5">
      <c r="B156" s="11"/>
      <c r="C156" s="11"/>
      <c r="D156" s="11"/>
      <c r="E156" s="11"/>
    </row>
    <row r="157" spans="2:5">
      <c r="B157" s="11"/>
      <c r="C157" s="11"/>
      <c r="D157" s="11"/>
      <c r="E157" s="11"/>
    </row>
    <row r="158" spans="2:5">
      <c r="B158" s="11"/>
      <c r="C158" s="11"/>
      <c r="D158" s="11"/>
      <c r="E158" s="11"/>
    </row>
    <row r="159" spans="2:5">
      <c r="B159" s="11"/>
      <c r="C159" s="11"/>
      <c r="D159" s="11"/>
      <c r="E159" s="11"/>
    </row>
    <row r="160" spans="2:5">
      <c r="B160" s="11"/>
      <c r="C160" s="11"/>
      <c r="D160" s="11"/>
      <c r="E160" s="11"/>
    </row>
    <row r="161" spans="2:5">
      <c r="B161" s="11"/>
      <c r="C161" s="11"/>
      <c r="D161" s="11"/>
      <c r="E161" s="11"/>
    </row>
    <row r="162" spans="2:5">
      <c r="B162" s="11"/>
      <c r="C162" s="11"/>
      <c r="D162" s="11"/>
      <c r="E162" s="11"/>
    </row>
    <row r="163" spans="2:5">
      <c r="B163" s="11"/>
      <c r="C163" s="11"/>
      <c r="D163" s="11"/>
      <c r="E163" s="11"/>
    </row>
    <row r="164" spans="2:5">
      <c r="B164" s="11"/>
      <c r="C164" s="11"/>
      <c r="D164" s="11"/>
      <c r="E164" s="11"/>
    </row>
    <row r="165" spans="2:5">
      <c r="B165" s="11"/>
      <c r="C165" s="11"/>
      <c r="D165" s="11"/>
      <c r="E165" s="11"/>
    </row>
    <row r="166" spans="2:5">
      <c r="B166" s="11"/>
      <c r="C166" s="11"/>
      <c r="D166" s="11"/>
      <c r="E166" s="11"/>
    </row>
    <row r="167" spans="2:5">
      <c r="B167" s="11"/>
      <c r="C167" s="11"/>
      <c r="D167" s="11"/>
      <c r="E167" s="11"/>
    </row>
    <row r="168" spans="2:5">
      <c r="B168" s="11"/>
      <c r="C168" s="11"/>
      <c r="D168" s="11"/>
      <c r="E168" s="11"/>
    </row>
    <row r="169" spans="2:5">
      <c r="B169" s="11"/>
      <c r="C169" s="11"/>
      <c r="D169" s="11"/>
      <c r="E169" s="11"/>
    </row>
    <row r="170" spans="2:5">
      <c r="B170" s="11"/>
      <c r="C170" s="11"/>
      <c r="D170" s="11"/>
      <c r="E170" s="11"/>
    </row>
    <row r="171" spans="2:5">
      <c r="B171" s="11"/>
      <c r="C171" s="11"/>
      <c r="D171" s="11"/>
    </row>
    <row r="172" spans="2:5">
      <c r="B172" s="11"/>
      <c r="C172" s="11"/>
      <c r="D172" s="11"/>
    </row>
    <row r="173" spans="2:5">
      <c r="B173" s="11"/>
      <c r="C173" s="11"/>
      <c r="D173" s="11"/>
    </row>
    <row r="174" spans="2:5">
      <c r="B174" s="11"/>
      <c r="C174" s="11"/>
      <c r="D174" s="11"/>
    </row>
    <row r="175" spans="2:5">
      <c r="B175" s="11"/>
      <c r="C175" s="11"/>
      <c r="D175" s="11"/>
    </row>
    <row r="176" spans="2:5">
      <c r="B176" s="11"/>
      <c r="C176" s="11"/>
      <c r="D176" s="11"/>
    </row>
    <row r="177" spans="2:4">
      <c r="B177" s="11"/>
      <c r="C177" s="11"/>
      <c r="D177" s="11"/>
    </row>
    <row r="178" spans="2:4">
      <c r="B178" s="11"/>
      <c r="C178" s="11"/>
      <c r="D178" s="11"/>
    </row>
    <row r="179" spans="2:4">
      <c r="B179" s="11"/>
      <c r="C179" s="11"/>
      <c r="D179" s="11"/>
    </row>
    <row r="180" spans="2:4">
      <c r="B180" s="11"/>
      <c r="C180" s="11"/>
      <c r="D180" s="11"/>
    </row>
    <row r="181" spans="2:4">
      <c r="B181" s="11"/>
      <c r="C181" s="11"/>
      <c r="D181" s="11"/>
    </row>
    <row r="182" spans="2:4">
      <c r="B182" s="11"/>
      <c r="C182" s="11"/>
      <c r="D182" s="11"/>
    </row>
    <row r="183" spans="2:4">
      <c r="B183" s="11"/>
      <c r="C183" s="11"/>
      <c r="D183" s="11"/>
    </row>
    <row r="184" spans="2:4">
      <c r="B184" s="11"/>
      <c r="C184" s="11"/>
      <c r="D184" s="11"/>
    </row>
    <row r="185" spans="2:4">
      <c r="B185" s="11"/>
      <c r="C185" s="11"/>
      <c r="D185" s="11"/>
    </row>
    <row r="186" spans="2:4">
      <c r="B186" s="11"/>
      <c r="C186" s="11"/>
      <c r="D186" s="11"/>
    </row>
    <row r="187" spans="2:4">
      <c r="B187" s="11"/>
      <c r="C187" s="11"/>
      <c r="D187" s="11"/>
    </row>
    <row r="188" spans="2:4">
      <c r="B188" s="11"/>
      <c r="C188" s="11"/>
      <c r="D188" s="11"/>
    </row>
    <row r="189" spans="2:4">
      <c r="B189" s="11"/>
      <c r="C189" s="11"/>
      <c r="D189" s="11"/>
    </row>
  </sheetData>
  <sheetProtection password="DF3F" sheet="1" objects="1" scenarios="1"/>
  <mergeCells count="22">
    <mergeCell ref="B31:D31"/>
    <mergeCell ref="B32:D32"/>
    <mergeCell ref="B33:D33"/>
    <mergeCell ref="B34:D34"/>
    <mergeCell ref="B35:D35"/>
    <mergeCell ref="C20:D20"/>
    <mergeCell ref="C21:D23"/>
    <mergeCell ref="C24:D24"/>
    <mergeCell ref="C25:D25"/>
    <mergeCell ref="B29:D29"/>
    <mergeCell ref="B30:D30"/>
    <mergeCell ref="B12:C12"/>
    <mergeCell ref="C15:D15"/>
    <mergeCell ref="C16:D16"/>
    <mergeCell ref="C17:D17"/>
    <mergeCell ref="C18:D18"/>
    <mergeCell ref="B6:D6"/>
    <mergeCell ref="B7:D7"/>
    <mergeCell ref="B8:D8"/>
    <mergeCell ref="B3:D3"/>
    <mergeCell ref="B4:D4"/>
    <mergeCell ref="B5:D5"/>
  </mergeCells>
  <phoneticPr fontId="0" type="noConversion"/>
  <pageMargins left="0.19685039370078741" right="0.19685039370078741" top="0.19685039370078741" bottom="0.19685039370078741" header="0.51181102362204722" footer="0.51181102362204722"/>
  <pageSetup paperSize="9" orientation="landscape" blackAndWhite="1" r:id="rId1"/>
  <headerFooter alignWithMargins="0"/>
  <drawing r:id="rId2"/>
  <legacyDrawing r:id="rId3"/>
  <picture r:id="rId4"/>
  <controls>
    <mc:AlternateContent xmlns:mc="http://schemas.openxmlformats.org/markup-compatibility/2006">
      <mc:Choice Requires="x14">
        <control shapeId="328823" r:id="rId5" name="Label1">
          <controlPr defaultSize="0" autoLine="0" r:id="rId6">
            <anchor moveWithCells="1" sizeWithCells="1">
              <from>
                <xdr:col>3</xdr:col>
                <xdr:colOff>495300</xdr:colOff>
                <xdr:row>5</xdr:row>
                <xdr:rowOff>180975</xdr:rowOff>
              </from>
              <to>
                <xdr:col>3</xdr:col>
                <xdr:colOff>1143000</xdr:colOff>
                <xdr:row>6</xdr:row>
                <xdr:rowOff>180975</xdr:rowOff>
              </to>
            </anchor>
          </controlPr>
        </control>
      </mc:Choice>
      <mc:Fallback>
        <control shapeId="328823" r:id="rId5" name="Label1"/>
      </mc:Fallback>
    </mc:AlternateContent>
    <mc:AlternateContent xmlns:mc="http://schemas.openxmlformats.org/markup-compatibility/2006">
      <mc:Choice Requires="x14">
        <control shapeId="229032" r:id="rId7" name="Button 3752">
          <controlPr locked="0" defaultSize="0" print="0" autoFill="0" autoPict="0" macro="[0]!Botão3752_Clique">
            <anchor moveWithCells="1" sizeWithCells="1">
              <from>
                <xdr:col>3</xdr:col>
                <xdr:colOff>447675</xdr:colOff>
                <xdr:row>2</xdr:row>
                <xdr:rowOff>47625</xdr:rowOff>
              </from>
              <to>
                <xdr:col>3</xdr:col>
                <xdr:colOff>1171575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027" r:id="rId8" name="Button 3747">
          <controlPr locked="0" defaultSize="0" print="0" autoFill="0" autoPict="0" macro="[0]!S_MAN_B">
            <anchor moveWithCells="1" sizeWithCells="1">
              <from>
                <xdr:col>3</xdr:col>
                <xdr:colOff>714375</xdr:colOff>
                <xdr:row>2</xdr:row>
                <xdr:rowOff>85725</xdr:rowOff>
              </from>
              <to>
                <xdr:col>3</xdr:col>
                <xdr:colOff>895350</xdr:colOff>
                <xdr:row>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033" r:id="rId9" name="Button 3753">
          <controlPr locked="0" defaultSize="0" print="0" autoFill="0" autoPict="0" macro="[0]!S_MAN_C">
            <anchor moveWithCells="1" sizeWithCells="1">
              <from>
                <xdr:col>3</xdr:col>
                <xdr:colOff>952500</xdr:colOff>
                <xdr:row>2</xdr:row>
                <xdr:rowOff>85725</xdr:rowOff>
              </from>
              <to>
                <xdr:col>3</xdr:col>
                <xdr:colOff>1133475</xdr:colOff>
                <xdr:row>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034" r:id="rId10" name="Button 3754">
          <controlPr locked="0" defaultSize="0" print="0" autoFill="0" autoPict="0" macro="[0]!S_MAN_A">
            <anchor moveWithCells="1" sizeWithCells="1">
              <from>
                <xdr:col>3</xdr:col>
                <xdr:colOff>476250</xdr:colOff>
                <xdr:row>2</xdr:row>
                <xdr:rowOff>85725</xdr:rowOff>
              </from>
              <to>
                <xdr:col>3</xdr:col>
                <xdr:colOff>657225</xdr:colOff>
                <xdr:row>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037" r:id="rId11" name="Button 3757">
          <controlPr locked="0" defaultSize="0" print="0" autoFill="0" autoPict="0" macro="[0]!S_MAN_H">
            <anchor moveWithCells="1" sizeWithCells="1">
              <from>
                <xdr:col>3</xdr:col>
                <xdr:colOff>714375</xdr:colOff>
                <xdr:row>3</xdr:row>
                <xdr:rowOff>114300</xdr:rowOff>
              </from>
              <to>
                <xdr:col>3</xdr:col>
                <xdr:colOff>895350</xdr:colOff>
                <xdr:row>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038" r:id="rId12" name="Button 3758">
          <controlPr locked="0" defaultSize="0" print="0" autoFill="0" autoPict="0" macro="[0]!S_MAN_I">
            <anchor moveWithCells="1" sizeWithCells="1">
              <from>
                <xdr:col>3</xdr:col>
                <xdr:colOff>952500</xdr:colOff>
                <xdr:row>3</xdr:row>
                <xdr:rowOff>114300</xdr:rowOff>
              </from>
              <to>
                <xdr:col>3</xdr:col>
                <xdr:colOff>1133475</xdr:colOff>
                <xdr:row>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039" r:id="rId13" name="Button 3759">
          <controlPr locked="0" defaultSize="0" print="0" autoFill="0" autoPict="0" macro="[0]!S_MAN_G">
            <anchor moveWithCells="1" sizeWithCells="1">
              <from>
                <xdr:col>3</xdr:col>
                <xdr:colOff>476250</xdr:colOff>
                <xdr:row>3</xdr:row>
                <xdr:rowOff>114300</xdr:rowOff>
              </from>
              <to>
                <xdr:col>3</xdr:col>
                <xdr:colOff>657225</xdr:colOff>
                <xdr:row>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041" r:id="rId14" name="Button 3761">
          <controlPr locked="0" defaultSize="0" print="0" autoFill="0" autoPict="0" macro="[0]!S_MAN_E">
            <anchor moveWithCells="1" sizeWithCells="1">
              <from>
                <xdr:col>3</xdr:col>
                <xdr:colOff>714375</xdr:colOff>
                <xdr:row>4</xdr:row>
                <xdr:rowOff>152400</xdr:rowOff>
              </from>
              <to>
                <xdr:col>3</xdr:col>
                <xdr:colOff>895350</xdr:colOff>
                <xdr:row>5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042" r:id="rId15" name="Button 3762">
          <controlPr locked="0" defaultSize="0" print="0" autoFill="0" autoPict="0" macro="[0]!S_MAN_F">
            <anchor moveWithCells="1" sizeWithCells="1">
              <from>
                <xdr:col>3</xdr:col>
                <xdr:colOff>952500</xdr:colOff>
                <xdr:row>4</xdr:row>
                <xdr:rowOff>152400</xdr:rowOff>
              </from>
              <to>
                <xdr:col>3</xdr:col>
                <xdr:colOff>1133475</xdr:colOff>
                <xdr:row>5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9043" r:id="rId16" name="Button 3763">
          <controlPr locked="0" defaultSize="0" print="0" autoFill="0" autoPict="0" macro="[0]!S_MAN_D">
            <anchor moveWithCells="1" sizeWithCells="1">
              <from>
                <xdr:col>3</xdr:col>
                <xdr:colOff>476250</xdr:colOff>
                <xdr:row>4</xdr:row>
                <xdr:rowOff>152400</xdr:rowOff>
              </from>
              <to>
                <xdr:col>3</xdr:col>
                <xdr:colOff>657225</xdr:colOff>
                <xdr:row>5</xdr:row>
                <xdr:rowOff>142875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1:DD692"/>
  <sheetViews>
    <sheetView showGridLines="0" topLeftCell="Q1" zoomScaleNormal="100" workbookViewId="0">
      <pane ySplit="5" topLeftCell="A9" activePane="bottomLeft" state="frozen"/>
      <selection pane="bottomLeft" activeCell="AE24" sqref="AE24"/>
    </sheetView>
  </sheetViews>
  <sheetFormatPr defaultRowHeight="12.75"/>
  <cols>
    <col min="1" max="1" width="1.28515625" style="2" customWidth="1"/>
    <col min="2" max="2" width="10.42578125" style="2" customWidth="1"/>
    <col min="3" max="3" width="14" style="2" customWidth="1"/>
    <col min="4" max="4" width="9.140625" style="2"/>
    <col min="5" max="5" width="14" style="2" customWidth="1"/>
    <col min="6" max="6" width="1.28515625" style="2" customWidth="1"/>
    <col min="7" max="9" width="10.7109375" style="11" customWidth="1"/>
    <col min="10" max="10" width="8.7109375" style="11" bestFit="1" customWidth="1"/>
    <col min="11" max="11" width="10.7109375" style="7" customWidth="1"/>
    <col min="12" max="12" width="1.28515625" style="2" customWidth="1"/>
    <col min="13" max="17" width="9.85546875" style="2" customWidth="1"/>
    <col min="18" max="18" width="1.28515625" style="2" customWidth="1"/>
    <col min="19" max="20" width="10.7109375" style="11" customWidth="1"/>
    <col min="21" max="21" width="9.140625" style="11" bestFit="1" customWidth="1"/>
    <col min="22" max="22" width="9.7109375" style="7" customWidth="1"/>
    <col min="23" max="23" width="1.28515625" style="2" customWidth="1"/>
    <col min="24" max="24" width="7.7109375" style="2" bestFit="1" customWidth="1"/>
    <col min="25" max="26" width="8.5703125" style="2" customWidth="1"/>
    <col min="27" max="27" width="11.7109375" style="2" bestFit="1" customWidth="1"/>
    <col min="28" max="28" width="10.42578125" style="2" bestFit="1" customWidth="1"/>
    <col min="29" max="29" width="8.5703125" style="2" customWidth="1"/>
    <col min="30" max="30" width="11.7109375" style="2" bestFit="1" customWidth="1"/>
    <col min="31" max="31" width="10.42578125" style="2" bestFit="1" customWidth="1"/>
    <col min="32" max="32" width="8.5703125" style="2" customWidth="1"/>
    <col min="33" max="33" width="9.140625" style="2" bestFit="1" customWidth="1"/>
    <col min="34" max="34" width="10.42578125" style="2" bestFit="1" customWidth="1"/>
    <col min="35" max="35" width="8.5703125" style="2" customWidth="1"/>
    <col min="36" max="36" width="9.140625" style="2" bestFit="1" customWidth="1"/>
    <col min="37" max="37" width="10.42578125" style="2" bestFit="1" customWidth="1"/>
    <col min="38" max="39" width="8.5703125" style="2" customWidth="1"/>
    <col min="40" max="40" width="10.42578125" style="2" bestFit="1" customWidth="1"/>
    <col min="41" max="41" width="12" style="2" bestFit="1" customWidth="1"/>
    <col min="42" max="42" width="12" style="2" customWidth="1"/>
    <col min="43" max="43" width="6.42578125" style="2" customWidth="1"/>
    <col min="44" max="44" width="7.5703125" style="2" customWidth="1"/>
    <col min="45" max="45" width="7.28515625" style="2" customWidth="1"/>
    <col min="46" max="46" width="11.85546875" style="2" customWidth="1"/>
    <col min="47" max="47" width="10.42578125" style="2" customWidth="1"/>
    <col min="48" max="48" width="6.85546875" style="2" customWidth="1"/>
    <col min="49" max="49" width="11.42578125" style="2" customWidth="1"/>
    <col min="50" max="50" width="10.28515625" style="2" customWidth="1"/>
    <col min="51" max="51" width="7" style="2" customWidth="1"/>
    <col min="52" max="52" width="9.5703125" style="2" customWidth="1"/>
    <col min="53" max="53" width="10" style="2" customWidth="1"/>
    <col min="54" max="54" width="7.28515625" style="2" customWidth="1"/>
    <col min="55" max="55" width="9.85546875" style="2" customWidth="1"/>
    <col min="56" max="56" width="9.28515625" style="2" customWidth="1"/>
    <col min="57" max="57" width="7.28515625" style="2" customWidth="1"/>
    <col min="58" max="58" width="10" style="2" customWidth="1"/>
    <col min="59" max="59" width="9.7109375" style="2" customWidth="1"/>
    <col min="60" max="61" width="11.5703125" style="2" customWidth="1"/>
    <col min="62" max="62" width="1.28515625" style="2" customWidth="1"/>
    <col min="63" max="63" width="3.7109375" style="2" customWidth="1"/>
    <col min="64" max="64" width="1.28515625" style="2" customWidth="1"/>
    <col min="65" max="65" width="6.140625" style="2" customWidth="1"/>
    <col min="66" max="66" width="9.5703125" style="2" customWidth="1"/>
    <col min="67" max="67" width="9.7109375" style="2" customWidth="1"/>
    <col min="68" max="68" width="11.140625" style="2" customWidth="1"/>
    <col min="69" max="69" width="13.42578125" style="2" customWidth="1"/>
    <col min="70" max="70" width="1.28515625" style="2" customWidth="1"/>
    <col min="71" max="71" width="10.42578125" style="2" customWidth="1"/>
    <col min="72" max="72" width="9.5703125" style="2" customWidth="1"/>
    <col min="73" max="73" width="10.42578125" style="2" customWidth="1"/>
    <col min="74" max="74" width="11" style="2" customWidth="1"/>
    <col min="75" max="75" width="1.28515625" style="2" customWidth="1"/>
    <col min="76" max="76" width="10.42578125" style="2" customWidth="1"/>
    <col min="77" max="77" width="9.5703125" style="2" customWidth="1"/>
    <col min="78" max="78" width="10.42578125" style="2" customWidth="1"/>
    <col min="79" max="79" width="11" style="2" customWidth="1"/>
    <col min="80" max="80" width="1.140625" style="2" customWidth="1"/>
    <col min="81" max="81" width="10.140625" style="2" customWidth="1"/>
    <col min="82" max="82" width="12.7109375" style="2" customWidth="1"/>
    <col min="83" max="83" width="1.7109375" style="2" customWidth="1"/>
    <col min="84" max="84" width="6.5703125" style="2" customWidth="1"/>
    <col min="85" max="85" width="9.5703125" style="2" customWidth="1"/>
    <col min="86" max="86" width="10.140625" style="2" customWidth="1"/>
    <col min="87" max="87" width="11.140625" style="2" customWidth="1"/>
    <col min="88" max="88" width="12.28515625" style="2" customWidth="1"/>
    <col min="89" max="89" width="1.28515625" style="2" customWidth="1"/>
    <col min="90" max="90" width="3.7109375" style="2" customWidth="1"/>
    <col min="91" max="91" width="1.28515625" style="2" customWidth="1"/>
    <col min="92" max="92" width="9.5703125" style="2" customWidth="1"/>
    <col min="93" max="93" width="13.42578125" style="2" customWidth="1"/>
    <col min="94" max="94" width="1.28515625" style="2" customWidth="1"/>
    <col min="95" max="95" width="9.5703125" style="2" customWidth="1"/>
    <col min="96" max="96" width="13.42578125" style="2" customWidth="1"/>
    <col min="97" max="97" width="1.28515625" style="2" customWidth="1"/>
    <col min="98" max="98" width="3.7109375" style="2" customWidth="1"/>
    <col min="99" max="99" width="1.28515625" style="2" customWidth="1"/>
    <col min="100" max="100" width="5.7109375" style="2" customWidth="1"/>
    <col min="101" max="101" width="23.140625" style="195" customWidth="1"/>
    <col min="102" max="102" width="21" style="195" customWidth="1"/>
    <col min="103" max="103" width="4" style="2" customWidth="1"/>
    <col min="104" max="104" width="13.5703125" style="2" customWidth="1"/>
    <col min="105" max="106" width="12.85546875" style="2" customWidth="1"/>
    <col min="107" max="107" width="2.28515625" style="2" customWidth="1"/>
    <col min="108" max="108" width="63" style="2" bestFit="1" customWidth="1"/>
    <col min="109" max="16384" width="9.140625" style="2"/>
  </cols>
  <sheetData>
    <row r="1" spans="2:108" ht="9.9499999999999993" customHeight="1">
      <c r="B1" s="11"/>
      <c r="C1" s="11"/>
      <c r="K1" s="2"/>
      <c r="V1" s="2"/>
      <c r="BK1" s="325"/>
      <c r="CL1" s="325"/>
      <c r="CT1" s="325"/>
    </row>
    <row r="2" spans="2:108" ht="15" customHeight="1">
      <c r="B2" s="608" t="s">
        <v>46</v>
      </c>
      <c r="C2" s="609"/>
      <c r="D2" s="609"/>
      <c r="E2" s="610"/>
      <c r="G2" s="614" t="s">
        <v>198</v>
      </c>
      <c r="H2" s="614"/>
      <c r="I2" s="614"/>
      <c r="J2" s="614"/>
      <c r="K2" s="614"/>
      <c r="M2" s="608" t="s">
        <v>273</v>
      </c>
      <c r="N2" s="609"/>
      <c r="O2" s="609"/>
      <c r="P2" s="609"/>
      <c r="Q2" s="610"/>
      <c r="S2" s="614" t="s">
        <v>267</v>
      </c>
      <c r="T2" s="614"/>
      <c r="U2" s="614"/>
      <c r="V2" s="614"/>
      <c r="X2" s="625" t="s">
        <v>208</v>
      </c>
      <c r="Y2" s="626"/>
      <c r="Z2" s="626"/>
      <c r="AA2" s="626"/>
      <c r="AB2" s="626"/>
      <c r="AC2" s="626"/>
      <c r="AD2" s="626"/>
      <c r="AE2" s="626"/>
      <c r="AF2" s="626"/>
      <c r="AG2" s="626"/>
      <c r="AH2" s="626"/>
      <c r="AI2" s="626"/>
      <c r="AJ2" s="626"/>
      <c r="AK2" s="626"/>
      <c r="AL2" s="626"/>
      <c r="AM2" s="626"/>
      <c r="AN2" s="626"/>
      <c r="AO2" s="626"/>
      <c r="AP2" s="627"/>
      <c r="AQ2" s="634" t="s">
        <v>208</v>
      </c>
      <c r="AR2" s="634"/>
      <c r="AS2" s="634"/>
      <c r="AT2" s="634"/>
      <c r="AU2" s="634"/>
      <c r="AV2" s="634"/>
      <c r="AW2" s="634"/>
      <c r="AX2" s="634"/>
      <c r="AY2" s="634"/>
      <c r="AZ2" s="634"/>
      <c r="BA2" s="634"/>
      <c r="BB2" s="634"/>
      <c r="BC2" s="634"/>
      <c r="BD2" s="634"/>
      <c r="BE2" s="634"/>
      <c r="BF2" s="634"/>
      <c r="BG2" s="634"/>
      <c r="BH2" s="634"/>
      <c r="BI2" s="634"/>
      <c r="BK2" s="325"/>
      <c r="BM2" s="631" t="s">
        <v>286</v>
      </c>
      <c r="BN2" s="632"/>
      <c r="BO2" s="632"/>
      <c r="BP2" s="632"/>
      <c r="BQ2" s="633"/>
      <c r="BS2" s="614" t="s">
        <v>282</v>
      </c>
      <c r="BT2" s="614"/>
      <c r="BU2" s="614"/>
      <c r="BV2" s="614"/>
      <c r="BX2" s="608" t="s">
        <v>274</v>
      </c>
      <c r="BY2" s="609"/>
      <c r="BZ2" s="609"/>
      <c r="CA2" s="610"/>
      <c r="CC2" s="619" t="s">
        <v>42</v>
      </c>
      <c r="CD2" s="620"/>
      <c r="CF2" s="608" t="s">
        <v>283</v>
      </c>
      <c r="CG2" s="609"/>
      <c r="CH2" s="609"/>
      <c r="CI2" s="609"/>
      <c r="CJ2" s="610"/>
      <c r="CL2" s="325"/>
      <c r="CN2" s="615" t="s">
        <v>71</v>
      </c>
      <c r="CO2" s="615"/>
      <c r="CQ2" s="615" t="s">
        <v>72</v>
      </c>
      <c r="CR2" s="615"/>
      <c r="CT2" s="325"/>
    </row>
    <row r="3" spans="2:108" ht="15" customHeight="1">
      <c r="B3" s="608" t="s">
        <v>238</v>
      </c>
      <c r="C3" s="610"/>
      <c r="D3" s="608" t="s">
        <v>239</v>
      </c>
      <c r="E3" s="610"/>
      <c r="G3" s="641" t="s">
        <v>238</v>
      </c>
      <c r="H3" s="649"/>
      <c r="I3" s="642"/>
      <c r="J3" s="614" t="s">
        <v>239</v>
      </c>
      <c r="K3" s="614"/>
      <c r="M3" s="608" t="s">
        <v>238</v>
      </c>
      <c r="N3" s="609"/>
      <c r="O3" s="610"/>
      <c r="P3" s="608" t="s">
        <v>239</v>
      </c>
      <c r="Q3" s="610"/>
      <c r="S3" s="641" t="s">
        <v>238</v>
      </c>
      <c r="T3" s="642"/>
      <c r="U3" s="614" t="s">
        <v>36</v>
      </c>
      <c r="V3" s="602" t="s">
        <v>15</v>
      </c>
      <c r="X3" s="616" t="s">
        <v>12</v>
      </c>
      <c r="Y3" s="616" t="s">
        <v>27</v>
      </c>
      <c r="Z3" s="611" t="s">
        <v>9</v>
      </c>
      <c r="AA3" s="612"/>
      <c r="AB3" s="613"/>
      <c r="AC3" s="611" t="s">
        <v>10</v>
      </c>
      <c r="AD3" s="612"/>
      <c r="AE3" s="613"/>
      <c r="AF3" s="611" t="s">
        <v>11</v>
      </c>
      <c r="AG3" s="612"/>
      <c r="AH3" s="613"/>
      <c r="AI3" s="611" t="s">
        <v>13</v>
      </c>
      <c r="AJ3" s="612"/>
      <c r="AK3" s="613"/>
      <c r="AL3" s="611" t="s">
        <v>26</v>
      </c>
      <c r="AM3" s="612"/>
      <c r="AN3" s="613"/>
      <c r="AO3" s="322" t="s">
        <v>33</v>
      </c>
      <c r="AP3" s="616" t="s">
        <v>323</v>
      </c>
      <c r="AQ3" s="616" t="s">
        <v>12</v>
      </c>
      <c r="AR3" s="616" t="s">
        <v>27</v>
      </c>
      <c r="AS3" s="611" t="s">
        <v>9</v>
      </c>
      <c r="AT3" s="612"/>
      <c r="AU3" s="613"/>
      <c r="AV3" s="611" t="s">
        <v>10</v>
      </c>
      <c r="AW3" s="612"/>
      <c r="AX3" s="613"/>
      <c r="AY3" s="611" t="s">
        <v>11</v>
      </c>
      <c r="AZ3" s="612"/>
      <c r="BA3" s="613"/>
      <c r="BB3" s="611" t="s">
        <v>13</v>
      </c>
      <c r="BC3" s="612"/>
      <c r="BD3" s="613"/>
      <c r="BE3" s="611" t="s">
        <v>26</v>
      </c>
      <c r="BF3" s="612"/>
      <c r="BG3" s="613"/>
      <c r="BH3" s="322" t="s">
        <v>33</v>
      </c>
      <c r="BI3" s="616" t="s">
        <v>323</v>
      </c>
      <c r="BK3" s="325"/>
      <c r="BM3" s="605" t="s">
        <v>49</v>
      </c>
      <c r="BN3" s="601" t="s">
        <v>36</v>
      </c>
      <c r="BO3" s="607" t="s">
        <v>15</v>
      </c>
      <c r="BP3" s="605" t="s">
        <v>44</v>
      </c>
      <c r="BQ3" s="605" t="s">
        <v>60</v>
      </c>
      <c r="BS3" s="605" t="s">
        <v>49</v>
      </c>
      <c r="BT3" s="601" t="s">
        <v>36</v>
      </c>
      <c r="BU3" s="607" t="s">
        <v>15</v>
      </c>
      <c r="BV3" s="605" t="s">
        <v>60</v>
      </c>
      <c r="BX3" s="605" t="s">
        <v>49</v>
      </c>
      <c r="BY3" s="601" t="s">
        <v>36</v>
      </c>
      <c r="BZ3" s="607" t="s">
        <v>15</v>
      </c>
      <c r="CA3" s="605" t="s">
        <v>60</v>
      </c>
      <c r="CC3" s="621"/>
      <c r="CD3" s="622"/>
      <c r="CF3" s="605" t="s">
        <v>49</v>
      </c>
      <c r="CG3" s="601" t="s">
        <v>36</v>
      </c>
      <c r="CH3" s="607" t="s">
        <v>15</v>
      </c>
      <c r="CI3" s="607" t="s">
        <v>15</v>
      </c>
      <c r="CJ3" s="605" t="s">
        <v>60</v>
      </c>
      <c r="CL3" s="325"/>
      <c r="CN3" s="601" t="s">
        <v>36</v>
      </c>
      <c r="CO3" s="602" t="s">
        <v>60</v>
      </c>
      <c r="CQ3" s="601" t="s">
        <v>36</v>
      </c>
      <c r="CR3" s="602" t="s">
        <v>60</v>
      </c>
      <c r="CT3" s="325"/>
    </row>
    <row r="4" spans="2:108" ht="15" customHeight="1">
      <c r="B4" s="293" t="s">
        <v>36</v>
      </c>
      <c r="C4" s="289" t="s">
        <v>15</v>
      </c>
      <c r="D4" s="293" t="s">
        <v>36</v>
      </c>
      <c r="E4" s="289" t="s">
        <v>15</v>
      </c>
      <c r="G4" s="281" t="s">
        <v>265</v>
      </c>
      <c r="H4" s="281" t="s">
        <v>266</v>
      </c>
      <c r="I4" s="282" t="s">
        <v>15</v>
      </c>
      <c r="J4" s="276" t="s">
        <v>36</v>
      </c>
      <c r="K4" s="277" t="s">
        <v>15</v>
      </c>
      <c r="M4" s="293" t="s">
        <v>265</v>
      </c>
      <c r="N4" s="293" t="s">
        <v>266</v>
      </c>
      <c r="O4" s="289" t="s">
        <v>15</v>
      </c>
      <c r="P4" s="293" t="s">
        <v>36</v>
      </c>
      <c r="Q4" s="289" t="s">
        <v>15</v>
      </c>
      <c r="S4" s="281" t="s">
        <v>268</v>
      </c>
      <c r="T4" s="277" t="s">
        <v>15</v>
      </c>
      <c r="U4" s="614"/>
      <c r="V4" s="603"/>
      <c r="X4" s="617"/>
      <c r="Y4" s="617"/>
      <c r="Z4" s="323" t="s">
        <v>8</v>
      </c>
      <c r="AA4" s="323" t="s">
        <v>7</v>
      </c>
      <c r="AB4" s="323" t="s">
        <v>6</v>
      </c>
      <c r="AC4" s="323" t="s">
        <v>8</v>
      </c>
      <c r="AD4" s="323" t="s">
        <v>7</v>
      </c>
      <c r="AE4" s="323" t="s">
        <v>6</v>
      </c>
      <c r="AF4" s="323" t="s">
        <v>8</v>
      </c>
      <c r="AG4" s="323" t="s">
        <v>7</v>
      </c>
      <c r="AH4" s="323" t="s">
        <v>6</v>
      </c>
      <c r="AI4" s="323" t="s">
        <v>8</v>
      </c>
      <c r="AJ4" s="323" t="s">
        <v>7</v>
      </c>
      <c r="AK4" s="323" t="s">
        <v>6</v>
      </c>
      <c r="AL4" s="323" t="s">
        <v>8</v>
      </c>
      <c r="AM4" s="323" t="s">
        <v>7</v>
      </c>
      <c r="AN4" s="323" t="s">
        <v>6</v>
      </c>
      <c r="AO4" s="324" t="s">
        <v>34</v>
      </c>
      <c r="AP4" s="617"/>
      <c r="AQ4" s="617"/>
      <c r="AR4" s="617"/>
      <c r="AS4" s="323" t="s">
        <v>8</v>
      </c>
      <c r="AT4" s="323" t="s">
        <v>7</v>
      </c>
      <c r="AU4" s="323" t="s">
        <v>6</v>
      </c>
      <c r="AV4" s="323" t="s">
        <v>8</v>
      </c>
      <c r="AW4" s="323" t="s">
        <v>7</v>
      </c>
      <c r="AX4" s="323" t="s">
        <v>6</v>
      </c>
      <c r="AY4" s="323" t="s">
        <v>8</v>
      </c>
      <c r="AZ4" s="323" t="s">
        <v>7</v>
      </c>
      <c r="BA4" s="323" t="s">
        <v>6</v>
      </c>
      <c r="BB4" s="323" t="s">
        <v>8</v>
      </c>
      <c r="BC4" s="323" t="s">
        <v>7</v>
      </c>
      <c r="BD4" s="323" t="s">
        <v>6</v>
      </c>
      <c r="BE4" s="323" t="s">
        <v>8</v>
      </c>
      <c r="BF4" s="323" t="s">
        <v>7</v>
      </c>
      <c r="BG4" s="323" t="s">
        <v>6</v>
      </c>
      <c r="BH4" s="324" t="s">
        <v>34</v>
      </c>
      <c r="BI4" s="617"/>
      <c r="BK4" s="325"/>
      <c r="BM4" s="606"/>
      <c r="BN4" s="601"/>
      <c r="BO4" s="607"/>
      <c r="BP4" s="606"/>
      <c r="BQ4" s="606"/>
      <c r="BS4" s="606"/>
      <c r="BT4" s="601"/>
      <c r="BU4" s="607"/>
      <c r="BV4" s="606"/>
      <c r="BX4" s="606"/>
      <c r="BY4" s="601"/>
      <c r="BZ4" s="607"/>
      <c r="CA4" s="606"/>
      <c r="CC4" s="293" t="s">
        <v>36</v>
      </c>
      <c r="CD4" s="289" t="s">
        <v>15</v>
      </c>
      <c r="CF4" s="606"/>
      <c r="CG4" s="601"/>
      <c r="CH4" s="607"/>
      <c r="CI4" s="607"/>
      <c r="CJ4" s="606"/>
      <c r="CL4" s="325"/>
      <c r="CN4" s="601"/>
      <c r="CO4" s="603"/>
      <c r="CQ4" s="601"/>
      <c r="CR4" s="603"/>
      <c r="CT4" s="325"/>
      <c r="CW4" s="241">
        <f>+COUNTA(CW10:CW209)</f>
        <v>137</v>
      </c>
      <c r="CX4" s="240" t="s">
        <v>244</v>
      </c>
    </row>
    <row r="5" spans="2:108" ht="15" customHeight="1">
      <c r="B5" s="646"/>
      <c r="C5" s="647"/>
      <c r="D5" s="647"/>
      <c r="E5" s="648"/>
      <c r="G5" s="639"/>
      <c r="H5" s="640"/>
      <c r="I5" s="640"/>
      <c r="J5" s="640"/>
      <c r="K5" s="640"/>
      <c r="M5" s="643"/>
      <c r="N5" s="644"/>
      <c r="O5" s="644"/>
      <c r="P5" s="644"/>
      <c r="Q5" s="645"/>
      <c r="S5" s="635"/>
      <c r="T5" s="635"/>
      <c r="U5" s="635"/>
      <c r="V5" s="635"/>
      <c r="X5" s="628"/>
      <c r="Y5" s="629"/>
      <c r="Z5" s="629"/>
      <c r="AA5" s="629"/>
      <c r="AB5" s="629"/>
      <c r="AC5" s="629"/>
      <c r="AD5" s="629"/>
      <c r="AE5" s="629"/>
      <c r="AF5" s="629"/>
      <c r="AG5" s="629"/>
      <c r="AH5" s="629"/>
      <c r="AI5" s="629"/>
      <c r="AJ5" s="629"/>
      <c r="AK5" s="629"/>
      <c r="AL5" s="629"/>
      <c r="AM5" s="629"/>
      <c r="AN5" s="629"/>
      <c r="AO5" s="629"/>
      <c r="AP5" s="630"/>
      <c r="AQ5" s="618"/>
      <c r="AR5" s="618"/>
      <c r="AS5" s="618"/>
      <c r="AT5" s="618"/>
      <c r="AU5" s="618"/>
      <c r="AV5" s="618"/>
      <c r="AW5" s="618"/>
      <c r="AX5" s="618"/>
      <c r="AY5" s="618"/>
      <c r="AZ5" s="618"/>
      <c r="BA5" s="618"/>
      <c r="BB5" s="618"/>
      <c r="BC5" s="618"/>
      <c r="BD5" s="618"/>
      <c r="BE5" s="618"/>
      <c r="BF5" s="618"/>
      <c r="BG5" s="618"/>
      <c r="BH5" s="618"/>
      <c r="BI5" s="618"/>
      <c r="BK5" s="325"/>
      <c r="BM5" s="604"/>
      <c r="BN5" s="604"/>
      <c r="BO5" s="604"/>
      <c r="BP5" s="604"/>
      <c r="BQ5" s="604"/>
      <c r="BS5" s="635"/>
      <c r="BT5" s="635"/>
      <c r="BU5" s="635"/>
      <c r="BV5" s="635"/>
      <c r="BX5" s="30"/>
      <c r="BY5" s="28"/>
      <c r="BZ5" s="29"/>
      <c r="CA5" s="29"/>
      <c r="CC5" s="623"/>
      <c r="CD5" s="624"/>
      <c r="CF5" s="604"/>
      <c r="CG5" s="604"/>
      <c r="CH5" s="604"/>
      <c r="CI5" s="604"/>
      <c r="CJ5" s="604"/>
      <c r="CL5" s="325"/>
      <c r="CN5" s="600"/>
      <c r="CO5" s="600"/>
      <c r="CQ5" s="600"/>
      <c r="CR5" s="600"/>
      <c r="CT5" s="325"/>
      <c r="CW5" s="241">
        <f>+IF(ISNA(MATCH(SERIAL,CX10:CX301,0)),0,MATCH(SERIAL,CX10:CX301,0))</f>
        <v>0</v>
      </c>
      <c r="CX5" s="240" t="s">
        <v>245</v>
      </c>
    </row>
    <row r="6" spans="2:108" ht="15" customHeight="1">
      <c r="B6" s="163">
        <v>36526</v>
      </c>
      <c r="C6" s="165">
        <v>136</v>
      </c>
      <c r="D6" s="274">
        <f>+IF(TRIM(B6)="","",TRUNC(B6,0))</f>
        <v>36526</v>
      </c>
      <c r="E6" s="275">
        <f>+IF(TRIM(C6)="","",C6)</f>
        <v>136</v>
      </c>
      <c r="G6" s="163">
        <v>36892</v>
      </c>
      <c r="H6" s="163">
        <v>36923</v>
      </c>
      <c r="I6" s="164">
        <v>1.369E-3</v>
      </c>
      <c r="J6" s="159">
        <f>+IF(AND(TRIM(H6)="",TRIM(H5)&lt;&gt;""),EDATE(J5,1),IF(TRIM(H6)="","",TRUNC(H6,0)))</f>
        <v>36923</v>
      </c>
      <c r="K6" s="278">
        <f>+IF(AND(I6="",I5&lt;&gt;""),0,IF(TRIM(I6)="","",IF(AND(J6&gt;=vdt_ec113,VOP_EC113="SIM"),0,I6)))</f>
        <v>1.369E-3</v>
      </c>
      <c r="M6" s="290">
        <v>35034</v>
      </c>
      <c r="N6" s="290">
        <v>35065</v>
      </c>
      <c r="O6" s="291">
        <v>5.0000000000000001E-3</v>
      </c>
      <c r="P6" s="159">
        <f t="shared" ref="P6:P67" si="0">IF(AND(TRIM(M6)="",TRIM(M5)&lt;&gt;""),EDATE(P5,1),IF(TRIM(M6)="","",TRUNC(M6,0)))</f>
        <v>35034</v>
      </c>
      <c r="Q6" s="291">
        <v>5.0000000000000001E-3</v>
      </c>
      <c r="S6" s="163">
        <v>35065</v>
      </c>
      <c r="T6" s="164">
        <v>2.58E-2</v>
      </c>
      <c r="U6" s="159">
        <f>+IF(AND(TRIM(S6)="",TRIM(S5)&lt;&gt;""),EDATE(U5,1),IF(TRIM(S6)="","",TRUNC(S6,0)))</f>
        <v>35065</v>
      </c>
      <c r="V6" s="285">
        <f>+IF(AND(T6="",T5&lt;&gt;""),0,IF(TRIM(T6)="","",IF(AND(U6&gt;=vdt_ec113,VOP_EC113="SIM"),0,T6)))</f>
        <v>2.58E-2</v>
      </c>
      <c r="X6" s="165">
        <v>1990</v>
      </c>
      <c r="Y6" s="165" t="s">
        <v>326</v>
      </c>
      <c r="Z6" s="164">
        <v>0.25</v>
      </c>
      <c r="AA6" s="307">
        <v>1095408.01</v>
      </c>
      <c r="AB6" s="307">
        <v>197173</v>
      </c>
      <c r="AC6" s="164">
        <v>0.1</v>
      </c>
      <c r="AD6" s="307">
        <v>328623.01</v>
      </c>
      <c r="AE6" s="307">
        <v>32862</v>
      </c>
      <c r="AF6" s="164">
        <v>0</v>
      </c>
      <c r="AG6" s="165">
        <v>0</v>
      </c>
      <c r="AH6" s="165">
        <v>0</v>
      </c>
      <c r="AI6" s="164">
        <v>0</v>
      </c>
      <c r="AJ6" s="165">
        <v>0</v>
      </c>
      <c r="AK6" s="165">
        <v>0</v>
      </c>
      <c r="AL6" s="164">
        <v>0</v>
      </c>
      <c r="AM6" s="165">
        <v>0</v>
      </c>
      <c r="AN6" s="165">
        <v>0</v>
      </c>
      <c r="AO6" s="165">
        <v>0</v>
      </c>
      <c r="AP6" s="163">
        <v>33359</v>
      </c>
      <c r="AQ6" s="241">
        <f t="shared" ref="AQ6:BI6" si="1">IF(X6="","",X6)</f>
        <v>1990</v>
      </c>
      <c r="AR6" s="241" t="str">
        <f t="shared" si="1"/>
        <v>MOEDA</v>
      </c>
      <c r="AS6" s="310">
        <f t="shared" si="1"/>
        <v>0.25</v>
      </c>
      <c r="AT6" s="309">
        <f t="shared" si="1"/>
        <v>1095408.01</v>
      </c>
      <c r="AU6" s="309">
        <f t="shared" si="1"/>
        <v>197173</v>
      </c>
      <c r="AV6" s="310">
        <f t="shared" si="1"/>
        <v>0.1</v>
      </c>
      <c r="AW6" s="309">
        <f t="shared" si="1"/>
        <v>328623.01</v>
      </c>
      <c r="AX6" s="309">
        <f t="shared" si="1"/>
        <v>32862</v>
      </c>
      <c r="AY6" s="310">
        <f t="shared" si="1"/>
        <v>0</v>
      </c>
      <c r="AZ6" s="309">
        <f t="shared" si="1"/>
        <v>0</v>
      </c>
      <c r="BA6" s="309">
        <f t="shared" si="1"/>
        <v>0</v>
      </c>
      <c r="BB6" s="310">
        <f t="shared" si="1"/>
        <v>0</v>
      </c>
      <c r="BC6" s="309">
        <f t="shared" si="1"/>
        <v>0</v>
      </c>
      <c r="BD6" s="309">
        <f t="shared" si="1"/>
        <v>0</v>
      </c>
      <c r="BE6" s="310">
        <f t="shared" si="1"/>
        <v>0</v>
      </c>
      <c r="BF6" s="309">
        <f t="shared" si="1"/>
        <v>0</v>
      </c>
      <c r="BG6" s="309">
        <f t="shared" si="1"/>
        <v>0</v>
      </c>
      <c r="BH6" s="309">
        <f t="shared" si="1"/>
        <v>0</v>
      </c>
      <c r="BI6" s="159">
        <f t="shared" si="1"/>
        <v>33359</v>
      </c>
      <c r="BK6" s="325"/>
      <c r="BM6" s="160" t="s">
        <v>62</v>
      </c>
      <c r="BN6" s="355">
        <v>33298</v>
      </c>
      <c r="BO6" s="31" t="s">
        <v>63</v>
      </c>
      <c r="BP6" s="278" t="str">
        <f t="shared" ref="BP6:BP15" si="2">+BO6</f>
        <v>11,79%</v>
      </c>
      <c r="BQ6" s="312">
        <f t="shared" ref="BQ6:BQ69" si="3">+IF(BN6="","",IF(BQ7="",1,BQ7)*(1+BP6))</f>
        <v>6.3345063722288868E-3</v>
      </c>
      <c r="BS6" s="31" t="s">
        <v>44</v>
      </c>
      <c r="BT6" s="168">
        <v>33298</v>
      </c>
      <c r="BU6" s="32">
        <v>0.01</v>
      </c>
      <c r="BV6" s="311">
        <f t="shared" ref="BV6:BV69" si="4">+IF(BU6="","",IF(AND(BU6&lt;&gt;"",BU7=""),BU6,BU6+BV7))</f>
        <v>4.6202999999999887</v>
      </c>
      <c r="BX6" s="169" t="s">
        <v>44</v>
      </c>
      <c r="BY6" s="290">
        <v>33298</v>
      </c>
      <c r="BZ6" s="33">
        <v>0.01</v>
      </c>
      <c r="CA6" s="162">
        <f t="shared" ref="CA6:CA69" si="5">+IF(BZ6="","",BZ6+IF(CA7="",0,CA7))</f>
        <v>3.9125419999999873</v>
      </c>
      <c r="CC6" s="168">
        <v>33604</v>
      </c>
      <c r="CD6" s="173">
        <v>597.05999999999995</v>
      </c>
      <c r="CF6" s="31" t="s">
        <v>62</v>
      </c>
      <c r="CG6" s="168">
        <v>33298</v>
      </c>
      <c r="CH6" s="31" t="s">
        <v>63</v>
      </c>
      <c r="CI6" s="314" t="str">
        <f t="shared" ref="CI6:CI14" si="6">+CH6</f>
        <v>11,79%</v>
      </c>
      <c r="CJ6" s="312">
        <f t="shared" ref="CJ6:CJ69" si="7">+IF(BQ6="","",IF(CJ7="",1,CJ7)*(1+CI6))</f>
        <v>5.4344459142640789E-3</v>
      </c>
      <c r="CL6" s="325"/>
      <c r="CN6" s="315">
        <f t="shared" ref="CN6:CN69" si="8">+IF(BN6="","",BN6)</f>
        <v>33298</v>
      </c>
      <c r="CO6" s="312">
        <f t="shared" ref="CO6:CO69" si="9">+IF(CN6="","",IF(COD_JCM=3,1,IF(COD_JCM=1,CJ6,BQ6)))</f>
        <v>5.4344459142640789E-3</v>
      </c>
      <c r="CQ6" s="315">
        <f t="shared" ref="CQ6:CQ69" si="10">+IF(BT6="","",BT6)</f>
        <v>33298</v>
      </c>
      <c r="CR6" s="316">
        <f t="shared" ref="CR6:CR69" si="11">+IF(CQ6="","",IF(COD_JCM=3,0,IF(COD_JCM=1,BV6,CA6)))</f>
        <v>4.6202999999999887</v>
      </c>
      <c r="CT6" s="325"/>
      <c r="CW6" s="2"/>
      <c r="CX6" s="2"/>
    </row>
    <row r="7" spans="2:108" ht="15" customHeight="1">
      <c r="B7" s="163">
        <v>36557</v>
      </c>
      <c r="C7" s="165">
        <v>136</v>
      </c>
      <c r="D7" s="274">
        <f t="shared" ref="D7:D70" si="12">+IF(TRIM(B7)="","",TRUNC(B7,0))</f>
        <v>36557</v>
      </c>
      <c r="E7" s="275">
        <f t="shared" ref="E7:E70" si="13">+IF(TRIM(C7)="","",C7)</f>
        <v>136</v>
      </c>
      <c r="G7" s="163">
        <v>36923</v>
      </c>
      <c r="H7" s="163">
        <v>36951</v>
      </c>
      <c r="I7" s="164">
        <v>3.68E-4</v>
      </c>
      <c r="J7" s="159">
        <f t="shared" ref="J7:J70" si="14">+IF(AND(TRIM(H7)="",TRIM(H6)&lt;&gt;""),EDATE(J6,1),IF(TRIM(H7)="","",TRUNC(H7,0)))</f>
        <v>36951</v>
      </c>
      <c r="K7" s="278">
        <f t="shared" ref="K7:K70" si="15">+IF(AND(I7="",I6&lt;&gt;""),0,IF(TRIM(I7)="","",IF(AND(J7&gt;=vdt_ec113,VOP_EC113="SIM"),0,I7)))</f>
        <v>3.68E-4</v>
      </c>
      <c r="M7" s="290">
        <v>35065</v>
      </c>
      <c r="N7" s="290">
        <v>35096</v>
      </c>
      <c r="O7" s="291">
        <v>5.0000000000000001E-3</v>
      </c>
      <c r="P7" s="159">
        <f t="shared" si="0"/>
        <v>35065</v>
      </c>
      <c r="Q7" s="291">
        <v>5.0000000000000001E-3</v>
      </c>
      <c r="S7" s="163">
        <v>35096</v>
      </c>
      <c r="T7" s="164">
        <v>2.35E-2</v>
      </c>
      <c r="U7" s="159">
        <f t="shared" ref="U7:U70" si="16">+IF(AND(TRIM(S7)="",TRIM(S6)&lt;&gt;""),EDATE(U6,1),IF(TRIM(S7)="","",TRUNC(S7,0)))</f>
        <v>35096</v>
      </c>
      <c r="V7" s="285">
        <f t="shared" ref="V7:V70" si="17">+IF(AND(T7="",T6&lt;&gt;""),0,IF(TRIM(T7)="","",IF(AND(U7&gt;=vdt_ec113,VOP_EC113="SIM"),0,T7)))</f>
        <v>2.35E-2</v>
      </c>
      <c r="X7" s="165">
        <v>1991</v>
      </c>
      <c r="Y7" s="165" t="s">
        <v>326</v>
      </c>
      <c r="Z7" s="164">
        <v>0.25</v>
      </c>
      <c r="AA7" s="307">
        <v>4216742.01</v>
      </c>
      <c r="AB7" s="307">
        <v>761913</v>
      </c>
      <c r="AC7" s="164">
        <v>0.1</v>
      </c>
      <c r="AD7" s="307">
        <v>1294020.01</v>
      </c>
      <c r="AE7" s="307">
        <v>129402</v>
      </c>
      <c r="AF7" s="164">
        <v>0</v>
      </c>
      <c r="AG7" s="165">
        <v>0</v>
      </c>
      <c r="AH7" s="165">
        <v>0</v>
      </c>
      <c r="AI7" s="164">
        <v>0</v>
      </c>
      <c r="AJ7" s="165">
        <v>0</v>
      </c>
      <c r="AK7" s="165">
        <v>0</v>
      </c>
      <c r="AL7" s="164">
        <v>0</v>
      </c>
      <c r="AM7" s="165">
        <v>0</v>
      </c>
      <c r="AN7" s="165">
        <v>0</v>
      </c>
      <c r="AO7" s="165">
        <v>0</v>
      </c>
      <c r="AP7" s="163">
        <v>33725</v>
      </c>
      <c r="AQ7" s="241">
        <f t="shared" ref="AQ7:AQ55" si="18">IF(X7="","",X7)</f>
        <v>1991</v>
      </c>
      <c r="AR7" s="241" t="str">
        <f t="shared" ref="AR7:AR55" si="19">IF(Y7="","",Y7)</f>
        <v>MOEDA</v>
      </c>
      <c r="AS7" s="310">
        <f t="shared" ref="AS7:AS55" si="20">IF(Z7="","",Z7)</f>
        <v>0.25</v>
      </c>
      <c r="AT7" s="309">
        <f t="shared" ref="AT7:AT55" si="21">IF(AA7="","",AA7)</f>
        <v>4216742.01</v>
      </c>
      <c r="AU7" s="309">
        <f t="shared" ref="AU7:AU55" si="22">IF(AB7="","",AB7)</f>
        <v>761913</v>
      </c>
      <c r="AV7" s="310">
        <f t="shared" ref="AV7:AV55" si="23">IF(AC7="","",AC7)</f>
        <v>0.1</v>
      </c>
      <c r="AW7" s="309">
        <f t="shared" ref="AW7:AW55" si="24">IF(AD7="","",AD7)</f>
        <v>1294020.01</v>
      </c>
      <c r="AX7" s="309">
        <f t="shared" ref="AX7:AX55" si="25">IF(AE7="","",AE7)</f>
        <v>129402</v>
      </c>
      <c r="AY7" s="310">
        <f t="shared" ref="AY7:AY55" si="26">IF(AF7="","",AF7)</f>
        <v>0</v>
      </c>
      <c r="AZ7" s="309">
        <f t="shared" ref="AZ7:AZ55" si="27">IF(AG7="","",AG7)</f>
        <v>0</v>
      </c>
      <c r="BA7" s="309">
        <f t="shared" ref="BA7:BA55" si="28">IF(AH7="","",AH7)</f>
        <v>0</v>
      </c>
      <c r="BB7" s="310">
        <f t="shared" ref="BB7:BB55" si="29">IF(AI7="","",AI7)</f>
        <v>0</v>
      </c>
      <c r="BC7" s="309">
        <f t="shared" ref="BC7:BC30" si="30">IF(AJ7="","",AJ7)</f>
        <v>0</v>
      </c>
      <c r="BD7" s="309">
        <f t="shared" ref="BD7:BD55" si="31">IF(AK7="","",AK7)</f>
        <v>0</v>
      </c>
      <c r="BE7" s="310">
        <f t="shared" ref="BE7:BE55" si="32">IF(AL7="","",AL7)</f>
        <v>0</v>
      </c>
      <c r="BF7" s="309">
        <f t="shared" ref="BF7:BF55" si="33">IF(AM7="","",AM7)</f>
        <v>0</v>
      </c>
      <c r="BG7" s="309">
        <f t="shared" ref="BG7:BG55" si="34">IF(AN7="","",AN7)</f>
        <v>0</v>
      </c>
      <c r="BH7" s="309">
        <f t="shared" ref="BH7:BI55" si="35">IF(AO7="","",AO7)</f>
        <v>0</v>
      </c>
      <c r="BI7" s="159">
        <f t="shared" ref="BI7:BI21" si="36">IF(AP7="","",AP7)</f>
        <v>33725</v>
      </c>
      <c r="BK7" s="325"/>
      <c r="BM7" s="160" t="s">
        <v>62</v>
      </c>
      <c r="BN7" s="355">
        <v>33329</v>
      </c>
      <c r="BO7" s="31" t="s">
        <v>64</v>
      </c>
      <c r="BP7" s="278" t="str">
        <f t="shared" si="2"/>
        <v>5,01%</v>
      </c>
      <c r="BQ7" s="312">
        <f t="shared" si="3"/>
        <v>5.6664338243392846E-3</v>
      </c>
      <c r="BS7" s="31" t="s">
        <v>44</v>
      </c>
      <c r="BT7" s="168">
        <v>33329</v>
      </c>
      <c r="BU7" s="32">
        <v>0.01</v>
      </c>
      <c r="BV7" s="311">
        <f t="shared" si="4"/>
        <v>4.610299999999989</v>
      </c>
      <c r="BX7" s="169" t="s">
        <v>44</v>
      </c>
      <c r="BY7" s="290">
        <v>33329</v>
      </c>
      <c r="BZ7" s="33">
        <v>0.01</v>
      </c>
      <c r="CA7" s="162">
        <f t="shared" si="5"/>
        <v>3.9025419999999875</v>
      </c>
      <c r="CC7" s="168">
        <v>33635</v>
      </c>
      <c r="CD7" s="173">
        <v>749.91</v>
      </c>
      <c r="CF7" s="31" t="s">
        <v>62</v>
      </c>
      <c r="CG7" s="168">
        <v>33329</v>
      </c>
      <c r="CH7" s="31" t="s">
        <v>64</v>
      </c>
      <c r="CI7" s="314" t="str">
        <f t="shared" si="6"/>
        <v>5,01%</v>
      </c>
      <c r="CJ7" s="312">
        <f t="shared" si="7"/>
        <v>4.8612987872475874E-3</v>
      </c>
      <c r="CL7" s="325"/>
      <c r="CN7" s="315">
        <f t="shared" si="8"/>
        <v>33329</v>
      </c>
      <c r="CO7" s="312">
        <f t="shared" si="9"/>
        <v>4.8612987872475874E-3</v>
      </c>
      <c r="CQ7" s="315">
        <f t="shared" si="10"/>
        <v>33329</v>
      </c>
      <c r="CR7" s="316">
        <f t="shared" si="11"/>
        <v>4.610299999999989</v>
      </c>
      <c r="CT7" s="325"/>
      <c r="CW7" s="2"/>
      <c r="CX7" s="2"/>
      <c r="CZ7" s="318" t="s">
        <v>49</v>
      </c>
      <c r="DA7" s="318" t="s">
        <v>284</v>
      </c>
      <c r="DB7" s="319" t="s">
        <v>285</v>
      </c>
      <c r="DD7" s="320" t="str">
        <f ca="1">CONCATENATE("- Tabela de salário mínimo: "," Índices cadastrados de ",TEXT(DA8,"MMM-AAAA")," até ",TEXT(DB8,"MMM-AAAA"),".")</f>
        <v>- Tabela de salário mínimo:  Índices cadastrados de jan-2000 até set-2026.</v>
      </c>
    </row>
    <row r="8" spans="2:108" ht="15" customHeight="1">
      <c r="B8" s="163">
        <v>36586</v>
      </c>
      <c r="C8" s="165">
        <v>136</v>
      </c>
      <c r="D8" s="274">
        <f t="shared" si="12"/>
        <v>36586</v>
      </c>
      <c r="E8" s="275">
        <f t="shared" si="13"/>
        <v>136</v>
      </c>
      <c r="G8" s="163">
        <v>36951</v>
      </c>
      <c r="H8" s="163">
        <v>36982</v>
      </c>
      <c r="I8" s="164">
        <v>1.7240000000000001E-3</v>
      </c>
      <c r="J8" s="159">
        <f t="shared" si="14"/>
        <v>36982</v>
      </c>
      <c r="K8" s="278">
        <f t="shared" si="15"/>
        <v>1.7240000000000001E-3</v>
      </c>
      <c r="M8" s="290">
        <v>35096</v>
      </c>
      <c r="N8" s="290">
        <v>35125</v>
      </c>
      <c r="O8" s="291">
        <v>5.0000000000000001E-3</v>
      </c>
      <c r="P8" s="159">
        <f t="shared" si="0"/>
        <v>35096</v>
      </c>
      <c r="Q8" s="291">
        <v>5.0000000000000001E-3</v>
      </c>
      <c r="S8" s="163">
        <v>35125</v>
      </c>
      <c r="T8" s="164">
        <v>2.2200000000000001E-2</v>
      </c>
      <c r="U8" s="159">
        <f t="shared" si="16"/>
        <v>35125</v>
      </c>
      <c r="V8" s="285">
        <f t="shared" si="17"/>
        <v>2.2200000000000001E-2</v>
      </c>
      <c r="X8" s="165">
        <v>1992</v>
      </c>
      <c r="Y8" s="165" t="s">
        <v>42</v>
      </c>
      <c r="Z8" s="164">
        <v>0.25</v>
      </c>
      <c r="AA8" s="307">
        <v>23400.01</v>
      </c>
      <c r="AB8" s="307">
        <v>4140</v>
      </c>
      <c r="AC8" s="164">
        <v>0.15</v>
      </c>
      <c r="AD8" s="307">
        <v>12000.01</v>
      </c>
      <c r="AE8" s="307">
        <v>1800</v>
      </c>
      <c r="AF8" s="164">
        <v>0</v>
      </c>
      <c r="AG8" s="165">
        <v>0</v>
      </c>
      <c r="AH8" s="165">
        <v>0</v>
      </c>
      <c r="AI8" s="164">
        <v>0</v>
      </c>
      <c r="AJ8" s="165">
        <v>0</v>
      </c>
      <c r="AK8" s="165">
        <v>0</v>
      </c>
      <c r="AL8" s="164">
        <v>0</v>
      </c>
      <c r="AM8" s="165">
        <v>0</v>
      </c>
      <c r="AN8" s="165">
        <v>0</v>
      </c>
      <c r="AO8" s="307">
        <v>8000</v>
      </c>
      <c r="AP8" s="163">
        <v>34090</v>
      </c>
      <c r="AQ8" s="241">
        <f t="shared" si="18"/>
        <v>1992</v>
      </c>
      <c r="AR8" s="241" t="str">
        <f t="shared" si="19"/>
        <v>UFIR</v>
      </c>
      <c r="AS8" s="310">
        <f t="shared" si="20"/>
        <v>0.25</v>
      </c>
      <c r="AT8" s="309">
        <f t="shared" si="21"/>
        <v>23400.01</v>
      </c>
      <c r="AU8" s="309">
        <f t="shared" si="22"/>
        <v>4140</v>
      </c>
      <c r="AV8" s="310">
        <f t="shared" si="23"/>
        <v>0.15</v>
      </c>
      <c r="AW8" s="309">
        <f t="shared" si="24"/>
        <v>12000.01</v>
      </c>
      <c r="AX8" s="309">
        <f t="shared" si="25"/>
        <v>1800</v>
      </c>
      <c r="AY8" s="310">
        <f t="shared" si="26"/>
        <v>0</v>
      </c>
      <c r="AZ8" s="309">
        <f t="shared" si="27"/>
        <v>0</v>
      </c>
      <c r="BA8" s="309">
        <f t="shared" si="28"/>
        <v>0</v>
      </c>
      <c r="BB8" s="310">
        <f t="shared" si="29"/>
        <v>0</v>
      </c>
      <c r="BC8" s="309">
        <f t="shared" si="30"/>
        <v>0</v>
      </c>
      <c r="BD8" s="309">
        <f t="shared" si="31"/>
        <v>0</v>
      </c>
      <c r="BE8" s="310">
        <f t="shared" si="32"/>
        <v>0</v>
      </c>
      <c r="BF8" s="309">
        <f t="shared" si="33"/>
        <v>0</v>
      </c>
      <c r="BG8" s="309">
        <f t="shared" si="34"/>
        <v>0</v>
      </c>
      <c r="BH8" s="309">
        <f t="shared" si="35"/>
        <v>8000</v>
      </c>
      <c r="BI8" s="159">
        <f t="shared" si="36"/>
        <v>34090</v>
      </c>
      <c r="BK8" s="325"/>
      <c r="BM8" s="160" t="s">
        <v>62</v>
      </c>
      <c r="BN8" s="355">
        <v>33359</v>
      </c>
      <c r="BO8" s="31" t="s">
        <v>65</v>
      </c>
      <c r="BP8" s="278" t="str">
        <f t="shared" si="2"/>
        <v>6,68%</v>
      </c>
      <c r="BQ8" s="312">
        <f t="shared" si="3"/>
        <v>5.3960897289203735E-3</v>
      </c>
      <c r="BS8" s="31" t="s">
        <v>44</v>
      </c>
      <c r="BT8" s="168">
        <v>33359</v>
      </c>
      <c r="BU8" s="32">
        <v>0.01</v>
      </c>
      <c r="BV8" s="311">
        <f t="shared" si="4"/>
        <v>4.6002999999999892</v>
      </c>
      <c r="BX8" s="169" t="s">
        <v>44</v>
      </c>
      <c r="BY8" s="290">
        <v>33359</v>
      </c>
      <c r="BZ8" s="33">
        <v>0.01</v>
      </c>
      <c r="CA8" s="162">
        <f t="shared" si="5"/>
        <v>3.8925419999999877</v>
      </c>
      <c r="CC8" s="168">
        <v>33664</v>
      </c>
      <c r="CD8" s="173">
        <v>945.64</v>
      </c>
      <c r="CF8" s="31" t="s">
        <v>62</v>
      </c>
      <c r="CG8" s="168">
        <v>33359</v>
      </c>
      <c r="CH8" s="31" t="s">
        <v>65</v>
      </c>
      <c r="CI8" s="314" t="str">
        <f t="shared" si="6"/>
        <v>6,68%</v>
      </c>
      <c r="CJ8" s="312">
        <f t="shared" si="7"/>
        <v>4.6293674766665913E-3</v>
      </c>
      <c r="CL8" s="325"/>
      <c r="CN8" s="315">
        <f t="shared" si="8"/>
        <v>33359</v>
      </c>
      <c r="CO8" s="312">
        <f t="shared" si="9"/>
        <v>4.6293674766665913E-3</v>
      </c>
      <c r="CQ8" s="315">
        <f t="shared" si="10"/>
        <v>33359</v>
      </c>
      <c r="CR8" s="316">
        <f t="shared" si="11"/>
        <v>4.6002999999999892</v>
      </c>
      <c r="CT8" s="325"/>
      <c r="CW8" s="2"/>
      <c r="CX8" s="2"/>
      <c r="CZ8" s="317" t="s">
        <v>46</v>
      </c>
      <c r="DA8" s="159">
        <f>D6</f>
        <v>36526</v>
      </c>
      <c r="DB8" s="159">
        <f ca="1">IF(LARGE(D:D,1) &gt; VHOJE1,VHOJE1,LARGE(D:D,1) )</f>
        <v>46266</v>
      </c>
      <c r="DD8" s="320" t="str">
        <f ca="1">CONCATENATE("- Tabela de TR: "," Índices cadastrados de ",TEXT(DA9,"MMM-AAAA")," até ",TEXT(DB9,"MMM-AAAA"),".")</f>
        <v>- Tabela de TR:  Índices cadastrados de fev-2001 até set-2026.</v>
      </c>
    </row>
    <row r="9" spans="2:108" ht="15" customHeight="1">
      <c r="B9" s="163">
        <v>36617</v>
      </c>
      <c r="C9" s="165">
        <v>151</v>
      </c>
      <c r="D9" s="274">
        <f t="shared" si="12"/>
        <v>36617</v>
      </c>
      <c r="E9" s="275">
        <f t="shared" si="13"/>
        <v>151</v>
      </c>
      <c r="G9" s="163">
        <v>36982</v>
      </c>
      <c r="H9" s="163">
        <v>37012</v>
      </c>
      <c r="I9" s="164">
        <v>1.5460000000000001E-3</v>
      </c>
      <c r="J9" s="159">
        <f t="shared" si="14"/>
        <v>37012</v>
      </c>
      <c r="K9" s="278">
        <f t="shared" si="15"/>
        <v>1.5460000000000001E-3</v>
      </c>
      <c r="M9" s="290">
        <v>35125</v>
      </c>
      <c r="N9" s="290">
        <v>35156</v>
      </c>
      <c r="O9" s="291">
        <v>5.0000000000000001E-3</v>
      </c>
      <c r="P9" s="159">
        <f t="shared" si="0"/>
        <v>35125</v>
      </c>
      <c r="Q9" s="291">
        <v>5.0000000000000001E-3</v>
      </c>
      <c r="S9" s="163">
        <v>35156</v>
      </c>
      <c r="T9" s="164">
        <v>2.07E-2</v>
      </c>
      <c r="U9" s="159">
        <f t="shared" si="16"/>
        <v>35156</v>
      </c>
      <c r="V9" s="285">
        <f t="shared" si="17"/>
        <v>2.07E-2</v>
      </c>
      <c r="X9" s="165">
        <v>1993</v>
      </c>
      <c r="Y9" s="165" t="s">
        <v>42</v>
      </c>
      <c r="Z9" s="164">
        <v>0.25</v>
      </c>
      <c r="AA9" s="307">
        <v>23400.01</v>
      </c>
      <c r="AB9" s="307">
        <v>4140</v>
      </c>
      <c r="AC9" s="164">
        <v>0.15</v>
      </c>
      <c r="AD9" s="307">
        <v>12000.01</v>
      </c>
      <c r="AE9" s="307">
        <v>1800</v>
      </c>
      <c r="AF9" s="164">
        <v>0</v>
      </c>
      <c r="AG9" s="165">
        <v>0</v>
      </c>
      <c r="AH9" s="165">
        <v>0</v>
      </c>
      <c r="AI9" s="164">
        <v>0</v>
      </c>
      <c r="AJ9" s="165">
        <v>0</v>
      </c>
      <c r="AK9" s="165">
        <v>0</v>
      </c>
      <c r="AL9" s="164">
        <v>0</v>
      </c>
      <c r="AM9" s="165">
        <v>0</v>
      </c>
      <c r="AN9" s="165">
        <v>0</v>
      </c>
      <c r="AO9" s="307">
        <v>8000</v>
      </c>
      <c r="AP9" s="163">
        <v>34455</v>
      </c>
      <c r="AQ9" s="241">
        <f t="shared" si="18"/>
        <v>1993</v>
      </c>
      <c r="AR9" s="241" t="str">
        <f t="shared" si="19"/>
        <v>UFIR</v>
      </c>
      <c r="AS9" s="310">
        <f t="shared" si="20"/>
        <v>0.25</v>
      </c>
      <c r="AT9" s="309">
        <f t="shared" si="21"/>
        <v>23400.01</v>
      </c>
      <c r="AU9" s="309">
        <f t="shared" si="22"/>
        <v>4140</v>
      </c>
      <c r="AV9" s="310">
        <f t="shared" si="23"/>
        <v>0.15</v>
      </c>
      <c r="AW9" s="309">
        <f t="shared" si="24"/>
        <v>12000.01</v>
      </c>
      <c r="AX9" s="309">
        <f t="shared" si="25"/>
        <v>1800</v>
      </c>
      <c r="AY9" s="310">
        <f t="shared" si="26"/>
        <v>0</v>
      </c>
      <c r="AZ9" s="309">
        <f t="shared" si="27"/>
        <v>0</v>
      </c>
      <c r="BA9" s="309">
        <f t="shared" si="28"/>
        <v>0</v>
      </c>
      <c r="BB9" s="310">
        <f t="shared" si="29"/>
        <v>0</v>
      </c>
      <c r="BC9" s="309">
        <f t="shared" si="30"/>
        <v>0</v>
      </c>
      <c r="BD9" s="309">
        <f t="shared" si="31"/>
        <v>0</v>
      </c>
      <c r="BE9" s="310">
        <f t="shared" si="32"/>
        <v>0</v>
      </c>
      <c r="BF9" s="309">
        <f t="shared" si="33"/>
        <v>0</v>
      </c>
      <c r="BG9" s="309">
        <f t="shared" si="34"/>
        <v>0</v>
      </c>
      <c r="BH9" s="309">
        <f t="shared" si="35"/>
        <v>8000</v>
      </c>
      <c r="BI9" s="159">
        <f t="shared" si="36"/>
        <v>34455</v>
      </c>
      <c r="BK9" s="325"/>
      <c r="BM9" s="160" t="s">
        <v>62</v>
      </c>
      <c r="BN9" s="355">
        <v>33390</v>
      </c>
      <c r="BO9" s="31" t="s">
        <v>66</v>
      </c>
      <c r="BP9" s="278" t="str">
        <f t="shared" si="2"/>
        <v>10,83%</v>
      </c>
      <c r="BQ9" s="312">
        <f t="shared" si="3"/>
        <v>5.0582018456321459E-3</v>
      </c>
      <c r="BS9" s="31" t="s">
        <v>44</v>
      </c>
      <c r="BT9" s="168">
        <v>33390</v>
      </c>
      <c r="BU9" s="32">
        <v>0.01</v>
      </c>
      <c r="BV9" s="311">
        <f t="shared" si="4"/>
        <v>4.5902999999999894</v>
      </c>
      <c r="BX9" s="169" t="s">
        <v>44</v>
      </c>
      <c r="BY9" s="290">
        <v>33390</v>
      </c>
      <c r="BZ9" s="33">
        <v>0.01</v>
      </c>
      <c r="CA9" s="162">
        <f t="shared" si="5"/>
        <v>3.8825419999999879</v>
      </c>
      <c r="CC9" s="168">
        <v>33695</v>
      </c>
      <c r="CD9" s="173">
        <v>1153.96</v>
      </c>
      <c r="CF9" s="31" t="s">
        <v>62</v>
      </c>
      <c r="CG9" s="168">
        <v>33390</v>
      </c>
      <c r="CH9" s="31" t="s">
        <v>66</v>
      </c>
      <c r="CI9" s="314" t="str">
        <f t="shared" si="6"/>
        <v>10,83%</v>
      </c>
      <c r="CJ9" s="312">
        <f t="shared" si="7"/>
        <v>4.3394895731782819E-3</v>
      </c>
      <c r="CL9" s="325"/>
      <c r="CN9" s="315">
        <f t="shared" si="8"/>
        <v>33390</v>
      </c>
      <c r="CO9" s="312">
        <f t="shared" si="9"/>
        <v>4.3394895731782819E-3</v>
      </c>
      <c r="CQ9" s="315">
        <f t="shared" si="10"/>
        <v>33390</v>
      </c>
      <c r="CR9" s="316">
        <f t="shared" si="11"/>
        <v>4.5902999999999894</v>
      </c>
      <c r="CT9" s="325"/>
      <c r="CW9" s="493" t="s">
        <v>246</v>
      </c>
      <c r="CX9" s="494"/>
      <c r="CZ9" s="317" t="s">
        <v>198</v>
      </c>
      <c r="DA9" s="159">
        <f>J6</f>
        <v>36923</v>
      </c>
      <c r="DB9" s="159">
        <f ca="1">IF(LARGE(J:J,1) &gt; VHOJE1,VHOJE1,LARGE(J:J,1) )</f>
        <v>46266</v>
      </c>
      <c r="DD9" s="320" t="str">
        <f ca="1">CONCATENATE("- Tabela de rentabilidade da poupança: "," Índices cadastrados de ",TEXT(DA11,"MMM-AAAA")," até ",TEXT(DB11,"MMM-AAAA"),".")</f>
        <v>- Tabela de rentabilidade da poupança:  Índices cadastrados de dez-1995 até set-2026.</v>
      </c>
    </row>
    <row r="10" spans="2:108" ht="15" customHeight="1">
      <c r="B10" s="163">
        <v>36647</v>
      </c>
      <c r="C10" s="165">
        <v>151</v>
      </c>
      <c r="D10" s="274">
        <f t="shared" si="12"/>
        <v>36647</v>
      </c>
      <c r="E10" s="275">
        <f t="shared" si="13"/>
        <v>151</v>
      </c>
      <c r="G10" s="163">
        <v>37012</v>
      </c>
      <c r="H10" s="163">
        <v>37043</v>
      </c>
      <c r="I10" s="164">
        <v>1.8270000000000001E-3</v>
      </c>
      <c r="J10" s="159">
        <f t="shared" si="14"/>
        <v>37043</v>
      </c>
      <c r="K10" s="278">
        <f t="shared" si="15"/>
        <v>1.8270000000000001E-3</v>
      </c>
      <c r="M10" s="290">
        <v>35156</v>
      </c>
      <c r="N10" s="290">
        <v>35186</v>
      </c>
      <c r="O10" s="291">
        <v>5.0000000000000001E-3</v>
      </c>
      <c r="P10" s="159">
        <f t="shared" si="0"/>
        <v>35156</v>
      </c>
      <c r="Q10" s="291">
        <v>5.0000000000000001E-3</v>
      </c>
      <c r="S10" s="163">
        <v>35186</v>
      </c>
      <c r="T10" s="164">
        <v>2.01E-2</v>
      </c>
      <c r="U10" s="159">
        <f t="shared" si="16"/>
        <v>35186</v>
      </c>
      <c r="V10" s="285">
        <f t="shared" si="17"/>
        <v>2.01E-2</v>
      </c>
      <c r="X10" s="165">
        <v>1994</v>
      </c>
      <c r="Y10" s="165" t="s">
        <v>42</v>
      </c>
      <c r="Z10" s="164">
        <v>0.35</v>
      </c>
      <c r="AA10" s="307">
        <v>216000.01</v>
      </c>
      <c r="AB10" s="307">
        <v>22659</v>
      </c>
      <c r="AC10" s="164">
        <v>0.26600000000000001</v>
      </c>
      <c r="AD10" s="307">
        <v>23400.01</v>
      </c>
      <c r="AE10" s="307">
        <v>4516.68</v>
      </c>
      <c r="AF10" s="164">
        <v>0.15</v>
      </c>
      <c r="AG10" s="307">
        <v>12000.01</v>
      </c>
      <c r="AH10" s="307">
        <v>1800</v>
      </c>
      <c r="AI10" s="164">
        <v>0</v>
      </c>
      <c r="AJ10" s="165">
        <v>0</v>
      </c>
      <c r="AK10" s="165">
        <v>0</v>
      </c>
      <c r="AL10" s="164">
        <v>0</v>
      </c>
      <c r="AM10" s="165">
        <v>0</v>
      </c>
      <c r="AN10" s="165">
        <v>0</v>
      </c>
      <c r="AO10" s="307">
        <v>8000</v>
      </c>
      <c r="AP10" s="163">
        <v>34820</v>
      </c>
      <c r="AQ10" s="241">
        <f t="shared" si="18"/>
        <v>1994</v>
      </c>
      <c r="AR10" s="241" t="str">
        <f t="shared" si="19"/>
        <v>UFIR</v>
      </c>
      <c r="AS10" s="310">
        <f t="shared" si="20"/>
        <v>0.35</v>
      </c>
      <c r="AT10" s="309">
        <f t="shared" si="21"/>
        <v>216000.01</v>
      </c>
      <c r="AU10" s="309">
        <f t="shared" si="22"/>
        <v>22659</v>
      </c>
      <c r="AV10" s="310">
        <f t="shared" si="23"/>
        <v>0.26600000000000001</v>
      </c>
      <c r="AW10" s="309">
        <f t="shared" si="24"/>
        <v>23400.01</v>
      </c>
      <c r="AX10" s="309">
        <f t="shared" si="25"/>
        <v>4516.68</v>
      </c>
      <c r="AY10" s="310">
        <f t="shared" si="26"/>
        <v>0.15</v>
      </c>
      <c r="AZ10" s="309">
        <f t="shared" si="27"/>
        <v>12000.01</v>
      </c>
      <c r="BA10" s="309">
        <f t="shared" si="28"/>
        <v>1800</v>
      </c>
      <c r="BB10" s="310">
        <f t="shared" si="29"/>
        <v>0</v>
      </c>
      <c r="BC10" s="309">
        <f t="shared" si="30"/>
        <v>0</v>
      </c>
      <c r="BD10" s="309">
        <f t="shared" si="31"/>
        <v>0</v>
      </c>
      <c r="BE10" s="310">
        <f t="shared" si="32"/>
        <v>0</v>
      </c>
      <c r="BF10" s="309">
        <f t="shared" si="33"/>
        <v>0</v>
      </c>
      <c r="BG10" s="309">
        <f t="shared" si="34"/>
        <v>0</v>
      </c>
      <c r="BH10" s="309">
        <f t="shared" si="35"/>
        <v>8000</v>
      </c>
      <c r="BI10" s="159">
        <f t="shared" si="36"/>
        <v>34820</v>
      </c>
      <c r="BK10" s="325"/>
      <c r="BM10" s="160" t="s">
        <v>62</v>
      </c>
      <c r="BN10" s="355">
        <v>33420</v>
      </c>
      <c r="BO10" s="31" t="s">
        <v>67</v>
      </c>
      <c r="BP10" s="278" t="str">
        <f t="shared" si="2"/>
        <v>12,14%</v>
      </c>
      <c r="BQ10" s="312">
        <f t="shared" si="3"/>
        <v>4.5639283999207303E-3</v>
      </c>
      <c r="BS10" s="31" t="s">
        <v>44</v>
      </c>
      <c r="BT10" s="168">
        <v>33420</v>
      </c>
      <c r="BU10" s="32">
        <v>0.01</v>
      </c>
      <c r="BV10" s="311">
        <f t="shared" si="4"/>
        <v>4.5802999999999896</v>
      </c>
      <c r="BX10" s="169" t="s">
        <v>44</v>
      </c>
      <c r="BY10" s="290">
        <v>33420</v>
      </c>
      <c r="BZ10" s="33">
        <v>0.01</v>
      </c>
      <c r="CA10" s="162">
        <f t="shared" si="5"/>
        <v>3.8725419999999882</v>
      </c>
      <c r="CC10" s="168">
        <v>33725</v>
      </c>
      <c r="CD10" s="173">
        <v>1382.79</v>
      </c>
      <c r="CF10" s="31" t="s">
        <v>62</v>
      </c>
      <c r="CG10" s="168">
        <v>33420</v>
      </c>
      <c r="CH10" s="31" t="s">
        <v>67</v>
      </c>
      <c r="CI10" s="314" t="str">
        <f t="shared" si="6"/>
        <v>12,14%</v>
      </c>
      <c r="CJ10" s="312">
        <f t="shared" si="7"/>
        <v>3.9154466960013368E-3</v>
      </c>
      <c r="CL10" s="325"/>
      <c r="CN10" s="315">
        <f t="shared" si="8"/>
        <v>33420</v>
      </c>
      <c r="CO10" s="312">
        <f t="shared" si="9"/>
        <v>3.9154466960013368E-3</v>
      </c>
      <c r="CQ10" s="315">
        <f t="shared" si="10"/>
        <v>33420</v>
      </c>
      <c r="CR10" s="316">
        <f t="shared" si="11"/>
        <v>4.5802999999999896</v>
      </c>
      <c r="CT10" s="325"/>
      <c r="CW10" s="650" t="s">
        <v>327</v>
      </c>
      <c r="CX10" s="242" t="str">
        <f>+IF(CW10="","",TRIM(CW10))</f>
        <v>Pular para o conteúdo principal</v>
      </c>
      <c r="CZ10" s="317" t="s">
        <v>43</v>
      </c>
      <c r="DA10" s="159">
        <f>U6</f>
        <v>35065</v>
      </c>
      <c r="DB10" s="159">
        <f ca="1">IF(LARGE(U:U,1) &gt; VHOJE1,VHOJE1,LARGE(U:U,1) )</f>
        <v>46266</v>
      </c>
      <c r="DD10" s="320" t="str">
        <f ca="1">CONCATENATE("- Tabela de SELIC: "," Índices cadastrados de ",TEXT(DA10,"MMM-AAAA")," até ",TEXT(DB10,"MMM-AAAA"),".")</f>
        <v>- Tabela de SELIC:  Índices cadastrados de jan-1996 até set-2026.</v>
      </c>
    </row>
    <row r="11" spans="2:108" ht="15" customHeight="1">
      <c r="B11" s="163">
        <v>36678</v>
      </c>
      <c r="C11" s="165">
        <v>151</v>
      </c>
      <c r="D11" s="274">
        <f t="shared" si="12"/>
        <v>36678</v>
      </c>
      <c r="E11" s="275">
        <f t="shared" si="13"/>
        <v>151</v>
      </c>
      <c r="G11" s="163">
        <v>37043</v>
      </c>
      <c r="H11" s="163">
        <v>37073</v>
      </c>
      <c r="I11" s="164">
        <v>1.4580000000000001E-3</v>
      </c>
      <c r="J11" s="159">
        <f t="shared" si="14"/>
        <v>37073</v>
      </c>
      <c r="K11" s="278">
        <f t="shared" si="15"/>
        <v>1.4580000000000001E-3</v>
      </c>
      <c r="M11" s="290">
        <v>35186</v>
      </c>
      <c r="N11" s="290">
        <v>35217</v>
      </c>
      <c r="O11" s="291">
        <v>5.0000000000000001E-3</v>
      </c>
      <c r="P11" s="159">
        <f t="shared" si="0"/>
        <v>35186</v>
      </c>
      <c r="Q11" s="291">
        <v>5.0000000000000001E-3</v>
      </c>
      <c r="S11" s="163">
        <v>35217</v>
      </c>
      <c r="T11" s="164">
        <v>1.9800000000000002E-2</v>
      </c>
      <c r="U11" s="159">
        <f t="shared" si="16"/>
        <v>35217</v>
      </c>
      <c r="V11" s="285">
        <f t="shared" si="17"/>
        <v>1.9800000000000002E-2</v>
      </c>
      <c r="X11" s="165">
        <v>1995</v>
      </c>
      <c r="Y11" s="165" t="s">
        <v>326</v>
      </c>
      <c r="Z11" s="164">
        <v>0.35</v>
      </c>
      <c r="AA11" s="307">
        <v>158457.4</v>
      </c>
      <c r="AB11" s="307">
        <v>16622.63</v>
      </c>
      <c r="AC11" s="164">
        <v>0.26600000000000001</v>
      </c>
      <c r="AD11" s="307">
        <v>17166.310000000001</v>
      </c>
      <c r="AE11" s="307">
        <v>3313.45</v>
      </c>
      <c r="AF11" s="164">
        <v>0.15</v>
      </c>
      <c r="AG11" s="307">
        <v>8803.4500000000007</v>
      </c>
      <c r="AH11" s="307">
        <v>1320.52</v>
      </c>
      <c r="AI11" s="164">
        <v>0</v>
      </c>
      <c r="AJ11" s="165">
        <v>0</v>
      </c>
      <c r="AK11" s="165">
        <v>0</v>
      </c>
      <c r="AL11" s="164">
        <v>0</v>
      </c>
      <c r="AM11" s="165">
        <v>0</v>
      </c>
      <c r="AN11" s="165">
        <v>0</v>
      </c>
      <c r="AO11" s="307">
        <v>8000</v>
      </c>
      <c r="AP11" s="163">
        <v>35186</v>
      </c>
      <c r="AQ11" s="241">
        <f t="shared" si="18"/>
        <v>1995</v>
      </c>
      <c r="AR11" s="241" t="str">
        <f t="shared" si="19"/>
        <v>MOEDA</v>
      </c>
      <c r="AS11" s="310">
        <f t="shared" si="20"/>
        <v>0.35</v>
      </c>
      <c r="AT11" s="309">
        <f t="shared" si="21"/>
        <v>158457.4</v>
      </c>
      <c r="AU11" s="309">
        <f t="shared" si="22"/>
        <v>16622.63</v>
      </c>
      <c r="AV11" s="310">
        <f t="shared" si="23"/>
        <v>0.26600000000000001</v>
      </c>
      <c r="AW11" s="309">
        <f t="shared" si="24"/>
        <v>17166.310000000001</v>
      </c>
      <c r="AX11" s="309">
        <f t="shared" si="25"/>
        <v>3313.45</v>
      </c>
      <c r="AY11" s="310">
        <f t="shared" si="26"/>
        <v>0.15</v>
      </c>
      <c r="AZ11" s="309">
        <f t="shared" si="27"/>
        <v>8803.4500000000007</v>
      </c>
      <c r="BA11" s="309">
        <f t="shared" si="28"/>
        <v>1320.52</v>
      </c>
      <c r="BB11" s="310">
        <f t="shared" si="29"/>
        <v>0</v>
      </c>
      <c r="BC11" s="309">
        <f t="shared" si="30"/>
        <v>0</v>
      </c>
      <c r="BD11" s="309">
        <f t="shared" si="31"/>
        <v>0</v>
      </c>
      <c r="BE11" s="310">
        <f t="shared" si="32"/>
        <v>0</v>
      </c>
      <c r="BF11" s="309">
        <f t="shared" si="33"/>
        <v>0</v>
      </c>
      <c r="BG11" s="309">
        <f t="shared" si="34"/>
        <v>0</v>
      </c>
      <c r="BH11" s="309">
        <f t="shared" si="35"/>
        <v>8000</v>
      </c>
      <c r="BI11" s="159">
        <f t="shared" si="36"/>
        <v>35186</v>
      </c>
      <c r="BK11" s="325"/>
      <c r="BM11" s="160" t="s">
        <v>62</v>
      </c>
      <c r="BN11" s="355">
        <v>33451</v>
      </c>
      <c r="BO11" s="31" t="s">
        <v>68</v>
      </c>
      <c r="BP11" s="278" t="str">
        <f t="shared" si="2"/>
        <v>15,62%</v>
      </c>
      <c r="BQ11" s="312">
        <f t="shared" si="3"/>
        <v>4.0698487604072858E-3</v>
      </c>
      <c r="BS11" s="31" t="s">
        <v>44</v>
      </c>
      <c r="BT11" s="168">
        <v>33451</v>
      </c>
      <c r="BU11" s="32">
        <v>0.01</v>
      </c>
      <c r="BV11" s="311">
        <f t="shared" si="4"/>
        <v>4.5702999999999898</v>
      </c>
      <c r="BX11" s="169" t="s">
        <v>44</v>
      </c>
      <c r="BY11" s="290">
        <v>33451</v>
      </c>
      <c r="BZ11" s="33">
        <v>0.01</v>
      </c>
      <c r="CA11" s="162">
        <f t="shared" si="5"/>
        <v>3.8625419999999884</v>
      </c>
      <c r="CC11" s="168">
        <v>33756</v>
      </c>
      <c r="CD11" s="173">
        <v>1707.05</v>
      </c>
      <c r="CF11" s="31" t="s">
        <v>62</v>
      </c>
      <c r="CG11" s="168">
        <v>33451</v>
      </c>
      <c r="CH11" s="31" t="s">
        <v>68</v>
      </c>
      <c r="CI11" s="314" t="str">
        <f t="shared" si="6"/>
        <v>15,62%</v>
      </c>
      <c r="CJ11" s="312">
        <f t="shared" si="7"/>
        <v>3.4915700873919537E-3</v>
      </c>
      <c r="CL11" s="325"/>
      <c r="CN11" s="315">
        <f t="shared" si="8"/>
        <v>33451</v>
      </c>
      <c r="CO11" s="312">
        <f t="shared" si="9"/>
        <v>3.4915700873919537E-3</v>
      </c>
      <c r="CQ11" s="315">
        <f t="shared" si="10"/>
        <v>33451</v>
      </c>
      <c r="CR11" s="316">
        <f t="shared" si="11"/>
        <v>4.5702999999999898</v>
      </c>
      <c r="CT11" s="325"/>
      <c r="CW11" s="651" t="s">
        <v>328</v>
      </c>
      <c r="CX11" s="242" t="str">
        <f t="shared" ref="CX11:CX74" si="37">+IF(CW11="","",TRIM(CW11))</f>
        <v>InícioJustiça Federal - 2ª Região</v>
      </c>
      <c r="CZ11" s="317" t="s">
        <v>287</v>
      </c>
      <c r="DA11" s="159">
        <f>P6</f>
        <v>35034</v>
      </c>
      <c r="DB11" s="159">
        <f ca="1">IF(LARGE(P:P,1) &gt; VHOJE1,VHOJE1,LARGE(P:P,1) )</f>
        <v>46266</v>
      </c>
      <c r="DD11" s="320" t="str">
        <f ca="1">CONCATENATE("- Tabela de IR anual: "," Índices cadastrados de ",DA12," até ",DB12,".")</f>
        <v>- Tabela de IR anual:  Índices cadastrados de 1990 até 2025.</v>
      </c>
    </row>
    <row r="12" spans="2:108" ht="15" customHeight="1">
      <c r="B12" s="163">
        <v>36708</v>
      </c>
      <c r="C12" s="165">
        <v>151</v>
      </c>
      <c r="D12" s="274">
        <f t="shared" si="12"/>
        <v>36708</v>
      </c>
      <c r="E12" s="275">
        <f t="shared" si="13"/>
        <v>151</v>
      </c>
      <c r="G12" s="163">
        <v>37073</v>
      </c>
      <c r="H12" s="163">
        <v>37104</v>
      </c>
      <c r="I12" s="164">
        <v>2.441E-3</v>
      </c>
      <c r="J12" s="159">
        <f t="shared" si="14"/>
        <v>37104</v>
      </c>
      <c r="K12" s="278">
        <f t="shared" si="15"/>
        <v>2.441E-3</v>
      </c>
      <c r="M12" s="290">
        <v>35217</v>
      </c>
      <c r="N12" s="290">
        <v>35247</v>
      </c>
      <c r="O12" s="291">
        <v>5.0000000000000001E-3</v>
      </c>
      <c r="P12" s="159">
        <f t="shared" si="0"/>
        <v>35217</v>
      </c>
      <c r="Q12" s="291">
        <v>5.0000000000000001E-3</v>
      </c>
      <c r="S12" s="163">
        <v>35247</v>
      </c>
      <c r="T12" s="164">
        <v>1.9300000000000001E-2</v>
      </c>
      <c r="U12" s="159">
        <f t="shared" si="16"/>
        <v>35247</v>
      </c>
      <c r="V12" s="285">
        <f t="shared" si="17"/>
        <v>1.9300000000000001E-2</v>
      </c>
      <c r="X12" s="165">
        <v>1996</v>
      </c>
      <c r="Y12" s="165" t="s">
        <v>326</v>
      </c>
      <c r="Z12" s="164">
        <v>0.25</v>
      </c>
      <c r="AA12" s="307">
        <v>21600.01</v>
      </c>
      <c r="AB12" s="307">
        <v>3780</v>
      </c>
      <c r="AC12" s="164">
        <v>0.15</v>
      </c>
      <c r="AD12" s="307">
        <v>10800.01</v>
      </c>
      <c r="AE12" s="307">
        <v>1620</v>
      </c>
      <c r="AF12" s="164">
        <v>0</v>
      </c>
      <c r="AG12" s="165">
        <v>0</v>
      </c>
      <c r="AH12" s="165">
        <v>0</v>
      </c>
      <c r="AI12" s="164">
        <v>0</v>
      </c>
      <c r="AJ12" s="165">
        <v>0</v>
      </c>
      <c r="AK12" s="165">
        <v>0</v>
      </c>
      <c r="AL12" s="164">
        <v>0</v>
      </c>
      <c r="AM12" s="165">
        <v>0</v>
      </c>
      <c r="AN12" s="165">
        <v>0</v>
      </c>
      <c r="AO12" s="307">
        <v>8000</v>
      </c>
      <c r="AP12" s="163">
        <v>35551</v>
      </c>
      <c r="AQ12" s="241">
        <f t="shared" si="18"/>
        <v>1996</v>
      </c>
      <c r="AR12" s="241" t="str">
        <f t="shared" si="19"/>
        <v>MOEDA</v>
      </c>
      <c r="AS12" s="310">
        <f t="shared" si="20"/>
        <v>0.25</v>
      </c>
      <c r="AT12" s="309">
        <f t="shared" si="21"/>
        <v>21600.01</v>
      </c>
      <c r="AU12" s="309">
        <f t="shared" si="22"/>
        <v>3780</v>
      </c>
      <c r="AV12" s="310">
        <f t="shared" si="23"/>
        <v>0.15</v>
      </c>
      <c r="AW12" s="309">
        <f t="shared" si="24"/>
        <v>10800.01</v>
      </c>
      <c r="AX12" s="309">
        <f t="shared" si="25"/>
        <v>1620</v>
      </c>
      <c r="AY12" s="310">
        <f t="shared" si="26"/>
        <v>0</v>
      </c>
      <c r="AZ12" s="309">
        <f t="shared" si="27"/>
        <v>0</v>
      </c>
      <c r="BA12" s="309">
        <f t="shared" si="28"/>
        <v>0</v>
      </c>
      <c r="BB12" s="310">
        <f t="shared" si="29"/>
        <v>0</v>
      </c>
      <c r="BC12" s="309">
        <f t="shared" si="30"/>
        <v>0</v>
      </c>
      <c r="BD12" s="309">
        <f t="shared" si="31"/>
        <v>0</v>
      </c>
      <c r="BE12" s="310">
        <f t="shared" si="32"/>
        <v>0</v>
      </c>
      <c r="BF12" s="309">
        <f t="shared" si="33"/>
        <v>0</v>
      </c>
      <c r="BG12" s="309">
        <f t="shared" si="34"/>
        <v>0</v>
      </c>
      <c r="BH12" s="309">
        <f t="shared" si="35"/>
        <v>8000</v>
      </c>
      <c r="BI12" s="159">
        <f t="shared" si="36"/>
        <v>35551</v>
      </c>
      <c r="BK12" s="325"/>
      <c r="BM12" s="160" t="s">
        <v>62</v>
      </c>
      <c r="BN12" s="355">
        <v>33482</v>
      </c>
      <c r="BO12" s="31" t="s">
        <v>68</v>
      </c>
      <c r="BP12" s="278" t="str">
        <f t="shared" si="2"/>
        <v>15,62%</v>
      </c>
      <c r="BQ12" s="312">
        <f t="shared" si="3"/>
        <v>3.5200214153323691E-3</v>
      </c>
      <c r="BS12" s="31" t="s">
        <v>44</v>
      </c>
      <c r="BT12" s="168">
        <v>33482</v>
      </c>
      <c r="BU12" s="32">
        <v>0.01</v>
      </c>
      <c r="BV12" s="311">
        <f t="shared" si="4"/>
        <v>4.56029999999999</v>
      </c>
      <c r="BX12" s="169" t="s">
        <v>44</v>
      </c>
      <c r="BY12" s="290">
        <v>33482</v>
      </c>
      <c r="BZ12" s="33">
        <v>0.01</v>
      </c>
      <c r="CA12" s="162">
        <f t="shared" si="5"/>
        <v>3.8525419999999886</v>
      </c>
      <c r="CC12" s="168">
        <v>33786</v>
      </c>
      <c r="CD12" s="173">
        <v>2104.2800000000002</v>
      </c>
      <c r="CF12" s="31" t="s">
        <v>62</v>
      </c>
      <c r="CG12" s="168">
        <v>33482</v>
      </c>
      <c r="CH12" s="31" t="s">
        <v>68</v>
      </c>
      <c r="CI12" s="314" t="str">
        <f t="shared" si="6"/>
        <v>15,62%</v>
      </c>
      <c r="CJ12" s="312">
        <f t="shared" si="7"/>
        <v>3.0198668806365276E-3</v>
      </c>
      <c r="CL12" s="325"/>
      <c r="CN12" s="315">
        <f t="shared" si="8"/>
        <v>33482</v>
      </c>
      <c r="CO12" s="312">
        <f t="shared" si="9"/>
        <v>3.0198668806365276E-3</v>
      </c>
      <c r="CQ12" s="315">
        <f t="shared" si="10"/>
        <v>33482</v>
      </c>
      <c r="CR12" s="316">
        <f t="shared" si="11"/>
        <v>4.56029999999999</v>
      </c>
      <c r="CT12" s="325"/>
      <c r="CW12"/>
      <c r="CX12" s="242" t="str">
        <f t="shared" si="37"/>
        <v/>
      </c>
      <c r="CZ12" s="317" t="s">
        <v>288</v>
      </c>
      <c r="DA12" s="321">
        <f>AQ6</f>
        <v>1990</v>
      </c>
      <c r="DB12" s="321">
        <f ca="1">IF(LARGE(AQ:AQ,1) &gt; VHOJE1,VHOJE1,LARGE(AQ:AQ,1) )</f>
        <v>2025</v>
      </c>
    </row>
    <row r="13" spans="2:108" ht="15" customHeight="1">
      <c r="B13" s="163">
        <v>36739</v>
      </c>
      <c r="C13" s="165">
        <v>151</v>
      </c>
      <c r="D13" s="274">
        <f t="shared" si="12"/>
        <v>36739</v>
      </c>
      <c r="E13" s="275">
        <f t="shared" si="13"/>
        <v>151</v>
      </c>
      <c r="G13" s="163">
        <v>37104</v>
      </c>
      <c r="H13" s="163">
        <v>37135</v>
      </c>
      <c r="I13" s="164">
        <v>3.4359999999999998E-3</v>
      </c>
      <c r="J13" s="159">
        <f t="shared" si="14"/>
        <v>37135</v>
      </c>
      <c r="K13" s="278">
        <f t="shared" si="15"/>
        <v>3.4359999999999998E-3</v>
      </c>
      <c r="M13" s="290">
        <v>35247</v>
      </c>
      <c r="N13" s="290">
        <v>35278</v>
      </c>
      <c r="O13" s="291">
        <v>5.0000000000000001E-3</v>
      </c>
      <c r="P13" s="159">
        <f t="shared" si="0"/>
        <v>35247</v>
      </c>
      <c r="Q13" s="291">
        <v>5.0000000000000001E-3</v>
      </c>
      <c r="S13" s="163">
        <v>35278</v>
      </c>
      <c r="T13" s="164">
        <v>1.9699999999999999E-2</v>
      </c>
      <c r="U13" s="159">
        <f t="shared" si="16"/>
        <v>35278</v>
      </c>
      <c r="V13" s="285">
        <f t="shared" si="17"/>
        <v>1.9699999999999999E-2</v>
      </c>
      <c r="X13" s="165">
        <v>1997</v>
      </c>
      <c r="Y13" s="165" t="s">
        <v>326</v>
      </c>
      <c r="Z13" s="164">
        <v>0.25</v>
      </c>
      <c r="AA13" s="307">
        <v>21600.01</v>
      </c>
      <c r="AB13" s="307">
        <v>3780</v>
      </c>
      <c r="AC13" s="164">
        <v>0.15</v>
      </c>
      <c r="AD13" s="307">
        <v>10800.01</v>
      </c>
      <c r="AE13" s="307">
        <v>1620</v>
      </c>
      <c r="AF13" s="164">
        <v>0</v>
      </c>
      <c r="AG13" s="165">
        <v>0</v>
      </c>
      <c r="AH13" s="165">
        <v>0</v>
      </c>
      <c r="AI13" s="164">
        <v>0</v>
      </c>
      <c r="AJ13" s="165">
        <v>0</v>
      </c>
      <c r="AK13" s="165">
        <v>0</v>
      </c>
      <c r="AL13" s="164">
        <v>0</v>
      </c>
      <c r="AM13" s="165">
        <v>0</v>
      </c>
      <c r="AN13" s="165">
        <v>0</v>
      </c>
      <c r="AO13" s="307">
        <v>8000</v>
      </c>
      <c r="AP13" s="163">
        <v>35916</v>
      </c>
      <c r="AQ13" s="241">
        <f t="shared" si="18"/>
        <v>1997</v>
      </c>
      <c r="AR13" s="241" t="str">
        <f t="shared" si="19"/>
        <v>MOEDA</v>
      </c>
      <c r="AS13" s="310">
        <f t="shared" si="20"/>
        <v>0.25</v>
      </c>
      <c r="AT13" s="309">
        <f t="shared" si="21"/>
        <v>21600.01</v>
      </c>
      <c r="AU13" s="309">
        <f t="shared" si="22"/>
        <v>3780</v>
      </c>
      <c r="AV13" s="310">
        <f t="shared" si="23"/>
        <v>0.15</v>
      </c>
      <c r="AW13" s="309">
        <f t="shared" si="24"/>
        <v>10800.01</v>
      </c>
      <c r="AX13" s="309">
        <f t="shared" si="25"/>
        <v>1620</v>
      </c>
      <c r="AY13" s="310">
        <f t="shared" si="26"/>
        <v>0</v>
      </c>
      <c r="AZ13" s="309">
        <f t="shared" si="27"/>
        <v>0</v>
      </c>
      <c r="BA13" s="309">
        <f t="shared" si="28"/>
        <v>0</v>
      </c>
      <c r="BB13" s="310">
        <f t="shared" si="29"/>
        <v>0</v>
      </c>
      <c r="BC13" s="309">
        <f t="shared" si="30"/>
        <v>0</v>
      </c>
      <c r="BD13" s="309">
        <f t="shared" si="31"/>
        <v>0</v>
      </c>
      <c r="BE13" s="310">
        <f t="shared" si="32"/>
        <v>0</v>
      </c>
      <c r="BF13" s="309">
        <f t="shared" si="33"/>
        <v>0</v>
      </c>
      <c r="BG13" s="309">
        <f t="shared" si="34"/>
        <v>0</v>
      </c>
      <c r="BH13" s="309">
        <f t="shared" si="35"/>
        <v>8000</v>
      </c>
      <c r="BI13" s="159">
        <f t="shared" si="36"/>
        <v>35916</v>
      </c>
      <c r="BK13" s="325"/>
      <c r="BM13" s="160" t="s">
        <v>62</v>
      </c>
      <c r="BN13" s="355">
        <v>33512</v>
      </c>
      <c r="BO13" s="31" t="s">
        <v>69</v>
      </c>
      <c r="BP13" s="278" t="str">
        <f t="shared" si="2"/>
        <v>21,08%</v>
      </c>
      <c r="BQ13" s="312">
        <f t="shared" si="3"/>
        <v>3.0444744986441521E-3</v>
      </c>
      <c r="BS13" s="31" t="s">
        <v>44</v>
      </c>
      <c r="BT13" s="168">
        <v>33512</v>
      </c>
      <c r="BU13" s="32">
        <v>0.01</v>
      </c>
      <c r="BV13" s="311">
        <f t="shared" si="4"/>
        <v>4.5502999999999902</v>
      </c>
      <c r="BX13" s="169" t="s">
        <v>44</v>
      </c>
      <c r="BY13" s="290">
        <v>33512</v>
      </c>
      <c r="BZ13" s="33">
        <v>0.01</v>
      </c>
      <c r="CA13" s="162">
        <f t="shared" si="5"/>
        <v>3.8425419999999888</v>
      </c>
      <c r="CC13" s="168">
        <v>33817</v>
      </c>
      <c r="CD13" s="173">
        <v>2546.39</v>
      </c>
      <c r="CF13" s="31" t="s">
        <v>62</v>
      </c>
      <c r="CG13" s="168">
        <v>33512</v>
      </c>
      <c r="CH13" s="31" t="s">
        <v>69</v>
      </c>
      <c r="CI13" s="314" t="str">
        <f t="shared" si="6"/>
        <v>21,08%</v>
      </c>
      <c r="CJ13" s="312">
        <f t="shared" si="7"/>
        <v>2.6118897082135681E-3</v>
      </c>
      <c r="CL13" s="325"/>
      <c r="CN13" s="315">
        <f t="shared" si="8"/>
        <v>33512</v>
      </c>
      <c r="CO13" s="312">
        <f t="shared" si="9"/>
        <v>2.6118897082135681E-3</v>
      </c>
      <c r="CQ13" s="315">
        <f t="shared" si="10"/>
        <v>33512</v>
      </c>
      <c r="CR13" s="316">
        <f t="shared" si="11"/>
        <v>4.5502999999999902</v>
      </c>
      <c r="CT13" s="325"/>
      <c r="CW13" s="652" t="s">
        <v>329</v>
      </c>
      <c r="CX13" s="242" t="str">
        <f t="shared" si="37"/>
        <v>Imagem</v>
      </c>
      <c r="CZ13" s="317"/>
      <c r="DA13" s="159"/>
      <c r="DB13" s="159"/>
    </row>
    <row r="14" spans="2:108" ht="15" customHeight="1">
      <c r="B14" s="163">
        <v>36770</v>
      </c>
      <c r="C14" s="165">
        <v>151</v>
      </c>
      <c r="D14" s="274">
        <f t="shared" si="12"/>
        <v>36770</v>
      </c>
      <c r="E14" s="275">
        <f t="shared" si="13"/>
        <v>151</v>
      </c>
      <c r="G14" s="163">
        <v>37135</v>
      </c>
      <c r="H14" s="163">
        <v>37165</v>
      </c>
      <c r="I14" s="164">
        <v>1.627E-3</v>
      </c>
      <c r="J14" s="159">
        <f t="shared" si="14"/>
        <v>37165</v>
      </c>
      <c r="K14" s="278">
        <f t="shared" si="15"/>
        <v>1.627E-3</v>
      </c>
      <c r="M14" s="290">
        <v>35278</v>
      </c>
      <c r="N14" s="290">
        <v>35309</v>
      </c>
      <c r="O14" s="291">
        <v>5.0000000000000001E-3</v>
      </c>
      <c r="P14" s="159">
        <f t="shared" si="0"/>
        <v>35278</v>
      </c>
      <c r="Q14" s="291">
        <v>5.0000000000000001E-3</v>
      </c>
      <c r="S14" s="163">
        <v>35309</v>
      </c>
      <c r="T14" s="164">
        <v>1.9E-2</v>
      </c>
      <c r="U14" s="159">
        <f t="shared" si="16"/>
        <v>35309</v>
      </c>
      <c r="V14" s="285">
        <f t="shared" si="17"/>
        <v>1.9E-2</v>
      </c>
      <c r="X14" s="165">
        <v>1998</v>
      </c>
      <c r="Y14" s="165" t="s">
        <v>326</v>
      </c>
      <c r="Z14" s="164">
        <v>0.27500000000000002</v>
      </c>
      <c r="AA14" s="307">
        <v>21600.01</v>
      </c>
      <c r="AB14" s="307">
        <v>4320</v>
      </c>
      <c r="AC14" s="164">
        <v>0.15</v>
      </c>
      <c r="AD14" s="307">
        <v>10800.01</v>
      </c>
      <c r="AE14" s="307">
        <v>1620</v>
      </c>
      <c r="AF14" s="164">
        <v>0</v>
      </c>
      <c r="AG14" s="165">
        <v>0</v>
      </c>
      <c r="AH14" s="165">
        <v>0</v>
      </c>
      <c r="AI14" s="164">
        <v>0</v>
      </c>
      <c r="AJ14" s="165">
        <v>0</v>
      </c>
      <c r="AK14" s="165">
        <v>0</v>
      </c>
      <c r="AL14" s="164">
        <v>0</v>
      </c>
      <c r="AM14" s="165">
        <v>0</v>
      </c>
      <c r="AN14" s="165">
        <v>0</v>
      </c>
      <c r="AO14" s="307">
        <v>8000</v>
      </c>
      <c r="AP14" s="163">
        <v>36281</v>
      </c>
      <c r="AQ14" s="241">
        <f t="shared" si="18"/>
        <v>1998</v>
      </c>
      <c r="AR14" s="241" t="str">
        <f t="shared" si="19"/>
        <v>MOEDA</v>
      </c>
      <c r="AS14" s="310">
        <f t="shared" si="20"/>
        <v>0.27500000000000002</v>
      </c>
      <c r="AT14" s="309">
        <f t="shared" si="21"/>
        <v>21600.01</v>
      </c>
      <c r="AU14" s="309">
        <f t="shared" si="22"/>
        <v>4320</v>
      </c>
      <c r="AV14" s="310">
        <f t="shared" si="23"/>
        <v>0.15</v>
      </c>
      <c r="AW14" s="309">
        <f t="shared" si="24"/>
        <v>10800.01</v>
      </c>
      <c r="AX14" s="309">
        <f t="shared" si="25"/>
        <v>1620</v>
      </c>
      <c r="AY14" s="310">
        <f t="shared" si="26"/>
        <v>0</v>
      </c>
      <c r="AZ14" s="309">
        <f t="shared" si="27"/>
        <v>0</v>
      </c>
      <c r="BA14" s="309">
        <f t="shared" si="28"/>
        <v>0</v>
      </c>
      <c r="BB14" s="310">
        <f t="shared" si="29"/>
        <v>0</v>
      </c>
      <c r="BC14" s="309">
        <f t="shared" si="30"/>
        <v>0</v>
      </c>
      <c r="BD14" s="309">
        <f t="shared" si="31"/>
        <v>0</v>
      </c>
      <c r="BE14" s="310">
        <f t="shared" si="32"/>
        <v>0</v>
      </c>
      <c r="BF14" s="309">
        <f t="shared" si="33"/>
        <v>0</v>
      </c>
      <c r="BG14" s="309">
        <f t="shared" si="34"/>
        <v>0</v>
      </c>
      <c r="BH14" s="309">
        <f t="shared" si="35"/>
        <v>8000</v>
      </c>
      <c r="BI14" s="159">
        <f t="shared" si="36"/>
        <v>36281</v>
      </c>
      <c r="BK14" s="325"/>
      <c r="BM14" s="160" t="s">
        <v>62</v>
      </c>
      <c r="BN14" s="355">
        <v>33543</v>
      </c>
      <c r="BO14" s="31" t="s">
        <v>70</v>
      </c>
      <c r="BP14" s="278" t="str">
        <f t="shared" si="2"/>
        <v>26,48%</v>
      </c>
      <c r="BQ14" s="312">
        <f t="shared" si="3"/>
        <v>2.5144321924712196E-3</v>
      </c>
      <c r="BS14" s="31" t="s">
        <v>44</v>
      </c>
      <c r="BT14" s="168">
        <v>33543</v>
      </c>
      <c r="BU14" s="32">
        <v>0.01</v>
      </c>
      <c r="BV14" s="311">
        <f t="shared" si="4"/>
        <v>4.5402999999999905</v>
      </c>
      <c r="BX14" s="169" t="s">
        <v>44</v>
      </c>
      <c r="BY14" s="290">
        <v>33543</v>
      </c>
      <c r="BZ14" s="33">
        <v>0.01</v>
      </c>
      <c r="CA14" s="162">
        <f t="shared" si="5"/>
        <v>3.832541999999989</v>
      </c>
      <c r="CC14" s="168">
        <v>33848</v>
      </c>
      <c r="CD14" s="173">
        <v>3135.62</v>
      </c>
      <c r="CF14" s="31" t="s">
        <v>62</v>
      </c>
      <c r="CG14" s="168">
        <v>33543</v>
      </c>
      <c r="CH14" s="31" t="s">
        <v>70</v>
      </c>
      <c r="CI14" s="314" t="str">
        <f t="shared" si="6"/>
        <v>26,48%</v>
      </c>
      <c r="CJ14" s="312">
        <f t="shared" si="7"/>
        <v>2.157160314018474E-3</v>
      </c>
      <c r="CL14" s="325"/>
      <c r="CN14" s="315">
        <f t="shared" si="8"/>
        <v>33543</v>
      </c>
      <c r="CO14" s="312">
        <f t="shared" si="9"/>
        <v>2.157160314018474E-3</v>
      </c>
      <c r="CQ14" s="315">
        <f t="shared" si="10"/>
        <v>33543</v>
      </c>
      <c r="CR14" s="316">
        <f t="shared" si="11"/>
        <v>4.5402999999999905</v>
      </c>
      <c r="CT14" s="325"/>
      <c r="CW14" s="652" t="s">
        <v>330</v>
      </c>
      <c r="CX14" s="242" t="str">
        <f t="shared" si="37"/>
        <v>Selo Diamante CNJ 2025</v>
      </c>
      <c r="CZ14" s="317"/>
      <c r="DA14" s="159"/>
      <c r="DB14" s="159"/>
    </row>
    <row r="15" spans="2:108" ht="15" customHeight="1">
      <c r="B15" s="163">
        <v>36800</v>
      </c>
      <c r="C15" s="165">
        <v>151</v>
      </c>
      <c r="D15" s="274">
        <f t="shared" si="12"/>
        <v>36800</v>
      </c>
      <c r="E15" s="275">
        <f t="shared" si="13"/>
        <v>151</v>
      </c>
      <c r="G15" s="163">
        <v>37165</v>
      </c>
      <c r="H15" s="163">
        <v>37196</v>
      </c>
      <c r="I15" s="164">
        <v>2.9129999999999998E-3</v>
      </c>
      <c r="J15" s="159">
        <f t="shared" si="14"/>
        <v>37196</v>
      </c>
      <c r="K15" s="278">
        <f t="shared" si="15"/>
        <v>2.9129999999999998E-3</v>
      </c>
      <c r="M15" s="290">
        <v>35309</v>
      </c>
      <c r="N15" s="290">
        <v>35339</v>
      </c>
      <c r="O15" s="291">
        <v>5.0000000000000001E-3</v>
      </c>
      <c r="P15" s="159">
        <f t="shared" si="0"/>
        <v>35309</v>
      </c>
      <c r="Q15" s="291">
        <v>5.0000000000000001E-3</v>
      </c>
      <c r="S15" s="163">
        <v>35339</v>
      </c>
      <c r="T15" s="164">
        <v>1.8599999999999998E-2</v>
      </c>
      <c r="U15" s="159">
        <f t="shared" si="16"/>
        <v>35339</v>
      </c>
      <c r="V15" s="285">
        <f t="shared" si="17"/>
        <v>1.8599999999999998E-2</v>
      </c>
      <c r="X15" s="165">
        <v>1999</v>
      </c>
      <c r="Y15" s="165" t="s">
        <v>326</v>
      </c>
      <c r="Z15" s="164">
        <v>0.27500000000000002</v>
      </c>
      <c r="AA15" s="307">
        <v>21600.01</v>
      </c>
      <c r="AB15" s="307">
        <v>4320</v>
      </c>
      <c r="AC15" s="164">
        <v>0.15</v>
      </c>
      <c r="AD15" s="307">
        <v>10800.01</v>
      </c>
      <c r="AE15" s="307">
        <v>1620</v>
      </c>
      <c r="AF15" s="164">
        <v>0</v>
      </c>
      <c r="AG15" s="165">
        <v>0</v>
      </c>
      <c r="AH15" s="165">
        <v>0</v>
      </c>
      <c r="AI15" s="164">
        <v>0</v>
      </c>
      <c r="AJ15" s="165">
        <v>0</v>
      </c>
      <c r="AK15" s="165">
        <v>0</v>
      </c>
      <c r="AL15" s="164">
        <v>0</v>
      </c>
      <c r="AM15" s="165">
        <v>0</v>
      </c>
      <c r="AN15" s="165">
        <v>0</v>
      </c>
      <c r="AO15" s="307">
        <v>8000</v>
      </c>
      <c r="AP15" s="163">
        <v>36647</v>
      </c>
      <c r="AQ15" s="241">
        <f t="shared" si="18"/>
        <v>1999</v>
      </c>
      <c r="AR15" s="241" t="str">
        <f t="shared" si="19"/>
        <v>MOEDA</v>
      </c>
      <c r="AS15" s="310">
        <f t="shared" si="20"/>
        <v>0.27500000000000002</v>
      </c>
      <c r="AT15" s="309">
        <f t="shared" si="21"/>
        <v>21600.01</v>
      </c>
      <c r="AU15" s="309">
        <f t="shared" si="22"/>
        <v>4320</v>
      </c>
      <c r="AV15" s="310">
        <f t="shared" si="23"/>
        <v>0.15</v>
      </c>
      <c r="AW15" s="309">
        <f t="shared" si="24"/>
        <v>10800.01</v>
      </c>
      <c r="AX15" s="309">
        <f t="shared" si="25"/>
        <v>1620</v>
      </c>
      <c r="AY15" s="310">
        <f t="shared" si="26"/>
        <v>0</v>
      </c>
      <c r="AZ15" s="309">
        <f t="shared" si="27"/>
        <v>0</v>
      </c>
      <c r="BA15" s="309">
        <f t="shared" si="28"/>
        <v>0</v>
      </c>
      <c r="BB15" s="310">
        <f t="shared" si="29"/>
        <v>0</v>
      </c>
      <c r="BC15" s="309">
        <f t="shared" si="30"/>
        <v>0</v>
      </c>
      <c r="BD15" s="309">
        <f t="shared" si="31"/>
        <v>0</v>
      </c>
      <c r="BE15" s="310">
        <f t="shared" si="32"/>
        <v>0</v>
      </c>
      <c r="BF15" s="309">
        <f t="shared" si="33"/>
        <v>0</v>
      </c>
      <c r="BG15" s="309">
        <f t="shared" si="34"/>
        <v>0</v>
      </c>
      <c r="BH15" s="309">
        <f t="shared" si="35"/>
        <v>8000</v>
      </c>
      <c r="BI15" s="159">
        <f t="shared" si="36"/>
        <v>36647</v>
      </c>
      <c r="BK15" s="325"/>
      <c r="BM15" s="160" t="s">
        <v>61</v>
      </c>
      <c r="BN15" s="355">
        <v>33573</v>
      </c>
      <c r="BO15" s="31">
        <v>0.2288</v>
      </c>
      <c r="BP15" s="278">
        <f t="shared" si="2"/>
        <v>0.2288</v>
      </c>
      <c r="BQ15" s="312">
        <f t="shared" si="3"/>
        <v>1.9880077423080483E-3</v>
      </c>
      <c r="BS15" s="31" t="s">
        <v>44</v>
      </c>
      <c r="BT15" s="168">
        <v>33573</v>
      </c>
      <c r="BU15" s="32">
        <v>0.01</v>
      </c>
      <c r="BV15" s="311">
        <f t="shared" si="4"/>
        <v>4.5302999999999907</v>
      </c>
      <c r="BX15" s="169" t="s">
        <v>44</v>
      </c>
      <c r="BY15" s="290">
        <v>33573</v>
      </c>
      <c r="BZ15" s="33">
        <v>0.01</v>
      </c>
      <c r="CA15" s="162">
        <f t="shared" si="5"/>
        <v>3.8225419999999892</v>
      </c>
      <c r="CC15" s="168">
        <v>33878</v>
      </c>
      <c r="CD15" s="173">
        <v>3867.16</v>
      </c>
      <c r="CF15" s="31" t="s">
        <v>61</v>
      </c>
      <c r="CG15" s="168">
        <v>33573</v>
      </c>
      <c r="CH15" s="31">
        <v>0.2288</v>
      </c>
      <c r="CI15" s="314">
        <f>+CH15</f>
        <v>0.2288</v>
      </c>
      <c r="CJ15" s="312">
        <f t="shared" si="7"/>
        <v>1.7055347201284583E-3</v>
      </c>
      <c r="CL15" s="325"/>
      <c r="CN15" s="315">
        <f t="shared" si="8"/>
        <v>33573</v>
      </c>
      <c r="CO15" s="312">
        <f t="shared" si="9"/>
        <v>1.7055347201284583E-3</v>
      </c>
      <c r="CQ15" s="315">
        <f t="shared" si="10"/>
        <v>33573</v>
      </c>
      <c r="CR15" s="316">
        <f t="shared" si="11"/>
        <v>4.5302999999999907</v>
      </c>
      <c r="CT15" s="325"/>
      <c r="CW15" s="652"/>
      <c r="CX15" s="242" t="str">
        <f t="shared" si="37"/>
        <v/>
      </c>
    </row>
    <row r="16" spans="2:108" ht="15" customHeight="1">
      <c r="B16" s="163">
        <v>36831</v>
      </c>
      <c r="C16" s="165">
        <v>151</v>
      </c>
      <c r="D16" s="274">
        <f t="shared" si="12"/>
        <v>36831</v>
      </c>
      <c r="E16" s="275">
        <f t="shared" si="13"/>
        <v>151</v>
      </c>
      <c r="G16" s="163">
        <v>37196</v>
      </c>
      <c r="H16" s="163">
        <v>37226</v>
      </c>
      <c r="I16" s="164">
        <v>1.928E-3</v>
      </c>
      <c r="J16" s="159">
        <f t="shared" si="14"/>
        <v>37226</v>
      </c>
      <c r="K16" s="278">
        <f t="shared" si="15"/>
        <v>1.928E-3</v>
      </c>
      <c r="M16" s="290">
        <v>35339</v>
      </c>
      <c r="N16" s="290">
        <v>35370</v>
      </c>
      <c r="O16" s="291">
        <v>5.0000000000000001E-3</v>
      </c>
      <c r="P16" s="159">
        <f t="shared" si="0"/>
        <v>35339</v>
      </c>
      <c r="Q16" s="291">
        <v>5.0000000000000001E-3</v>
      </c>
      <c r="S16" s="163">
        <v>35370</v>
      </c>
      <c r="T16" s="164">
        <v>1.7999999999999999E-2</v>
      </c>
      <c r="U16" s="159">
        <f t="shared" si="16"/>
        <v>35370</v>
      </c>
      <c r="V16" s="285">
        <f t="shared" si="17"/>
        <v>1.7999999999999999E-2</v>
      </c>
      <c r="X16" s="165">
        <v>2000</v>
      </c>
      <c r="Y16" s="165" t="s">
        <v>326</v>
      </c>
      <c r="Z16" s="164">
        <v>0.27500000000000002</v>
      </c>
      <c r="AA16" s="307">
        <v>21600.01</v>
      </c>
      <c r="AB16" s="307">
        <v>4320</v>
      </c>
      <c r="AC16" s="164">
        <v>0.15</v>
      </c>
      <c r="AD16" s="307">
        <v>10800.01</v>
      </c>
      <c r="AE16" s="307">
        <v>1620</v>
      </c>
      <c r="AF16" s="164">
        <v>0</v>
      </c>
      <c r="AG16" s="165">
        <v>0</v>
      </c>
      <c r="AH16" s="165">
        <v>0</v>
      </c>
      <c r="AI16" s="164">
        <v>0</v>
      </c>
      <c r="AJ16" s="165">
        <v>0</v>
      </c>
      <c r="AK16" s="165">
        <v>0</v>
      </c>
      <c r="AL16" s="164">
        <v>0</v>
      </c>
      <c r="AM16" s="165">
        <v>0</v>
      </c>
      <c r="AN16" s="165">
        <v>0</v>
      </c>
      <c r="AO16" s="307">
        <v>8000</v>
      </c>
      <c r="AP16" s="163">
        <v>37012</v>
      </c>
      <c r="AQ16" s="241">
        <f t="shared" si="18"/>
        <v>2000</v>
      </c>
      <c r="AR16" s="241" t="str">
        <f t="shared" si="19"/>
        <v>MOEDA</v>
      </c>
      <c r="AS16" s="310">
        <f t="shared" si="20"/>
        <v>0.27500000000000002</v>
      </c>
      <c r="AT16" s="309">
        <f t="shared" si="21"/>
        <v>21600.01</v>
      </c>
      <c r="AU16" s="309">
        <f t="shared" si="22"/>
        <v>4320</v>
      </c>
      <c r="AV16" s="310">
        <f t="shared" si="23"/>
        <v>0.15</v>
      </c>
      <c r="AW16" s="309">
        <f t="shared" si="24"/>
        <v>10800.01</v>
      </c>
      <c r="AX16" s="309">
        <f t="shared" si="25"/>
        <v>1620</v>
      </c>
      <c r="AY16" s="310">
        <f t="shared" si="26"/>
        <v>0</v>
      </c>
      <c r="AZ16" s="309">
        <f t="shared" si="27"/>
        <v>0</v>
      </c>
      <c r="BA16" s="309">
        <f t="shared" si="28"/>
        <v>0</v>
      </c>
      <c r="BB16" s="310">
        <f t="shared" si="29"/>
        <v>0</v>
      </c>
      <c r="BC16" s="309">
        <f t="shared" si="30"/>
        <v>0</v>
      </c>
      <c r="BD16" s="309">
        <f t="shared" si="31"/>
        <v>0</v>
      </c>
      <c r="BE16" s="310">
        <f t="shared" si="32"/>
        <v>0</v>
      </c>
      <c r="BF16" s="309">
        <f t="shared" si="33"/>
        <v>0</v>
      </c>
      <c r="BG16" s="309">
        <f t="shared" si="34"/>
        <v>0</v>
      </c>
      <c r="BH16" s="309">
        <f t="shared" si="35"/>
        <v>8000</v>
      </c>
      <c r="BI16" s="159">
        <f t="shared" si="36"/>
        <v>37012</v>
      </c>
      <c r="BK16" s="325"/>
      <c r="BM16" s="160" t="s">
        <v>42</v>
      </c>
      <c r="BN16" s="355">
        <v>33604</v>
      </c>
      <c r="BO16" s="34">
        <v>597.05999999999995</v>
      </c>
      <c r="BP16" s="354">
        <f t="shared" ref="BP16:BP63" si="38">+((BO17-BO16)/BO16)</f>
        <v>0.25600442166616427</v>
      </c>
      <c r="BQ16" s="312">
        <f t="shared" si="3"/>
        <v>1.617844842373086E-3</v>
      </c>
      <c r="BS16" s="31" t="s">
        <v>44</v>
      </c>
      <c r="BT16" s="168">
        <v>33604</v>
      </c>
      <c r="BU16" s="32">
        <v>0.01</v>
      </c>
      <c r="BV16" s="311">
        <f t="shared" si="4"/>
        <v>4.5202999999999909</v>
      </c>
      <c r="BX16" s="169" t="s">
        <v>44</v>
      </c>
      <c r="BY16" s="290">
        <v>33604</v>
      </c>
      <c r="BZ16" s="33">
        <v>0.01</v>
      </c>
      <c r="CA16" s="162">
        <f t="shared" si="5"/>
        <v>3.8125419999999894</v>
      </c>
      <c r="CC16" s="168">
        <v>33909</v>
      </c>
      <c r="CD16" s="173">
        <v>4852.51</v>
      </c>
      <c r="CF16" s="31" t="s">
        <v>42</v>
      </c>
      <c r="CG16" s="168">
        <v>33604</v>
      </c>
      <c r="CH16" s="34">
        <v>597.05999999999995</v>
      </c>
      <c r="CI16" s="361">
        <f t="shared" ref="CI16:CI62" si="39">+((CH17-CH16)/CH16)</f>
        <v>0.25600442166616427</v>
      </c>
      <c r="CJ16" s="312">
        <f t="shared" si="7"/>
        <v>1.3879677084378728E-3</v>
      </c>
      <c r="CL16" s="325"/>
      <c r="CN16" s="315">
        <f t="shared" si="8"/>
        <v>33604</v>
      </c>
      <c r="CO16" s="312">
        <f t="shared" si="9"/>
        <v>1.3879677084378728E-3</v>
      </c>
      <c r="CQ16" s="315">
        <f t="shared" si="10"/>
        <v>33604</v>
      </c>
      <c r="CR16" s="316">
        <f t="shared" si="11"/>
        <v>4.5202999999999909</v>
      </c>
      <c r="CT16" s="325"/>
      <c r="CW16" s="653"/>
      <c r="CX16" s="242" t="str">
        <f t="shared" si="37"/>
        <v/>
      </c>
    </row>
    <row r="17" spans="2:102" ht="15" customHeight="1">
      <c r="B17" s="163">
        <v>36861</v>
      </c>
      <c r="C17" s="165">
        <v>151</v>
      </c>
      <c r="D17" s="274">
        <f t="shared" si="12"/>
        <v>36861</v>
      </c>
      <c r="E17" s="275">
        <f t="shared" si="13"/>
        <v>151</v>
      </c>
      <c r="G17" s="163">
        <v>37226</v>
      </c>
      <c r="H17" s="163">
        <v>37257</v>
      </c>
      <c r="I17" s="164">
        <v>1.983E-3</v>
      </c>
      <c r="J17" s="159">
        <f t="shared" si="14"/>
        <v>37257</v>
      </c>
      <c r="K17" s="278">
        <f t="shared" si="15"/>
        <v>1.983E-3</v>
      </c>
      <c r="M17" s="290">
        <v>35370</v>
      </c>
      <c r="N17" s="290">
        <v>35400</v>
      </c>
      <c r="O17" s="291">
        <v>5.0000000000000001E-3</v>
      </c>
      <c r="P17" s="159">
        <f t="shared" si="0"/>
        <v>35370</v>
      </c>
      <c r="Q17" s="291">
        <v>5.0000000000000001E-3</v>
      </c>
      <c r="S17" s="163">
        <v>35400</v>
      </c>
      <c r="T17" s="164">
        <v>1.7999999999999999E-2</v>
      </c>
      <c r="U17" s="159">
        <f t="shared" si="16"/>
        <v>35400</v>
      </c>
      <c r="V17" s="285">
        <f t="shared" si="17"/>
        <v>1.7999999999999999E-2</v>
      </c>
      <c r="X17" s="165">
        <v>2001</v>
      </c>
      <c r="Y17" s="165" t="s">
        <v>326</v>
      </c>
      <c r="Z17" s="164">
        <v>0.27500000000000002</v>
      </c>
      <c r="AA17" s="307">
        <v>21600.01</v>
      </c>
      <c r="AB17" s="307">
        <v>4320</v>
      </c>
      <c r="AC17" s="164">
        <v>0.15</v>
      </c>
      <c r="AD17" s="307">
        <v>10800.01</v>
      </c>
      <c r="AE17" s="307">
        <v>1620</v>
      </c>
      <c r="AF17" s="164">
        <v>0</v>
      </c>
      <c r="AG17" s="165">
        <v>0</v>
      </c>
      <c r="AH17" s="165">
        <v>0</v>
      </c>
      <c r="AI17" s="164">
        <v>0</v>
      </c>
      <c r="AJ17" s="165">
        <v>0</v>
      </c>
      <c r="AK17" s="165">
        <v>0</v>
      </c>
      <c r="AL17" s="164">
        <v>0</v>
      </c>
      <c r="AM17" s="165">
        <v>0</v>
      </c>
      <c r="AN17" s="165">
        <v>0</v>
      </c>
      <c r="AO17" s="307">
        <v>8000</v>
      </c>
      <c r="AP17" s="163">
        <v>37377</v>
      </c>
      <c r="AQ17" s="241">
        <f t="shared" si="18"/>
        <v>2001</v>
      </c>
      <c r="AR17" s="241" t="str">
        <f t="shared" si="19"/>
        <v>MOEDA</v>
      </c>
      <c r="AS17" s="310">
        <f t="shared" si="20"/>
        <v>0.27500000000000002</v>
      </c>
      <c r="AT17" s="309">
        <f t="shared" si="21"/>
        <v>21600.01</v>
      </c>
      <c r="AU17" s="309">
        <f t="shared" si="22"/>
        <v>4320</v>
      </c>
      <c r="AV17" s="310">
        <f t="shared" si="23"/>
        <v>0.15</v>
      </c>
      <c r="AW17" s="309">
        <f t="shared" si="24"/>
        <v>10800.01</v>
      </c>
      <c r="AX17" s="309">
        <f t="shared" si="25"/>
        <v>1620</v>
      </c>
      <c r="AY17" s="310">
        <f t="shared" si="26"/>
        <v>0</v>
      </c>
      <c r="AZ17" s="309">
        <f t="shared" si="27"/>
        <v>0</v>
      </c>
      <c r="BA17" s="309">
        <f t="shared" si="28"/>
        <v>0</v>
      </c>
      <c r="BB17" s="310">
        <f t="shared" si="29"/>
        <v>0</v>
      </c>
      <c r="BC17" s="309">
        <f t="shared" si="30"/>
        <v>0</v>
      </c>
      <c r="BD17" s="309">
        <f t="shared" si="31"/>
        <v>0</v>
      </c>
      <c r="BE17" s="310">
        <f t="shared" si="32"/>
        <v>0</v>
      </c>
      <c r="BF17" s="309">
        <f t="shared" si="33"/>
        <v>0</v>
      </c>
      <c r="BG17" s="309">
        <f t="shared" si="34"/>
        <v>0</v>
      </c>
      <c r="BH17" s="309">
        <f t="shared" si="35"/>
        <v>8000</v>
      </c>
      <c r="BI17" s="159">
        <f t="shared" si="36"/>
        <v>37377</v>
      </c>
      <c r="BK17" s="325"/>
      <c r="BM17" s="160" t="s">
        <v>42</v>
      </c>
      <c r="BN17" s="355">
        <v>33635</v>
      </c>
      <c r="BO17" s="34">
        <v>749.91</v>
      </c>
      <c r="BP17" s="278">
        <f t="shared" si="38"/>
        <v>0.26100465389180039</v>
      </c>
      <c r="BQ17" s="312">
        <f t="shared" si="3"/>
        <v>1.2880884927354945E-3</v>
      </c>
      <c r="BS17" s="31" t="s">
        <v>44</v>
      </c>
      <c r="BT17" s="168">
        <v>33635</v>
      </c>
      <c r="BU17" s="32">
        <v>0.01</v>
      </c>
      <c r="BV17" s="311">
        <f t="shared" si="4"/>
        <v>4.5102999999999911</v>
      </c>
      <c r="BX17" s="169" t="s">
        <v>44</v>
      </c>
      <c r="BY17" s="290">
        <v>33635</v>
      </c>
      <c r="BZ17" s="33">
        <v>0.01</v>
      </c>
      <c r="CA17" s="162">
        <f t="shared" si="5"/>
        <v>3.8025419999999897</v>
      </c>
      <c r="CC17" s="168">
        <v>33939</v>
      </c>
      <c r="CD17" s="173">
        <v>6002.55</v>
      </c>
      <c r="CF17" s="31" t="s">
        <v>42</v>
      </c>
      <c r="CG17" s="168">
        <v>33635</v>
      </c>
      <c r="CH17" s="34">
        <v>749.91</v>
      </c>
      <c r="CI17" s="361">
        <f t="shared" si="39"/>
        <v>0.26100465389180039</v>
      </c>
      <c r="CJ17" s="312">
        <f t="shared" si="7"/>
        <v>1.1050659412461712E-3</v>
      </c>
      <c r="CL17" s="325"/>
      <c r="CN17" s="315">
        <f t="shared" si="8"/>
        <v>33635</v>
      </c>
      <c r="CO17" s="312">
        <f t="shared" si="9"/>
        <v>1.1050659412461712E-3</v>
      </c>
      <c r="CQ17" s="315">
        <f t="shared" si="10"/>
        <v>33635</v>
      </c>
      <c r="CR17" s="316">
        <f t="shared" si="11"/>
        <v>4.5102999999999911</v>
      </c>
      <c r="CT17" s="325"/>
      <c r="CW17" s="652"/>
      <c r="CX17" s="242" t="str">
        <f t="shared" si="37"/>
        <v/>
      </c>
    </row>
    <row r="18" spans="2:102" ht="15" customHeight="1">
      <c r="B18" s="163">
        <v>36892</v>
      </c>
      <c r="C18" s="165">
        <v>151</v>
      </c>
      <c r="D18" s="274">
        <f t="shared" si="12"/>
        <v>36892</v>
      </c>
      <c r="E18" s="275">
        <f t="shared" si="13"/>
        <v>151</v>
      </c>
      <c r="G18" s="163">
        <v>37257</v>
      </c>
      <c r="H18" s="163">
        <v>37288</v>
      </c>
      <c r="I18" s="164">
        <v>2.591E-3</v>
      </c>
      <c r="J18" s="159">
        <f t="shared" si="14"/>
        <v>37288</v>
      </c>
      <c r="K18" s="278">
        <f t="shared" si="15"/>
        <v>2.591E-3</v>
      </c>
      <c r="M18" s="290">
        <v>35400</v>
      </c>
      <c r="N18" s="290">
        <v>35431</v>
      </c>
      <c r="O18" s="291">
        <v>5.0000000000000001E-3</v>
      </c>
      <c r="P18" s="159">
        <f t="shared" si="0"/>
        <v>35400</v>
      </c>
      <c r="Q18" s="291">
        <v>5.0000000000000001E-3</v>
      </c>
      <c r="S18" s="163">
        <v>35431</v>
      </c>
      <c r="T18" s="164">
        <v>1.7299999999999999E-2</v>
      </c>
      <c r="U18" s="159">
        <f t="shared" si="16"/>
        <v>35431</v>
      </c>
      <c r="V18" s="285">
        <f t="shared" si="17"/>
        <v>1.7299999999999999E-2</v>
      </c>
      <c r="X18" s="165">
        <v>2002</v>
      </c>
      <c r="Y18" s="165" t="s">
        <v>326</v>
      </c>
      <c r="Z18" s="164">
        <v>0.27500000000000002</v>
      </c>
      <c r="AA18" s="307">
        <v>25380.01</v>
      </c>
      <c r="AB18" s="307">
        <v>5076.8999999999996</v>
      </c>
      <c r="AC18" s="164">
        <v>0.15</v>
      </c>
      <c r="AD18" s="307">
        <v>12696.01</v>
      </c>
      <c r="AE18" s="307">
        <v>1904.4</v>
      </c>
      <c r="AF18" s="164">
        <v>0</v>
      </c>
      <c r="AG18" s="165">
        <v>0</v>
      </c>
      <c r="AH18" s="165">
        <v>0</v>
      </c>
      <c r="AI18" s="164">
        <v>0</v>
      </c>
      <c r="AJ18" s="165">
        <v>0</v>
      </c>
      <c r="AK18" s="165">
        <v>0</v>
      </c>
      <c r="AL18" s="164">
        <v>0</v>
      </c>
      <c r="AM18" s="165">
        <v>0</v>
      </c>
      <c r="AN18" s="165">
        <v>0</v>
      </c>
      <c r="AO18" s="307">
        <v>9400</v>
      </c>
      <c r="AP18" s="163">
        <v>37742</v>
      </c>
      <c r="AQ18" s="241">
        <f t="shared" si="18"/>
        <v>2002</v>
      </c>
      <c r="AR18" s="241" t="str">
        <f t="shared" si="19"/>
        <v>MOEDA</v>
      </c>
      <c r="AS18" s="310">
        <f t="shared" si="20"/>
        <v>0.27500000000000002</v>
      </c>
      <c r="AT18" s="309">
        <f t="shared" si="21"/>
        <v>25380.01</v>
      </c>
      <c r="AU18" s="309">
        <f t="shared" si="22"/>
        <v>5076.8999999999996</v>
      </c>
      <c r="AV18" s="310">
        <f t="shared" si="23"/>
        <v>0.15</v>
      </c>
      <c r="AW18" s="309">
        <f t="shared" si="24"/>
        <v>12696.01</v>
      </c>
      <c r="AX18" s="309">
        <f t="shared" si="25"/>
        <v>1904.4</v>
      </c>
      <c r="AY18" s="310">
        <f t="shared" si="26"/>
        <v>0</v>
      </c>
      <c r="AZ18" s="309">
        <f t="shared" si="27"/>
        <v>0</v>
      </c>
      <c r="BA18" s="309">
        <f t="shared" si="28"/>
        <v>0</v>
      </c>
      <c r="BB18" s="310">
        <f t="shared" si="29"/>
        <v>0</v>
      </c>
      <c r="BC18" s="309">
        <f t="shared" si="30"/>
        <v>0</v>
      </c>
      <c r="BD18" s="309">
        <f t="shared" si="31"/>
        <v>0</v>
      </c>
      <c r="BE18" s="310">
        <f t="shared" si="32"/>
        <v>0</v>
      </c>
      <c r="BF18" s="309">
        <f t="shared" si="33"/>
        <v>0</v>
      </c>
      <c r="BG18" s="309">
        <f t="shared" si="34"/>
        <v>0</v>
      </c>
      <c r="BH18" s="309">
        <f t="shared" si="35"/>
        <v>9400</v>
      </c>
      <c r="BI18" s="159">
        <f t="shared" si="36"/>
        <v>37742</v>
      </c>
      <c r="BK18" s="325"/>
      <c r="BM18" s="160" t="s">
        <v>42</v>
      </c>
      <c r="BN18" s="355">
        <v>33664</v>
      </c>
      <c r="BO18" s="34">
        <v>945.64</v>
      </c>
      <c r="BP18" s="278">
        <f t="shared" si="38"/>
        <v>0.22029524977792822</v>
      </c>
      <c r="BQ18" s="312">
        <f t="shared" si="3"/>
        <v>1.0214779848433597E-3</v>
      </c>
      <c r="BS18" s="31" t="s">
        <v>44</v>
      </c>
      <c r="BT18" s="168">
        <v>33664</v>
      </c>
      <c r="BU18" s="32">
        <v>0.01</v>
      </c>
      <c r="BV18" s="311">
        <f t="shared" si="4"/>
        <v>4.5002999999999913</v>
      </c>
      <c r="BX18" s="169" t="s">
        <v>44</v>
      </c>
      <c r="BY18" s="290">
        <v>33664</v>
      </c>
      <c r="BZ18" s="33">
        <v>0.01</v>
      </c>
      <c r="CA18" s="162">
        <f t="shared" si="5"/>
        <v>3.7925419999999899</v>
      </c>
      <c r="CC18" s="168">
        <v>33970</v>
      </c>
      <c r="CD18" s="173">
        <v>7412.55</v>
      </c>
      <c r="CF18" s="31" t="s">
        <v>42</v>
      </c>
      <c r="CG18" s="168">
        <v>33664</v>
      </c>
      <c r="CH18" s="34">
        <v>945.64</v>
      </c>
      <c r="CI18" s="361">
        <f t="shared" si="39"/>
        <v>0.22029524977792822</v>
      </c>
      <c r="CJ18" s="312">
        <f t="shared" si="7"/>
        <v>8.7633771837053866E-4</v>
      </c>
      <c r="CL18" s="325"/>
      <c r="CN18" s="315">
        <f t="shared" si="8"/>
        <v>33664</v>
      </c>
      <c r="CO18" s="312">
        <f t="shared" si="9"/>
        <v>8.7633771837053866E-4</v>
      </c>
      <c r="CQ18" s="315">
        <f t="shared" si="10"/>
        <v>33664</v>
      </c>
      <c r="CR18" s="316">
        <f t="shared" si="11"/>
        <v>4.5002999999999913</v>
      </c>
      <c r="CT18" s="325"/>
      <c r="CW18"/>
      <c r="CX18" s="242" t="str">
        <f t="shared" si="37"/>
        <v/>
      </c>
    </row>
    <row r="19" spans="2:102" ht="15" customHeight="1">
      <c r="B19" s="163">
        <v>36923</v>
      </c>
      <c r="C19" s="165">
        <v>151</v>
      </c>
      <c r="D19" s="274">
        <f t="shared" si="12"/>
        <v>36923</v>
      </c>
      <c r="E19" s="275">
        <f t="shared" si="13"/>
        <v>151</v>
      </c>
      <c r="G19" s="163">
        <v>37288</v>
      </c>
      <c r="H19" s="163">
        <v>37316</v>
      </c>
      <c r="I19" s="164">
        <v>1.1709999999999999E-3</v>
      </c>
      <c r="J19" s="159">
        <f t="shared" si="14"/>
        <v>37316</v>
      </c>
      <c r="K19" s="278">
        <f t="shared" si="15"/>
        <v>1.1709999999999999E-3</v>
      </c>
      <c r="M19" s="290">
        <v>35431</v>
      </c>
      <c r="N19" s="290">
        <v>35462</v>
      </c>
      <c r="O19" s="291">
        <v>5.0000000000000001E-3</v>
      </c>
      <c r="P19" s="159">
        <f t="shared" si="0"/>
        <v>35431</v>
      </c>
      <c r="Q19" s="291">
        <v>5.0000000000000001E-3</v>
      </c>
      <c r="S19" s="163">
        <v>35462</v>
      </c>
      <c r="T19" s="164">
        <v>1.67E-2</v>
      </c>
      <c r="U19" s="159">
        <f t="shared" si="16"/>
        <v>35462</v>
      </c>
      <c r="V19" s="285">
        <f t="shared" si="17"/>
        <v>1.67E-2</v>
      </c>
      <c r="X19" s="165">
        <v>2003</v>
      </c>
      <c r="Y19" s="165" t="s">
        <v>326</v>
      </c>
      <c r="Z19" s="164">
        <v>0.27500000000000002</v>
      </c>
      <c r="AA19" s="307">
        <v>25380.01</v>
      </c>
      <c r="AB19" s="307">
        <v>5076.8999999999996</v>
      </c>
      <c r="AC19" s="164">
        <v>0.15</v>
      </c>
      <c r="AD19" s="307">
        <v>12696.01</v>
      </c>
      <c r="AE19" s="307">
        <v>1904.4</v>
      </c>
      <c r="AF19" s="164">
        <v>0</v>
      </c>
      <c r="AG19" s="165">
        <v>0</v>
      </c>
      <c r="AH19" s="165">
        <v>0</v>
      </c>
      <c r="AI19" s="164">
        <v>0</v>
      </c>
      <c r="AJ19" s="165">
        <v>0</v>
      </c>
      <c r="AK19" s="165">
        <v>0</v>
      </c>
      <c r="AL19" s="164">
        <v>0</v>
      </c>
      <c r="AM19" s="165">
        <v>0</v>
      </c>
      <c r="AN19" s="165">
        <v>0</v>
      </c>
      <c r="AO19" s="307">
        <v>9400</v>
      </c>
      <c r="AP19" s="163">
        <v>38108</v>
      </c>
      <c r="AQ19" s="241">
        <f t="shared" si="18"/>
        <v>2003</v>
      </c>
      <c r="AR19" s="241" t="str">
        <f t="shared" si="19"/>
        <v>MOEDA</v>
      </c>
      <c r="AS19" s="310">
        <f t="shared" si="20"/>
        <v>0.27500000000000002</v>
      </c>
      <c r="AT19" s="309">
        <f t="shared" si="21"/>
        <v>25380.01</v>
      </c>
      <c r="AU19" s="309">
        <f t="shared" si="22"/>
        <v>5076.8999999999996</v>
      </c>
      <c r="AV19" s="310">
        <f t="shared" si="23"/>
        <v>0.15</v>
      </c>
      <c r="AW19" s="309">
        <f t="shared" si="24"/>
        <v>12696.01</v>
      </c>
      <c r="AX19" s="309">
        <f t="shared" si="25"/>
        <v>1904.4</v>
      </c>
      <c r="AY19" s="310">
        <f t="shared" si="26"/>
        <v>0</v>
      </c>
      <c r="AZ19" s="309">
        <f t="shared" si="27"/>
        <v>0</v>
      </c>
      <c r="BA19" s="309">
        <f t="shared" si="28"/>
        <v>0</v>
      </c>
      <c r="BB19" s="310">
        <f t="shared" si="29"/>
        <v>0</v>
      </c>
      <c r="BC19" s="309">
        <f t="shared" si="30"/>
        <v>0</v>
      </c>
      <c r="BD19" s="309">
        <f t="shared" si="31"/>
        <v>0</v>
      </c>
      <c r="BE19" s="310">
        <f t="shared" si="32"/>
        <v>0</v>
      </c>
      <c r="BF19" s="309">
        <f t="shared" si="33"/>
        <v>0</v>
      </c>
      <c r="BG19" s="309">
        <f t="shared" si="34"/>
        <v>0</v>
      </c>
      <c r="BH19" s="309">
        <f t="shared" si="35"/>
        <v>9400</v>
      </c>
      <c r="BI19" s="159">
        <f t="shared" si="36"/>
        <v>38108</v>
      </c>
      <c r="BK19" s="325"/>
      <c r="BM19" s="160" t="s">
        <v>42</v>
      </c>
      <c r="BN19" s="355">
        <v>33695</v>
      </c>
      <c r="BO19" s="34">
        <v>1153.96</v>
      </c>
      <c r="BP19" s="278">
        <f t="shared" si="38"/>
        <v>0.19829976775624797</v>
      </c>
      <c r="BQ19" s="312">
        <f t="shared" si="3"/>
        <v>8.3707445802911251E-4</v>
      </c>
      <c r="BS19" s="31" t="s">
        <v>44</v>
      </c>
      <c r="BT19" s="168">
        <v>33695</v>
      </c>
      <c r="BU19" s="32">
        <v>0.01</v>
      </c>
      <c r="BV19" s="311">
        <f t="shared" si="4"/>
        <v>4.4902999999999915</v>
      </c>
      <c r="BX19" s="169" t="s">
        <v>44</v>
      </c>
      <c r="BY19" s="290">
        <v>33695</v>
      </c>
      <c r="BZ19" s="33">
        <v>0.01</v>
      </c>
      <c r="CA19" s="162">
        <f t="shared" si="5"/>
        <v>3.7825419999999901</v>
      </c>
      <c r="CC19" s="168">
        <v>34001</v>
      </c>
      <c r="CD19" s="173">
        <v>9597.0300000000007</v>
      </c>
      <c r="CF19" s="31" t="s">
        <v>42</v>
      </c>
      <c r="CG19" s="168">
        <v>33695</v>
      </c>
      <c r="CH19" s="34">
        <v>1153.96</v>
      </c>
      <c r="CI19" s="361">
        <f t="shared" si="39"/>
        <v>0.19829976775624797</v>
      </c>
      <c r="CJ19" s="312">
        <f t="shared" si="7"/>
        <v>7.1813581059994812E-4</v>
      </c>
      <c r="CL19" s="325"/>
      <c r="CN19" s="315">
        <f t="shared" si="8"/>
        <v>33695</v>
      </c>
      <c r="CO19" s="312">
        <f t="shared" si="9"/>
        <v>7.1813581059994812E-4</v>
      </c>
      <c r="CQ19" s="315">
        <f t="shared" si="10"/>
        <v>33695</v>
      </c>
      <c r="CR19" s="316">
        <f t="shared" si="11"/>
        <v>4.4902999999999915</v>
      </c>
      <c r="CT19" s="325"/>
      <c r="CW19" s="652" t="s">
        <v>331</v>
      </c>
      <c r="CX19" s="242" t="str">
        <f t="shared" si="37"/>
        <v>A- A A+ Alto contraste Acessibilidade Redes sociais</v>
      </c>
    </row>
    <row r="20" spans="2:102" ht="15" customHeight="1">
      <c r="B20" s="163">
        <v>36951</v>
      </c>
      <c r="C20" s="165">
        <v>151</v>
      </c>
      <c r="D20" s="274">
        <f t="shared" si="12"/>
        <v>36951</v>
      </c>
      <c r="E20" s="275">
        <f t="shared" si="13"/>
        <v>151</v>
      </c>
      <c r="G20" s="163">
        <v>37316</v>
      </c>
      <c r="H20" s="163">
        <v>37347</v>
      </c>
      <c r="I20" s="164">
        <v>1.758E-3</v>
      </c>
      <c r="J20" s="159">
        <f t="shared" si="14"/>
        <v>37347</v>
      </c>
      <c r="K20" s="278">
        <f t="shared" si="15"/>
        <v>1.758E-3</v>
      </c>
      <c r="M20" s="290">
        <v>35462</v>
      </c>
      <c r="N20" s="290">
        <v>35490</v>
      </c>
      <c r="O20" s="291">
        <v>5.0000000000000001E-3</v>
      </c>
      <c r="P20" s="159">
        <f t="shared" si="0"/>
        <v>35462</v>
      </c>
      <c r="Q20" s="291">
        <v>5.0000000000000001E-3</v>
      </c>
      <c r="S20" s="163">
        <v>35490</v>
      </c>
      <c r="T20" s="164">
        <v>1.6400000000000001E-2</v>
      </c>
      <c r="U20" s="159">
        <f t="shared" si="16"/>
        <v>35490</v>
      </c>
      <c r="V20" s="285">
        <f t="shared" si="17"/>
        <v>1.6400000000000001E-2</v>
      </c>
      <c r="X20" s="165">
        <v>2004</v>
      </c>
      <c r="Y20" s="165" t="s">
        <v>326</v>
      </c>
      <c r="Z20" s="164">
        <v>0.27500000000000002</v>
      </c>
      <c r="AA20" s="307">
        <v>25380.01</v>
      </c>
      <c r="AB20" s="307">
        <v>5076.8999999999996</v>
      </c>
      <c r="AC20" s="164">
        <v>0.15</v>
      </c>
      <c r="AD20" s="307">
        <v>12696.01</v>
      </c>
      <c r="AE20" s="307">
        <v>1904.4</v>
      </c>
      <c r="AF20" s="164">
        <v>0</v>
      </c>
      <c r="AG20" s="165">
        <v>0</v>
      </c>
      <c r="AH20" s="165">
        <v>0</v>
      </c>
      <c r="AI20" s="164">
        <v>0</v>
      </c>
      <c r="AJ20" s="165">
        <v>0</v>
      </c>
      <c r="AK20" s="165">
        <v>0</v>
      </c>
      <c r="AL20" s="164">
        <v>0</v>
      </c>
      <c r="AM20" s="165">
        <v>0</v>
      </c>
      <c r="AN20" s="165">
        <v>0</v>
      </c>
      <c r="AO20" s="307">
        <v>9400</v>
      </c>
      <c r="AP20" s="163">
        <v>38473</v>
      </c>
      <c r="AQ20" s="241">
        <f t="shared" si="18"/>
        <v>2004</v>
      </c>
      <c r="AR20" s="241" t="str">
        <f t="shared" si="19"/>
        <v>MOEDA</v>
      </c>
      <c r="AS20" s="310">
        <f t="shared" si="20"/>
        <v>0.27500000000000002</v>
      </c>
      <c r="AT20" s="309">
        <f t="shared" si="21"/>
        <v>25380.01</v>
      </c>
      <c r="AU20" s="309">
        <f t="shared" si="22"/>
        <v>5076.8999999999996</v>
      </c>
      <c r="AV20" s="310">
        <f>IF(AC20="","",AC20)</f>
        <v>0.15</v>
      </c>
      <c r="AW20" s="309">
        <f t="shared" si="24"/>
        <v>12696.01</v>
      </c>
      <c r="AX20" s="309">
        <f t="shared" si="25"/>
        <v>1904.4</v>
      </c>
      <c r="AY20" s="310">
        <f t="shared" si="26"/>
        <v>0</v>
      </c>
      <c r="AZ20" s="309">
        <f t="shared" si="27"/>
        <v>0</v>
      </c>
      <c r="BA20" s="309">
        <f t="shared" si="28"/>
        <v>0</v>
      </c>
      <c r="BB20" s="310">
        <f t="shared" si="29"/>
        <v>0</v>
      </c>
      <c r="BC20" s="309">
        <f t="shared" si="30"/>
        <v>0</v>
      </c>
      <c r="BD20" s="309">
        <f t="shared" si="31"/>
        <v>0</v>
      </c>
      <c r="BE20" s="310">
        <f t="shared" si="32"/>
        <v>0</v>
      </c>
      <c r="BF20" s="309">
        <f t="shared" si="33"/>
        <v>0</v>
      </c>
      <c r="BG20" s="309">
        <f t="shared" si="34"/>
        <v>0</v>
      </c>
      <c r="BH20" s="309">
        <f t="shared" si="35"/>
        <v>9400</v>
      </c>
      <c r="BI20" s="159">
        <f t="shared" si="36"/>
        <v>38473</v>
      </c>
      <c r="BK20" s="325"/>
      <c r="BM20" s="160" t="s">
        <v>42</v>
      </c>
      <c r="BN20" s="355">
        <v>33725</v>
      </c>
      <c r="BO20" s="34">
        <v>1382.79</v>
      </c>
      <c r="BP20" s="278">
        <f t="shared" si="38"/>
        <v>0.23449692288778484</v>
      </c>
      <c r="BQ20" s="312">
        <f t="shared" si="3"/>
        <v>6.985517986008539E-4</v>
      </c>
      <c r="BS20" s="31" t="s">
        <v>44</v>
      </c>
      <c r="BT20" s="168">
        <v>33725</v>
      </c>
      <c r="BU20" s="32">
        <v>0.01</v>
      </c>
      <c r="BV20" s="311">
        <f t="shared" si="4"/>
        <v>4.4802999999999917</v>
      </c>
      <c r="BX20" s="169" t="s">
        <v>44</v>
      </c>
      <c r="BY20" s="290">
        <v>33725</v>
      </c>
      <c r="BZ20" s="33">
        <v>0.01</v>
      </c>
      <c r="CA20" s="162">
        <f t="shared" si="5"/>
        <v>3.7725419999999903</v>
      </c>
      <c r="CC20" s="168">
        <v>34029</v>
      </c>
      <c r="CD20" s="173">
        <v>12161.36</v>
      </c>
      <c r="CF20" s="31" t="s">
        <v>42</v>
      </c>
      <c r="CG20" s="168">
        <v>33725</v>
      </c>
      <c r="CH20" s="34">
        <v>1382.79</v>
      </c>
      <c r="CI20" s="361">
        <f t="shared" si="39"/>
        <v>0.23449692288778484</v>
      </c>
      <c r="CJ20" s="312">
        <f t="shared" si="7"/>
        <v>5.992956269570334E-4</v>
      </c>
      <c r="CL20" s="325"/>
      <c r="CN20" s="315">
        <f t="shared" si="8"/>
        <v>33725</v>
      </c>
      <c r="CO20" s="312">
        <f t="shared" si="9"/>
        <v>5.992956269570334E-4</v>
      </c>
      <c r="CQ20" s="315">
        <f t="shared" si="10"/>
        <v>33725</v>
      </c>
      <c r="CR20" s="316">
        <f t="shared" si="11"/>
        <v>4.4802999999999917</v>
      </c>
      <c r="CT20" s="325"/>
      <c r="CW20" s="652" t="s">
        <v>332</v>
      </c>
      <c r="CX20" s="242" t="str">
        <f t="shared" si="37"/>
        <v>Buscar</v>
      </c>
    </row>
    <row r="21" spans="2:102" ht="15" customHeight="1">
      <c r="B21" s="163">
        <v>36982</v>
      </c>
      <c r="C21" s="165">
        <v>180</v>
      </c>
      <c r="D21" s="274">
        <f t="shared" si="12"/>
        <v>36982</v>
      </c>
      <c r="E21" s="275">
        <f t="shared" si="13"/>
        <v>180</v>
      </c>
      <c r="G21" s="163">
        <v>37347</v>
      </c>
      <c r="H21" s="163">
        <v>37377</v>
      </c>
      <c r="I21" s="164">
        <v>2.3570000000000002E-3</v>
      </c>
      <c r="J21" s="159">
        <f t="shared" si="14"/>
        <v>37377</v>
      </c>
      <c r="K21" s="278">
        <f t="shared" si="15"/>
        <v>2.3570000000000002E-3</v>
      </c>
      <c r="M21" s="290">
        <v>35490</v>
      </c>
      <c r="N21" s="290">
        <v>35521</v>
      </c>
      <c r="O21" s="291">
        <v>5.0000000000000001E-3</v>
      </c>
      <c r="P21" s="159">
        <f t="shared" si="0"/>
        <v>35490</v>
      </c>
      <c r="Q21" s="291">
        <v>5.0000000000000001E-3</v>
      </c>
      <c r="S21" s="163">
        <v>35521</v>
      </c>
      <c r="T21" s="164">
        <v>1.66E-2</v>
      </c>
      <c r="U21" s="159">
        <f t="shared" si="16"/>
        <v>35521</v>
      </c>
      <c r="V21" s="285">
        <f t="shared" si="17"/>
        <v>1.66E-2</v>
      </c>
      <c r="X21" s="165">
        <v>2005</v>
      </c>
      <c r="Y21" s="165" t="s">
        <v>326</v>
      </c>
      <c r="Z21" s="164">
        <v>0.27500000000000002</v>
      </c>
      <c r="AA21" s="307">
        <v>27912.01</v>
      </c>
      <c r="AB21" s="307">
        <v>5584.2</v>
      </c>
      <c r="AC21" s="164">
        <v>0.15</v>
      </c>
      <c r="AD21" s="307">
        <v>13968.01</v>
      </c>
      <c r="AE21" s="307">
        <v>2095.1999999999998</v>
      </c>
      <c r="AF21" s="164">
        <v>0</v>
      </c>
      <c r="AG21" s="165">
        <v>0</v>
      </c>
      <c r="AH21" s="165">
        <v>0</v>
      </c>
      <c r="AI21" s="164">
        <v>0</v>
      </c>
      <c r="AJ21" s="165">
        <v>0</v>
      </c>
      <c r="AK21" s="165">
        <v>0</v>
      </c>
      <c r="AL21" s="164">
        <v>0</v>
      </c>
      <c r="AM21" s="165">
        <v>0</v>
      </c>
      <c r="AN21" s="165">
        <v>0</v>
      </c>
      <c r="AO21" s="307">
        <v>10340</v>
      </c>
      <c r="AP21" s="163">
        <v>38838</v>
      </c>
      <c r="AQ21" s="241">
        <f t="shared" si="18"/>
        <v>2005</v>
      </c>
      <c r="AR21" s="241" t="str">
        <f t="shared" si="19"/>
        <v>MOEDA</v>
      </c>
      <c r="AS21" s="310">
        <f t="shared" si="20"/>
        <v>0.27500000000000002</v>
      </c>
      <c r="AT21" s="309">
        <f t="shared" si="21"/>
        <v>27912.01</v>
      </c>
      <c r="AU21" s="309">
        <f t="shared" si="22"/>
        <v>5584.2</v>
      </c>
      <c r="AV21" s="310">
        <f t="shared" si="23"/>
        <v>0.15</v>
      </c>
      <c r="AW21" s="309">
        <f t="shared" si="24"/>
        <v>13968.01</v>
      </c>
      <c r="AX21" s="309">
        <f t="shared" si="25"/>
        <v>2095.1999999999998</v>
      </c>
      <c r="AY21" s="310">
        <f t="shared" si="26"/>
        <v>0</v>
      </c>
      <c r="AZ21" s="309">
        <f t="shared" si="27"/>
        <v>0</v>
      </c>
      <c r="BA21" s="309">
        <f t="shared" si="28"/>
        <v>0</v>
      </c>
      <c r="BB21" s="310">
        <f t="shared" si="29"/>
        <v>0</v>
      </c>
      <c r="BC21" s="309">
        <f t="shared" si="30"/>
        <v>0</v>
      </c>
      <c r="BD21" s="309">
        <f t="shared" si="31"/>
        <v>0</v>
      </c>
      <c r="BE21" s="310">
        <f t="shared" si="32"/>
        <v>0</v>
      </c>
      <c r="BF21" s="309">
        <f t="shared" si="33"/>
        <v>0</v>
      </c>
      <c r="BG21" s="309">
        <f t="shared" si="34"/>
        <v>0</v>
      </c>
      <c r="BH21" s="309">
        <f t="shared" si="35"/>
        <v>10340</v>
      </c>
      <c r="BI21" s="159">
        <f t="shared" si="36"/>
        <v>38838</v>
      </c>
      <c r="BK21" s="325"/>
      <c r="BM21" s="160" t="s">
        <v>42</v>
      </c>
      <c r="BN21" s="355">
        <v>33756</v>
      </c>
      <c r="BO21" s="34">
        <v>1707.05</v>
      </c>
      <c r="BP21" s="278">
        <f t="shared" si="38"/>
        <v>0.23269968659383161</v>
      </c>
      <c r="BQ21" s="312">
        <f t="shared" si="3"/>
        <v>5.6585948952126461E-4</v>
      </c>
      <c r="BS21" s="31" t="s">
        <v>44</v>
      </c>
      <c r="BT21" s="168">
        <v>33756</v>
      </c>
      <c r="BU21" s="32">
        <v>0.01</v>
      </c>
      <c r="BV21" s="311">
        <f t="shared" si="4"/>
        <v>4.4702999999999919</v>
      </c>
      <c r="BX21" s="169" t="s">
        <v>44</v>
      </c>
      <c r="BY21" s="290">
        <v>33756</v>
      </c>
      <c r="BZ21" s="33">
        <v>0.01</v>
      </c>
      <c r="CA21" s="162">
        <f t="shared" si="5"/>
        <v>3.7625419999999905</v>
      </c>
      <c r="CC21" s="168">
        <v>34060</v>
      </c>
      <c r="CD21" s="173">
        <v>15318.45</v>
      </c>
      <c r="CF21" s="31" t="s">
        <v>42</v>
      </c>
      <c r="CG21" s="168">
        <v>33756</v>
      </c>
      <c r="CH21" s="34">
        <v>1707.05</v>
      </c>
      <c r="CI21" s="361">
        <f t="shared" si="39"/>
        <v>0.23269968659383161</v>
      </c>
      <c r="CJ21" s="312">
        <f t="shared" si="7"/>
        <v>4.8545736797394115E-4</v>
      </c>
      <c r="CL21" s="325"/>
      <c r="CN21" s="315">
        <f t="shared" si="8"/>
        <v>33756</v>
      </c>
      <c r="CO21" s="312">
        <f t="shared" si="9"/>
        <v>4.8545736797394115E-4</v>
      </c>
      <c r="CQ21" s="315">
        <f t="shared" si="10"/>
        <v>33756</v>
      </c>
      <c r="CR21" s="316">
        <f t="shared" si="11"/>
        <v>4.4702999999999919</v>
      </c>
      <c r="CT21" s="325"/>
      <c r="CW21" s="652" t="s">
        <v>332</v>
      </c>
      <c r="CX21" s="242" t="str">
        <f t="shared" si="37"/>
        <v>Buscar</v>
      </c>
    </row>
    <row r="22" spans="2:102" ht="15" customHeight="1">
      <c r="B22" s="163">
        <v>37012</v>
      </c>
      <c r="C22" s="165">
        <v>180</v>
      </c>
      <c r="D22" s="274">
        <f t="shared" si="12"/>
        <v>37012</v>
      </c>
      <c r="E22" s="275">
        <f t="shared" si="13"/>
        <v>180</v>
      </c>
      <c r="G22" s="163">
        <v>37377</v>
      </c>
      <c r="H22" s="163">
        <v>37408</v>
      </c>
      <c r="I22" s="164">
        <v>2.1020000000000001E-3</v>
      </c>
      <c r="J22" s="159">
        <f t="shared" si="14"/>
        <v>37408</v>
      </c>
      <c r="K22" s="278">
        <f t="shared" si="15"/>
        <v>2.1020000000000001E-3</v>
      </c>
      <c r="M22" s="290">
        <v>35521</v>
      </c>
      <c r="N22" s="290">
        <v>35551</v>
      </c>
      <c r="O22" s="291">
        <v>5.0000000000000001E-3</v>
      </c>
      <c r="P22" s="159">
        <f t="shared" si="0"/>
        <v>35521</v>
      </c>
      <c r="Q22" s="291">
        <v>5.0000000000000001E-3</v>
      </c>
      <c r="S22" s="163">
        <v>35551</v>
      </c>
      <c r="T22" s="164">
        <v>1.5800000000000002E-2</v>
      </c>
      <c r="U22" s="159">
        <f t="shared" si="16"/>
        <v>35551</v>
      </c>
      <c r="V22" s="285">
        <f t="shared" si="17"/>
        <v>1.5800000000000002E-2</v>
      </c>
      <c r="X22" s="165">
        <v>2006</v>
      </c>
      <c r="Y22" s="165" t="s">
        <v>326</v>
      </c>
      <c r="Z22" s="164">
        <v>0.27500000000000002</v>
      </c>
      <c r="AA22" s="307">
        <v>29958.89</v>
      </c>
      <c r="AB22" s="307">
        <v>5993.71</v>
      </c>
      <c r="AC22" s="164">
        <v>0.15</v>
      </c>
      <c r="AD22" s="307">
        <v>14992.33</v>
      </c>
      <c r="AE22" s="307">
        <v>2248.85</v>
      </c>
      <c r="AF22" s="164">
        <v>0</v>
      </c>
      <c r="AG22" s="165">
        <v>0</v>
      </c>
      <c r="AH22" s="165">
        <v>0</v>
      </c>
      <c r="AI22" s="164">
        <v>0</v>
      </c>
      <c r="AJ22" s="165">
        <v>0</v>
      </c>
      <c r="AK22" s="165">
        <v>0</v>
      </c>
      <c r="AL22" s="164">
        <v>0</v>
      </c>
      <c r="AM22" s="165">
        <v>0</v>
      </c>
      <c r="AN22" s="165">
        <v>0</v>
      </c>
      <c r="AO22" s="307">
        <v>11167.2</v>
      </c>
      <c r="AP22" s="163">
        <v>39203</v>
      </c>
      <c r="AQ22" s="241">
        <f t="shared" si="18"/>
        <v>2006</v>
      </c>
      <c r="AR22" s="241" t="str">
        <f t="shared" si="19"/>
        <v>MOEDA</v>
      </c>
      <c r="AS22" s="310">
        <f t="shared" si="20"/>
        <v>0.27500000000000002</v>
      </c>
      <c r="AT22" s="309">
        <f t="shared" si="21"/>
        <v>29958.89</v>
      </c>
      <c r="AU22" s="309">
        <f t="shared" si="22"/>
        <v>5993.71</v>
      </c>
      <c r="AV22" s="310">
        <f t="shared" si="23"/>
        <v>0.15</v>
      </c>
      <c r="AW22" s="309">
        <f t="shared" si="24"/>
        <v>14992.33</v>
      </c>
      <c r="AX22" s="309">
        <f t="shared" si="25"/>
        <v>2248.85</v>
      </c>
      <c r="AY22" s="310">
        <f t="shared" si="26"/>
        <v>0</v>
      </c>
      <c r="AZ22" s="309">
        <f t="shared" si="27"/>
        <v>0</v>
      </c>
      <c r="BA22" s="309">
        <f t="shared" si="28"/>
        <v>0</v>
      </c>
      <c r="BB22" s="310">
        <f t="shared" si="29"/>
        <v>0</v>
      </c>
      <c r="BC22" s="309">
        <f t="shared" si="30"/>
        <v>0</v>
      </c>
      <c r="BD22" s="309">
        <f t="shared" si="31"/>
        <v>0</v>
      </c>
      <c r="BE22" s="310">
        <f t="shared" si="32"/>
        <v>0</v>
      </c>
      <c r="BF22" s="309">
        <f t="shared" si="33"/>
        <v>0</v>
      </c>
      <c r="BG22" s="309">
        <f t="shared" si="34"/>
        <v>0</v>
      </c>
      <c r="BH22" s="309">
        <f t="shared" si="35"/>
        <v>11167.2</v>
      </c>
      <c r="BI22" s="159">
        <f t="shared" si="35"/>
        <v>39203</v>
      </c>
      <c r="BK22" s="325"/>
      <c r="BM22" s="160" t="s">
        <v>42</v>
      </c>
      <c r="BN22" s="355">
        <v>33786</v>
      </c>
      <c r="BO22" s="34">
        <v>2104.2800000000002</v>
      </c>
      <c r="BP22" s="278">
        <f t="shared" si="38"/>
        <v>0.21010036687132874</v>
      </c>
      <c r="BQ22" s="312">
        <f t="shared" si="3"/>
        <v>4.5904083182241653E-4</v>
      </c>
      <c r="BS22" s="31" t="s">
        <v>44</v>
      </c>
      <c r="BT22" s="168">
        <v>33786</v>
      </c>
      <c r="BU22" s="32">
        <v>0.01</v>
      </c>
      <c r="BV22" s="311">
        <f t="shared" si="4"/>
        <v>4.4602999999999922</v>
      </c>
      <c r="BX22" s="169" t="s">
        <v>44</v>
      </c>
      <c r="BY22" s="290">
        <v>33786</v>
      </c>
      <c r="BZ22" s="33">
        <v>0.01</v>
      </c>
      <c r="CA22" s="162">
        <f t="shared" si="5"/>
        <v>3.7525419999999907</v>
      </c>
      <c r="CC22" s="168">
        <v>34090</v>
      </c>
      <c r="CD22" s="173">
        <v>19506.52</v>
      </c>
      <c r="CF22" s="31" t="s">
        <v>42</v>
      </c>
      <c r="CG22" s="168">
        <v>33786</v>
      </c>
      <c r="CH22" s="34">
        <v>2104.2800000000002</v>
      </c>
      <c r="CI22" s="361">
        <f t="shared" si="39"/>
        <v>0.21010036687132874</v>
      </c>
      <c r="CJ22" s="312">
        <f t="shared" si="7"/>
        <v>3.938164122644877E-4</v>
      </c>
      <c r="CL22" s="325"/>
      <c r="CN22" s="315">
        <f t="shared" si="8"/>
        <v>33786</v>
      </c>
      <c r="CO22" s="312">
        <f t="shared" si="9"/>
        <v>3.938164122644877E-4</v>
      </c>
      <c r="CQ22" s="315">
        <f t="shared" si="10"/>
        <v>33786</v>
      </c>
      <c r="CR22" s="316">
        <f t="shared" si="11"/>
        <v>4.4602999999999922</v>
      </c>
      <c r="CT22" s="325"/>
      <c r="CW22" s="654" t="s">
        <v>333</v>
      </c>
      <c r="CX22" s="242" t="str">
        <f t="shared" si="37"/>
        <v>Menu unidades principais jf2</v>
      </c>
    </row>
    <row r="23" spans="2:102" ht="15" customHeight="1">
      <c r="B23" s="163">
        <v>37043</v>
      </c>
      <c r="C23" s="165">
        <v>180</v>
      </c>
      <c r="D23" s="274">
        <f t="shared" si="12"/>
        <v>37043</v>
      </c>
      <c r="E23" s="275">
        <f t="shared" si="13"/>
        <v>180</v>
      </c>
      <c r="G23" s="163">
        <v>37408</v>
      </c>
      <c r="H23" s="163">
        <v>37438</v>
      </c>
      <c r="I23" s="164">
        <v>1.5820000000000001E-3</v>
      </c>
      <c r="J23" s="159">
        <f t="shared" si="14"/>
        <v>37438</v>
      </c>
      <c r="K23" s="278">
        <f t="shared" si="15"/>
        <v>1.5820000000000001E-3</v>
      </c>
      <c r="M23" s="290">
        <v>35551</v>
      </c>
      <c r="N23" s="290">
        <v>35582</v>
      </c>
      <c r="O23" s="291">
        <v>5.0000000000000001E-3</v>
      </c>
      <c r="P23" s="159">
        <f t="shared" si="0"/>
        <v>35551</v>
      </c>
      <c r="Q23" s="291">
        <v>5.0000000000000001E-3</v>
      </c>
      <c r="S23" s="163">
        <v>35582</v>
      </c>
      <c r="T23" s="164">
        <v>1.61E-2</v>
      </c>
      <c r="U23" s="159">
        <f t="shared" si="16"/>
        <v>35582</v>
      </c>
      <c r="V23" s="285">
        <f t="shared" si="17"/>
        <v>1.61E-2</v>
      </c>
      <c r="X23" s="165">
        <v>2007</v>
      </c>
      <c r="Y23" s="165" t="s">
        <v>326</v>
      </c>
      <c r="Z23" s="164">
        <v>0.27500000000000002</v>
      </c>
      <c r="AA23" s="307">
        <v>31501.45</v>
      </c>
      <c r="AB23" s="307">
        <v>6302.32</v>
      </c>
      <c r="AC23" s="164">
        <v>0.15</v>
      </c>
      <c r="AD23" s="307">
        <v>15764.29</v>
      </c>
      <c r="AE23" s="307">
        <v>2364.64</v>
      </c>
      <c r="AF23" s="164">
        <v>0</v>
      </c>
      <c r="AG23" s="165">
        <v>0</v>
      </c>
      <c r="AH23" s="165">
        <v>0</v>
      </c>
      <c r="AI23" s="164">
        <v>0</v>
      </c>
      <c r="AJ23" s="165">
        <v>0</v>
      </c>
      <c r="AK23" s="165">
        <v>0</v>
      </c>
      <c r="AL23" s="164">
        <v>0</v>
      </c>
      <c r="AM23" s="165">
        <v>0</v>
      </c>
      <c r="AN23" s="165">
        <v>0</v>
      </c>
      <c r="AO23" s="307">
        <v>11669.72</v>
      </c>
      <c r="AP23" s="163">
        <v>39569</v>
      </c>
      <c r="AQ23" s="241">
        <f t="shared" si="18"/>
        <v>2007</v>
      </c>
      <c r="AR23" s="241" t="str">
        <f t="shared" si="19"/>
        <v>MOEDA</v>
      </c>
      <c r="AS23" s="310">
        <f t="shared" si="20"/>
        <v>0.27500000000000002</v>
      </c>
      <c r="AT23" s="309">
        <f t="shared" si="21"/>
        <v>31501.45</v>
      </c>
      <c r="AU23" s="309">
        <f t="shared" si="22"/>
        <v>6302.32</v>
      </c>
      <c r="AV23" s="310">
        <f t="shared" si="23"/>
        <v>0.15</v>
      </c>
      <c r="AW23" s="309">
        <f t="shared" si="24"/>
        <v>15764.29</v>
      </c>
      <c r="AX23" s="309">
        <f t="shared" si="25"/>
        <v>2364.64</v>
      </c>
      <c r="AY23" s="310">
        <f t="shared" si="26"/>
        <v>0</v>
      </c>
      <c r="AZ23" s="309">
        <f t="shared" si="27"/>
        <v>0</v>
      </c>
      <c r="BA23" s="309">
        <f t="shared" si="28"/>
        <v>0</v>
      </c>
      <c r="BB23" s="310">
        <f t="shared" si="29"/>
        <v>0</v>
      </c>
      <c r="BC23" s="309">
        <f t="shared" si="30"/>
        <v>0</v>
      </c>
      <c r="BD23" s="309">
        <f t="shared" si="31"/>
        <v>0</v>
      </c>
      <c r="BE23" s="310">
        <f t="shared" si="32"/>
        <v>0</v>
      </c>
      <c r="BF23" s="309">
        <f t="shared" si="33"/>
        <v>0</v>
      </c>
      <c r="BG23" s="309">
        <f t="shared" si="34"/>
        <v>0</v>
      </c>
      <c r="BH23" s="309">
        <f t="shared" si="35"/>
        <v>11669.72</v>
      </c>
      <c r="BI23" s="159">
        <f t="shared" si="35"/>
        <v>39569</v>
      </c>
      <c r="BK23" s="325"/>
      <c r="BM23" s="160" t="s">
        <v>42</v>
      </c>
      <c r="BN23" s="355">
        <v>33817</v>
      </c>
      <c r="BO23" s="34">
        <v>2546.39</v>
      </c>
      <c r="BP23" s="278">
        <f t="shared" si="38"/>
        <v>0.23139817545623415</v>
      </c>
      <c r="BQ23" s="312">
        <f t="shared" si="3"/>
        <v>3.7934112276095754E-4</v>
      </c>
      <c r="BS23" s="31" t="s">
        <v>44</v>
      </c>
      <c r="BT23" s="168">
        <v>33817</v>
      </c>
      <c r="BU23" s="32">
        <v>0.01</v>
      </c>
      <c r="BV23" s="311">
        <f t="shared" si="4"/>
        <v>4.4502999999999924</v>
      </c>
      <c r="BX23" s="169" t="s">
        <v>44</v>
      </c>
      <c r="BY23" s="290">
        <v>33817</v>
      </c>
      <c r="BZ23" s="33">
        <v>0.01</v>
      </c>
      <c r="CA23" s="162">
        <f t="shared" si="5"/>
        <v>3.7425419999999909</v>
      </c>
      <c r="CC23" s="168">
        <v>34121</v>
      </c>
      <c r="CD23" s="173">
        <v>25126.35</v>
      </c>
      <c r="CF23" s="31" t="s">
        <v>42</v>
      </c>
      <c r="CG23" s="168">
        <v>33817</v>
      </c>
      <c r="CH23" s="34">
        <v>2546.39</v>
      </c>
      <c r="CI23" s="361">
        <f t="shared" si="39"/>
        <v>0.23139817545623415</v>
      </c>
      <c r="CJ23" s="312">
        <f t="shared" si="7"/>
        <v>3.2544111467603792E-4</v>
      </c>
      <c r="CL23" s="325"/>
      <c r="CN23" s="315">
        <f t="shared" si="8"/>
        <v>33817</v>
      </c>
      <c r="CO23" s="312">
        <f t="shared" si="9"/>
        <v>3.2544111467603792E-4</v>
      </c>
      <c r="CQ23" s="315">
        <f t="shared" si="10"/>
        <v>33817</v>
      </c>
      <c r="CR23" s="316">
        <f t="shared" si="11"/>
        <v>4.4502999999999924</v>
      </c>
      <c r="CT23" s="325"/>
      <c r="CW23"/>
      <c r="CX23" s="242" t="str">
        <f t="shared" si="37"/>
        <v/>
      </c>
    </row>
    <row r="24" spans="2:102" ht="15" customHeight="1">
      <c r="B24" s="163">
        <v>37073</v>
      </c>
      <c r="C24" s="165">
        <v>180</v>
      </c>
      <c r="D24" s="274">
        <f t="shared" si="12"/>
        <v>37073</v>
      </c>
      <c r="E24" s="275">
        <f t="shared" si="13"/>
        <v>180</v>
      </c>
      <c r="G24" s="163">
        <v>37438</v>
      </c>
      <c r="H24" s="163">
        <v>37469</v>
      </c>
      <c r="I24" s="164">
        <v>2.6559999999999999E-3</v>
      </c>
      <c r="J24" s="159">
        <f t="shared" si="14"/>
        <v>37469</v>
      </c>
      <c r="K24" s="278">
        <f t="shared" si="15"/>
        <v>2.6559999999999999E-3</v>
      </c>
      <c r="M24" s="290">
        <v>35582</v>
      </c>
      <c r="N24" s="290">
        <v>35612</v>
      </c>
      <c r="O24" s="291">
        <v>5.0000000000000001E-3</v>
      </c>
      <c r="P24" s="159">
        <f t="shared" si="0"/>
        <v>35582</v>
      </c>
      <c r="Q24" s="291">
        <v>5.0000000000000001E-3</v>
      </c>
      <c r="S24" s="163">
        <v>35612</v>
      </c>
      <c r="T24" s="164">
        <v>1.6E-2</v>
      </c>
      <c r="U24" s="159">
        <f t="shared" si="16"/>
        <v>35612</v>
      </c>
      <c r="V24" s="285">
        <f t="shared" si="17"/>
        <v>1.6E-2</v>
      </c>
      <c r="X24" s="165">
        <v>2008</v>
      </c>
      <c r="Y24" s="165" t="s">
        <v>326</v>
      </c>
      <c r="Z24" s="164">
        <v>0.27500000000000002</v>
      </c>
      <c r="AA24" s="307">
        <v>32919.01</v>
      </c>
      <c r="AB24" s="307">
        <v>6585.93</v>
      </c>
      <c r="AC24" s="164">
        <v>0.15</v>
      </c>
      <c r="AD24" s="307">
        <v>16473.73</v>
      </c>
      <c r="AE24" s="307">
        <v>2471.06</v>
      </c>
      <c r="AF24" s="164">
        <v>0</v>
      </c>
      <c r="AG24" s="165">
        <v>0</v>
      </c>
      <c r="AH24" s="165">
        <v>0</v>
      </c>
      <c r="AI24" s="164">
        <v>0</v>
      </c>
      <c r="AJ24" s="165">
        <v>0</v>
      </c>
      <c r="AK24" s="165">
        <v>0</v>
      </c>
      <c r="AL24" s="164">
        <v>0</v>
      </c>
      <c r="AM24" s="165">
        <v>0</v>
      </c>
      <c r="AN24" s="165">
        <v>0</v>
      </c>
      <c r="AO24" s="307">
        <v>12194.86</v>
      </c>
      <c r="AP24" s="163">
        <v>39934</v>
      </c>
      <c r="AQ24" s="241">
        <f t="shared" si="18"/>
        <v>2008</v>
      </c>
      <c r="AR24" s="241" t="str">
        <f t="shared" si="19"/>
        <v>MOEDA</v>
      </c>
      <c r="AS24" s="310">
        <f t="shared" si="20"/>
        <v>0.27500000000000002</v>
      </c>
      <c r="AT24" s="309">
        <f t="shared" si="21"/>
        <v>32919.01</v>
      </c>
      <c r="AU24" s="309">
        <f t="shared" si="22"/>
        <v>6585.93</v>
      </c>
      <c r="AV24" s="310">
        <f t="shared" si="23"/>
        <v>0.15</v>
      </c>
      <c r="AW24" s="309">
        <f t="shared" si="24"/>
        <v>16473.73</v>
      </c>
      <c r="AX24" s="309">
        <f t="shared" si="25"/>
        <v>2471.06</v>
      </c>
      <c r="AY24" s="310">
        <f t="shared" si="26"/>
        <v>0</v>
      </c>
      <c r="AZ24" s="309">
        <f t="shared" si="27"/>
        <v>0</v>
      </c>
      <c r="BA24" s="309">
        <f t="shared" si="28"/>
        <v>0</v>
      </c>
      <c r="BB24" s="310">
        <f t="shared" si="29"/>
        <v>0</v>
      </c>
      <c r="BC24" s="309">
        <f t="shared" si="30"/>
        <v>0</v>
      </c>
      <c r="BD24" s="309">
        <f t="shared" si="31"/>
        <v>0</v>
      </c>
      <c r="BE24" s="310">
        <f t="shared" si="32"/>
        <v>0</v>
      </c>
      <c r="BF24" s="309">
        <f t="shared" si="33"/>
        <v>0</v>
      </c>
      <c r="BG24" s="309">
        <f t="shared" si="34"/>
        <v>0</v>
      </c>
      <c r="BH24" s="309">
        <f>IF(AO24="","",AO24)</f>
        <v>12194.86</v>
      </c>
      <c r="BI24" s="159">
        <f t="shared" si="35"/>
        <v>39934</v>
      </c>
      <c r="BK24" s="325"/>
      <c r="BM24" s="160" t="s">
        <v>42</v>
      </c>
      <c r="BN24" s="355">
        <v>33848</v>
      </c>
      <c r="BO24" s="34">
        <v>3135.62</v>
      </c>
      <c r="BP24" s="278">
        <f t="shared" si="38"/>
        <v>0.23329995343823551</v>
      </c>
      <c r="BQ24" s="312">
        <f t="shared" si="3"/>
        <v>3.0805723958492247E-4</v>
      </c>
      <c r="BS24" s="31" t="s">
        <v>44</v>
      </c>
      <c r="BT24" s="168">
        <v>33848</v>
      </c>
      <c r="BU24" s="32">
        <v>0.01</v>
      </c>
      <c r="BV24" s="311">
        <f t="shared" si="4"/>
        <v>4.4402999999999926</v>
      </c>
      <c r="BX24" s="169" t="s">
        <v>44</v>
      </c>
      <c r="BY24" s="290">
        <v>33848</v>
      </c>
      <c r="BZ24" s="33">
        <v>0.01</v>
      </c>
      <c r="CA24" s="162">
        <f t="shared" si="5"/>
        <v>3.7325419999999911</v>
      </c>
      <c r="CC24" s="168">
        <v>34151</v>
      </c>
      <c r="CD24" s="173">
        <v>32749.68</v>
      </c>
      <c r="CF24" s="31" t="s">
        <v>42</v>
      </c>
      <c r="CG24" s="168">
        <v>33848</v>
      </c>
      <c r="CH24" s="34">
        <v>3135.62</v>
      </c>
      <c r="CI24" s="361">
        <f t="shared" si="39"/>
        <v>0.23329995343823551</v>
      </c>
      <c r="CJ24" s="312">
        <f t="shared" si="7"/>
        <v>2.6428585096405693E-4</v>
      </c>
      <c r="CL24" s="325"/>
      <c r="CN24" s="315">
        <f t="shared" si="8"/>
        <v>33848</v>
      </c>
      <c r="CO24" s="312">
        <f t="shared" si="9"/>
        <v>2.6428585096405693E-4</v>
      </c>
      <c r="CQ24" s="315">
        <f t="shared" si="10"/>
        <v>33848</v>
      </c>
      <c r="CR24" s="316">
        <f t="shared" si="11"/>
        <v>4.4402999999999926</v>
      </c>
      <c r="CT24" s="325"/>
      <c r="CW24" s="650" t="s">
        <v>334</v>
      </c>
      <c r="CX24" s="242" t="str">
        <f t="shared" si="37"/>
        <v>Vice-Presidência</v>
      </c>
    </row>
    <row r="25" spans="2:102" ht="15" customHeight="1">
      <c r="B25" s="163">
        <v>37104</v>
      </c>
      <c r="C25" s="165">
        <v>180</v>
      </c>
      <c r="D25" s="274">
        <f t="shared" si="12"/>
        <v>37104</v>
      </c>
      <c r="E25" s="275">
        <f t="shared" si="13"/>
        <v>180</v>
      </c>
      <c r="G25" s="163">
        <v>37469</v>
      </c>
      <c r="H25" s="163">
        <v>37500</v>
      </c>
      <c r="I25" s="164">
        <v>2.4810000000000001E-3</v>
      </c>
      <c r="J25" s="159">
        <f t="shared" si="14"/>
        <v>37500</v>
      </c>
      <c r="K25" s="278">
        <f t="shared" si="15"/>
        <v>2.4810000000000001E-3</v>
      </c>
      <c r="M25" s="290">
        <v>35612</v>
      </c>
      <c r="N25" s="290">
        <v>35643</v>
      </c>
      <c r="O25" s="291">
        <v>5.0000000000000001E-3</v>
      </c>
      <c r="P25" s="159">
        <f t="shared" si="0"/>
        <v>35612</v>
      </c>
      <c r="Q25" s="291">
        <v>5.0000000000000001E-3</v>
      </c>
      <c r="S25" s="163">
        <v>35643</v>
      </c>
      <c r="T25" s="164">
        <v>1.5900000000000001E-2</v>
      </c>
      <c r="U25" s="159">
        <f t="shared" si="16"/>
        <v>35643</v>
      </c>
      <c r="V25" s="285">
        <f t="shared" si="17"/>
        <v>1.5900000000000001E-2</v>
      </c>
      <c r="X25" s="165">
        <v>2009</v>
      </c>
      <c r="Y25" s="165" t="s">
        <v>326</v>
      </c>
      <c r="Z25" s="164">
        <v>0.27500000000000002</v>
      </c>
      <c r="AA25" s="307">
        <v>42984</v>
      </c>
      <c r="AB25" s="307">
        <v>7955.36</v>
      </c>
      <c r="AC25" s="164">
        <v>0.22500000000000001</v>
      </c>
      <c r="AD25" s="307">
        <v>34400.410000000003</v>
      </c>
      <c r="AE25" s="307">
        <v>5806.16</v>
      </c>
      <c r="AF25" s="164">
        <v>0.15</v>
      </c>
      <c r="AG25" s="307">
        <v>25800.01</v>
      </c>
      <c r="AH25" s="307">
        <v>3226.13</v>
      </c>
      <c r="AI25" s="164">
        <v>7.4999999999999997E-2</v>
      </c>
      <c r="AJ25" s="307">
        <v>17215.09</v>
      </c>
      <c r="AK25" s="307">
        <v>1291.1300000000001</v>
      </c>
      <c r="AL25" s="164">
        <v>0</v>
      </c>
      <c r="AM25" s="165">
        <v>0</v>
      </c>
      <c r="AN25" s="165">
        <v>0</v>
      </c>
      <c r="AO25" s="307">
        <v>12743.63</v>
      </c>
      <c r="AP25" s="163">
        <v>40299</v>
      </c>
      <c r="AQ25" s="241">
        <f t="shared" si="18"/>
        <v>2009</v>
      </c>
      <c r="AR25" s="241" t="str">
        <f t="shared" si="19"/>
        <v>MOEDA</v>
      </c>
      <c r="AS25" s="310">
        <f t="shared" si="20"/>
        <v>0.27500000000000002</v>
      </c>
      <c r="AT25" s="309">
        <f t="shared" si="21"/>
        <v>42984</v>
      </c>
      <c r="AU25" s="309">
        <f t="shared" si="22"/>
        <v>7955.36</v>
      </c>
      <c r="AV25" s="310">
        <f t="shared" si="23"/>
        <v>0.22500000000000001</v>
      </c>
      <c r="AW25" s="309">
        <f t="shared" si="24"/>
        <v>34400.410000000003</v>
      </c>
      <c r="AX25" s="309">
        <f t="shared" si="25"/>
        <v>5806.16</v>
      </c>
      <c r="AY25" s="310">
        <f t="shared" si="26"/>
        <v>0.15</v>
      </c>
      <c r="AZ25" s="309">
        <f t="shared" si="27"/>
        <v>25800.01</v>
      </c>
      <c r="BA25" s="309">
        <f t="shared" si="28"/>
        <v>3226.13</v>
      </c>
      <c r="BB25" s="310">
        <f t="shared" si="29"/>
        <v>7.4999999999999997E-2</v>
      </c>
      <c r="BC25" s="309">
        <f t="shared" si="30"/>
        <v>17215.09</v>
      </c>
      <c r="BD25" s="309">
        <f t="shared" si="31"/>
        <v>1291.1300000000001</v>
      </c>
      <c r="BE25" s="310">
        <f t="shared" si="32"/>
        <v>0</v>
      </c>
      <c r="BF25" s="309">
        <f t="shared" si="33"/>
        <v>0</v>
      </c>
      <c r="BG25" s="309">
        <f t="shared" si="34"/>
        <v>0</v>
      </c>
      <c r="BH25" s="309">
        <f t="shared" si="35"/>
        <v>12743.63</v>
      </c>
      <c r="BI25" s="159">
        <f t="shared" si="35"/>
        <v>40299</v>
      </c>
      <c r="BK25" s="325"/>
      <c r="BM25" s="160" t="s">
        <v>42</v>
      </c>
      <c r="BN25" s="355">
        <v>33878</v>
      </c>
      <c r="BO25" s="34">
        <v>3867.16</v>
      </c>
      <c r="BP25" s="278">
        <f t="shared" si="38"/>
        <v>0.25479938766433258</v>
      </c>
      <c r="BQ25" s="312">
        <f t="shared" si="3"/>
        <v>2.4978290052319387E-4</v>
      </c>
      <c r="BS25" s="31" t="s">
        <v>44</v>
      </c>
      <c r="BT25" s="168">
        <v>33878</v>
      </c>
      <c r="BU25" s="32">
        <v>0.01</v>
      </c>
      <c r="BV25" s="311">
        <f t="shared" si="4"/>
        <v>4.4302999999999928</v>
      </c>
      <c r="BX25" s="169" t="s">
        <v>44</v>
      </c>
      <c r="BY25" s="290">
        <v>33878</v>
      </c>
      <c r="BZ25" s="33">
        <v>0.01</v>
      </c>
      <c r="CA25" s="162">
        <f t="shared" si="5"/>
        <v>3.7225419999999914</v>
      </c>
      <c r="CC25" s="168">
        <v>34182</v>
      </c>
      <c r="CD25" s="173">
        <v>42.79</v>
      </c>
      <c r="CF25" s="31" t="s">
        <v>42</v>
      </c>
      <c r="CG25" s="168">
        <v>33878</v>
      </c>
      <c r="CH25" s="34">
        <v>3867.16</v>
      </c>
      <c r="CI25" s="361">
        <f t="shared" si="39"/>
        <v>0.25479938766433258</v>
      </c>
      <c r="CJ25" s="312">
        <f t="shared" si="7"/>
        <v>2.1429162486163387E-4</v>
      </c>
      <c r="CL25" s="325"/>
      <c r="CN25" s="315">
        <f t="shared" si="8"/>
        <v>33878</v>
      </c>
      <c r="CO25" s="312">
        <f t="shared" si="9"/>
        <v>2.1429162486163387E-4</v>
      </c>
      <c r="CQ25" s="315">
        <f t="shared" si="10"/>
        <v>33878</v>
      </c>
      <c r="CR25" s="316">
        <f t="shared" si="11"/>
        <v>4.4302999999999928</v>
      </c>
      <c r="CT25" s="325"/>
      <c r="CW25" s="650" t="s">
        <v>335</v>
      </c>
      <c r="CX25" s="242" t="str">
        <f t="shared" si="37"/>
        <v>Corregedoria</v>
      </c>
    </row>
    <row r="26" spans="2:102" ht="15" customHeight="1">
      <c r="B26" s="163">
        <v>37135</v>
      </c>
      <c r="C26" s="165">
        <v>180</v>
      </c>
      <c r="D26" s="274">
        <f t="shared" si="12"/>
        <v>37135</v>
      </c>
      <c r="E26" s="275">
        <f t="shared" si="13"/>
        <v>180</v>
      </c>
      <c r="G26" s="163">
        <v>37500</v>
      </c>
      <c r="H26" s="163">
        <v>37530</v>
      </c>
      <c r="I26" s="164">
        <v>1.9550000000000001E-3</v>
      </c>
      <c r="J26" s="159">
        <f t="shared" si="14"/>
        <v>37530</v>
      </c>
      <c r="K26" s="278">
        <f t="shared" si="15"/>
        <v>1.9550000000000001E-3</v>
      </c>
      <c r="M26" s="290">
        <v>35643</v>
      </c>
      <c r="N26" s="290">
        <v>35674</v>
      </c>
      <c r="O26" s="291">
        <v>5.0000000000000001E-3</v>
      </c>
      <c r="P26" s="159">
        <f t="shared" si="0"/>
        <v>35643</v>
      </c>
      <c r="Q26" s="291">
        <v>5.0000000000000001E-3</v>
      </c>
      <c r="S26" s="163">
        <v>35674</v>
      </c>
      <c r="T26" s="164">
        <v>1.5900000000000001E-2</v>
      </c>
      <c r="U26" s="159">
        <f t="shared" si="16"/>
        <v>35674</v>
      </c>
      <c r="V26" s="285">
        <f t="shared" si="17"/>
        <v>1.5900000000000001E-2</v>
      </c>
      <c r="X26" s="165">
        <v>2010</v>
      </c>
      <c r="Y26" s="165" t="s">
        <v>326</v>
      </c>
      <c r="Z26" s="164">
        <v>0.27500000000000002</v>
      </c>
      <c r="AA26" s="307">
        <v>44918.28</v>
      </c>
      <c r="AB26" s="307">
        <v>8313.35</v>
      </c>
      <c r="AC26" s="164">
        <v>0.22500000000000001</v>
      </c>
      <c r="AD26" s="307">
        <v>35948.410000000003</v>
      </c>
      <c r="AE26" s="307">
        <v>6067.44</v>
      </c>
      <c r="AF26" s="164">
        <v>0.15</v>
      </c>
      <c r="AG26" s="307">
        <v>26961.01</v>
      </c>
      <c r="AH26" s="307">
        <v>3371.31</v>
      </c>
      <c r="AI26" s="164">
        <v>7.4999999999999997E-2</v>
      </c>
      <c r="AJ26" s="307">
        <v>17989.810000000001</v>
      </c>
      <c r="AK26" s="307">
        <v>1349.24</v>
      </c>
      <c r="AL26" s="164">
        <v>0</v>
      </c>
      <c r="AM26" s="165">
        <v>0</v>
      </c>
      <c r="AN26" s="165">
        <v>0</v>
      </c>
      <c r="AO26" s="307">
        <v>13317.09</v>
      </c>
      <c r="AP26" s="163">
        <v>40664</v>
      </c>
      <c r="AQ26" s="241">
        <f t="shared" si="18"/>
        <v>2010</v>
      </c>
      <c r="AR26" s="241" t="str">
        <f t="shared" si="19"/>
        <v>MOEDA</v>
      </c>
      <c r="AS26" s="310">
        <f t="shared" si="20"/>
        <v>0.27500000000000002</v>
      </c>
      <c r="AT26" s="309">
        <f t="shared" si="21"/>
        <v>44918.28</v>
      </c>
      <c r="AU26" s="309">
        <f t="shared" si="22"/>
        <v>8313.35</v>
      </c>
      <c r="AV26" s="310">
        <f t="shared" si="23"/>
        <v>0.22500000000000001</v>
      </c>
      <c r="AW26" s="309">
        <f t="shared" si="24"/>
        <v>35948.410000000003</v>
      </c>
      <c r="AX26" s="309">
        <f t="shared" si="25"/>
        <v>6067.44</v>
      </c>
      <c r="AY26" s="310">
        <f t="shared" si="26"/>
        <v>0.15</v>
      </c>
      <c r="AZ26" s="309">
        <f t="shared" si="27"/>
        <v>26961.01</v>
      </c>
      <c r="BA26" s="309">
        <f t="shared" si="28"/>
        <v>3371.31</v>
      </c>
      <c r="BB26" s="310">
        <f>IF(AI26="","",AI26)</f>
        <v>7.4999999999999997E-2</v>
      </c>
      <c r="BC26" s="309">
        <f t="shared" si="30"/>
        <v>17989.810000000001</v>
      </c>
      <c r="BD26" s="309">
        <f t="shared" si="31"/>
        <v>1349.24</v>
      </c>
      <c r="BE26" s="310">
        <f t="shared" si="32"/>
        <v>0</v>
      </c>
      <c r="BF26" s="309">
        <f t="shared" si="33"/>
        <v>0</v>
      </c>
      <c r="BG26" s="309">
        <f t="shared" si="34"/>
        <v>0</v>
      </c>
      <c r="BH26" s="309">
        <f t="shared" si="35"/>
        <v>13317.09</v>
      </c>
      <c r="BI26" s="159">
        <f t="shared" si="35"/>
        <v>40664</v>
      </c>
      <c r="BK26" s="325"/>
      <c r="BM26" s="160" t="s">
        <v>42</v>
      </c>
      <c r="BN26" s="355">
        <v>33909</v>
      </c>
      <c r="BO26" s="34">
        <v>4852.51</v>
      </c>
      <c r="BP26" s="278">
        <f t="shared" si="38"/>
        <v>0.23699899639567976</v>
      </c>
      <c r="BQ26" s="312">
        <f t="shared" si="3"/>
        <v>1.9906201977683185E-4</v>
      </c>
      <c r="BS26" s="31" t="s">
        <v>44</v>
      </c>
      <c r="BT26" s="168">
        <v>33909</v>
      </c>
      <c r="BU26" s="32">
        <v>0.01</v>
      </c>
      <c r="BV26" s="311">
        <f t="shared" si="4"/>
        <v>4.420299999999993</v>
      </c>
      <c r="BX26" s="169" t="s">
        <v>44</v>
      </c>
      <c r="BY26" s="290">
        <v>33909</v>
      </c>
      <c r="BZ26" s="33">
        <v>0.01</v>
      </c>
      <c r="CA26" s="162">
        <f t="shared" si="5"/>
        <v>3.7125419999999916</v>
      </c>
      <c r="CC26" s="168">
        <v>34213</v>
      </c>
      <c r="CD26" s="173">
        <v>56.48</v>
      </c>
      <c r="CF26" s="31" t="s">
        <v>42</v>
      </c>
      <c r="CG26" s="168">
        <v>33909</v>
      </c>
      <c r="CH26" s="34">
        <v>4852.51</v>
      </c>
      <c r="CI26" s="361">
        <f t="shared" si="39"/>
        <v>0.23699899639567976</v>
      </c>
      <c r="CJ26" s="312">
        <f t="shared" si="7"/>
        <v>1.7077759757319735E-4</v>
      </c>
      <c r="CL26" s="325"/>
      <c r="CN26" s="315">
        <f t="shared" si="8"/>
        <v>33909</v>
      </c>
      <c r="CO26" s="312">
        <f t="shared" si="9"/>
        <v>1.7077759757319735E-4</v>
      </c>
      <c r="CQ26" s="315">
        <f t="shared" si="10"/>
        <v>33909</v>
      </c>
      <c r="CR26" s="316">
        <f t="shared" si="11"/>
        <v>4.420299999999993</v>
      </c>
      <c r="CT26" s="325"/>
      <c r="CW26" s="650" t="s">
        <v>336</v>
      </c>
      <c r="CX26" s="242" t="str">
        <f t="shared" si="37"/>
        <v>Ouvidoria</v>
      </c>
    </row>
    <row r="27" spans="2:102" ht="15" customHeight="1">
      <c r="B27" s="163">
        <v>37165</v>
      </c>
      <c r="C27" s="165">
        <v>180</v>
      </c>
      <c r="D27" s="274">
        <f t="shared" si="12"/>
        <v>37165</v>
      </c>
      <c r="E27" s="275">
        <f t="shared" si="13"/>
        <v>180</v>
      </c>
      <c r="G27" s="163">
        <v>37530</v>
      </c>
      <c r="H27" s="163">
        <v>37561</v>
      </c>
      <c r="I27" s="164">
        <v>2.7680000000000001E-3</v>
      </c>
      <c r="J27" s="159">
        <f t="shared" si="14"/>
        <v>37561</v>
      </c>
      <c r="K27" s="278">
        <f t="shared" si="15"/>
        <v>2.7680000000000001E-3</v>
      </c>
      <c r="M27" s="290">
        <v>35674</v>
      </c>
      <c r="N27" s="290">
        <v>35704</v>
      </c>
      <c r="O27" s="291">
        <v>5.0000000000000001E-3</v>
      </c>
      <c r="P27" s="159">
        <f t="shared" si="0"/>
        <v>35674</v>
      </c>
      <c r="Q27" s="291">
        <v>5.0000000000000001E-3</v>
      </c>
      <c r="S27" s="163">
        <v>35704</v>
      </c>
      <c r="T27" s="164">
        <v>1.67E-2</v>
      </c>
      <c r="U27" s="159">
        <f t="shared" si="16"/>
        <v>35704</v>
      </c>
      <c r="V27" s="285">
        <f t="shared" si="17"/>
        <v>1.67E-2</v>
      </c>
      <c r="X27" s="165">
        <v>2011</v>
      </c>
      <c r="Y27" s="165" t="s">
        <v>326</v>
      </c>
      <c r="Z27" s="164">
        <v>0.27500000000000002</v>
      </c>
      <c r="AA27" s="307">
        <v>46939.57</v>
      </c>
      <c r="AB27" s="307">
        <v>8687.4500000000007</v>
      </c>
      <c r="AC27" s="164">
        <v>0.22500000000000001</v>
      </c>
      <c r="AD27" s="307">
        <v>37566.129999999997</v>
      </c>
      <c r="AE27" s="307">
        <v>6340.47</v>
      </c>
      <c r="AF27" s="164">
        <v>0.15</v>
      </c>
      <c r="AG27" s="307">
        <v>28174.21</v>
      </c>
      <c r="AH27" s="307">
        <v>3523.01</v>
      </c>
      <c r="AI27" s="164">
        <v>7.4999999999999997E-2</v>
      </c>
      <c r="AJ27" s="307">
        <v>18799.330000000002</v>
      </c>
      <c r="AK27" s="307">
        <v>1409.95</v>
      </c>
      <c r="AL27" s="164">
        <v>0</v>
      </c>
      <c r="AM27" s="165">
        <v>0</v>
      </c>
      <c r="AN27" s="165">
        <v>0</v>
      </c>
      <c r="AO27" s="307">
        <v>13916.36</v>
      </c>
      <c r="AP27" s="163">
        <v>41030</v>
      </c>
      <c r="AQ27" s="241">
        <f t="shared" si="18"/>
        <v>2011</v>
      </c>
      <c r="AR27" s="241" t="str">
        <f t="shared" si="19"/>
        <v>MOEDA</v>
      </c>
      <c r="AS27" s="310">
        <f t="shared" si="20"/>
        <v>0.27500000000000002</v>
      </c>
      <c r="AT27" s="309">
        <f t="shared" si="21"/>
        <v>46939.57</v>
      </c>
      <c r="AU27" s="309">
        <f t="shared" si="22"/>
        <v>8687.4500000000007</v>
      </c>
      <c r="AV27" s="310">
        <f t="shared" si="23"/>
        <v>0.22500000000000001</v>
      </c>
      <c r="AW27" s="309">
        <f t="shared" si="24"/>
        <v>37566.129999999997</v>
      </c>
      <c r="AX27" s="309">
        <f t="shared" si="25"/>
        <v>6340.47</v>
      </c>
      <c r="AY27" s="310">
        <f t="shared" si="26"/>
        <v>0.15</v>
      </c>
      <c r="AZ27" s="309">
        <f t="shared" si="27"/>
        <v>28174.21</v>
      </c>
      <c r="BA27" s="309">
        <f t="shared" si="28"/>
        <v>3523.01</v>
      </c>
      <c r="BB27" s="310">
        <f t="shared" si="29"/>
        <v>7.4999999999999997E-2</v>
      </c>
      <c r="BC27" s="309">
        <f t="shared" si="30"/>
        <v>18799.330000000002</v>
      </c>
      <c r="BD27" s="309">
        <f t="shared" si="31"/>
        <v>1409.95</v>
      </c>
      <c r="BE27" s="310">
        <f t="shared" si="32"/>
        <v>0</v>
      </c>
      <c r="BF27" s="309">
        <f t="shared" si="33"/>
        <v>0</v>
      </c>
      <c r="BG27" s="309">
        <f t="shared" si="34"/>
        <v>0</v>
      </c>
      <c r="BH27" s="309">
        <f t="shared" si="35"/>
        <v>13916.36</v>
      </c>
      <c r="BI27" s="159">
        <f t="shared" si="35"/>
        <v>41030</v>
      </c>
      <c r="BK27" s="325"/>
      <c r="BM27" s="160" t="s">
        <v>42</v>
      </c>
      <c r="BN27" s="355">
        <v>33939</v>
      </c>
      <c r="BO27" s="34">
        <v>6002.55</v>
      </c>
      <c r="BP27" s="278">
        <f t="shared" si="38"/>
        <v>0.23490016742884273</v>
      </c>
      <c r="BQ27" s="312">
        <f t="shared" si="3"/>
        <v>1.60923347841713E-4</v>
      </c>
      <c r="BS27" s="31" t="s">
        <v>44</v>
      </c>
      <c r="BT27" s="168">
        <v>33939</v>
      </c>
      <c r="BU27" s="32">
        <v>0.01</v>
      </c>
      <c r="BV27" s="311">
        <f t="shared" si="4"/>
        <v>4.4102999999999932</v>
      </c>
      <c r="BX27" s="169" t="s">
        <v>44</v>
      </c>
      <c r="BY27" s="290">
        <v>33939</v>
      </c>
      <c r="BZ27" s="33">
        <v>0.01</v>
      </c>
      <c r="CA27" s="162">
        <f t="shared" si="5"/>
        <v>3.7025419999999918</v>
      </c>
      <c r="CC27" s="168">
        <v>34243</v>
      </c>
      <c r="CD27" s="173">
        <v>75.900000000000006</v>
      </c>
      <c r="CF27" s="31" t="s">
        <v>42</v>
      </c>
      <c r="CG27" s="168">
        <v>33939</v>
      </c>
      <c r="CH27" s="34">
        <v>6002.55</v>
      </c>
      <c r="CI27" s="361">
        <f t="shared" si="39"/>
        <v>0.23490016742884273</v>
      </c>
      <c r="CJ27" s="312">
        <f t="shared" si="7"/>
        <v>1.3805799202004412E-4</v>
      </c>
      <c r="CL27" s="325"/>
      <c r="CN27" s="315">
        <f t="shared" si="8"/>
        <v>33939</v>
      </c>
      <c r="CO27" s="312">
        <f t="shared" si="9"/>
        <v>1.3805799202004412E-4</v>
      </c>
      <c r="CQ27" s="315">
        <f t="shared" si="10"/>
        <v>33939</v>
      </c>
      <c r="CR27" s="316">
        <f t="shared" si="11"/>
        <v>4.4102999999999932</v>
      </c>
      <c r="CT27" s="325"/>
      <c r="CW27" s="650" t="s">
        <v>337</v>
      </c>
      <c r="CX27" s="242" t="str">
        <f t="shared" si="37"/>
        <v>Conciliação</v>
      </c>
    </row>
    <row r="28" spans="2:102" ht="15" customHeight="1">
      <c r="B28" s="163">
        <v>37196</v>
      </c>
      <c r="C28" s="165">
        <v>180</v>
      </c>
      <c r="D28" s="274">
        <f t="shared" si="12"/>
        <v>37196</v>
      </c>
      <c r="E28" s="275">
        <f t="shared" si="13"/>
        <v>180</v>
      </c>
      <c r="G28" s="163">
        <v>37561</v>
      </c>
      <c r="H28" s="163">
        <v>37591</v>
      </c>
      <c r="I28" s="164">
        <v>2.6440000000000001E-3</v>
      </c>
      <c r="J28" s="159">
        <f t="shared" si="14"/>
        <v>37591</v>
      </c>
      <c r="K28" s="278">
        <f t="shared" si="15"/>
        <v>2.6440000000000001E-3</v>
      </c>
      <c r="M28" s="290">
        <v>35704</v>
      </c>
      <c r="N28" s="290">
        <v>35735</v>
      </c>
      <c r="O28" s="291">
        <v>5.0000000000000001E-3</v>
      </c>
      <c r="P28" s="159">
        <f t="shared" si="0"/>
        <v>35704</v>
      </c>
      <c r="Q28" s="291">
        <v>5.0000000000000001E-3</v>
      </c>
      <c r="S28" s="163">
        <v>35735</v>
      </c>
      <c r="T28" s="164">
        <v>3.04E-2</v>
      </c>
      <c r="U28" s="159">
        <f t="shared" si="16"/>
        <v>35735</v>
      </c>
      <c r="V28" s="285">
        <f t="shared" si="17"/>
        <v>3.04E-2</v>
      </c>
      <c r="X28" s="165">
        <v>2012</v>
      </c>
      <c r="Y28" s="165" t="s">
        <v>326</v>
      </c>
      <c r="Z28" s="164">
        <v>0.27500000000000002</v>
      </c>
      <c r="AA28" s="307">
        <v>49051.8</v>
      </c>
      <c r="AB28" s="307">
        <v>9078.3799999999992</v>
      </c>
      <c r="AC28" s="164">
        <v>0.22500000000000001</v>
      </c>
      <c r="AD28" s="307">
        <v>39256.57</v>
      </c>
      <c r="AE28" s="307">
        <v>6625.79</v>
      </c>
      <c r="AF28" s="164">
        <v>0.15</v>
      </c>
      <c r="AG28" s="307">
        <v>29442.01</v>
      </c>
      <c r="AH28" s="307">
        <v>3681.55</v>
      </c>
      <c r="AI28" s="164">
        <v>7.4999999999999997E-2</v>
      </c>
      <c r="AJ28" s="307">
        <v>19645.330000000002</v>
      </c>
      <c r="AK28" s="307">
        <v>1473.4</v>
      </c>
      <c r="AL28" s="164">
        <v>0</v>
      </c>
      <c r="AM28" s="165">
        <v>0</v>
      </c>
      <c r="AN28" s="165">
        <v>0</v>
      </c>
      <c r="AO28" s="307">
        <v>14542.6</v>
      </c>
      <c r="AP28" s="163">
        <v>41395</v>
      </c>
      <c r="AQ28" s="241">
        <f t="shared" si="18"/>
        <v>2012</v>
      </c>
      <c r="AR28" s="241" t="str">
        <f t="shared" si="19"/>
        <v>MOEDA</v>
      </c>
      <c r="AS28" s="310">
        <f t="shared" si="20"/>
        <v>0.27500000000000002</v>
      </c>
      <c r="AT28" s="309">
        <f t="shared" si="21"/>
        <v>49051.8</v>
      </c>
      <c r="AU28" s="309">
        <f>IF(AB28="","",AB28)</f>
        <v>9078.3799999999992</v>
      </c>
      <c r="AV28" s="310">
        <f t="shared" si="23"/>
        <v>0.22500000000000001</v>
      </c>
      <c r="AW28" s="309">
        <f t="shared" si="24"/>
        <v>39256.57</v>
      </c>
      <c r="AX28" s="309">
        <f t="shared" si="25"/>
        <v>6625.79</v>
      </c>
      <c r="AY28" s="310">
        <f t="shared" si="26"/>
        <v>0.15</v>
      </c>
      <c r="AZ28" s="309">
        <f t="shared" si="27"/>
        <v>29442.01</v>
      </c>
      <c r="BA28" s="309">
        <f t="shared" si="28"/>
        <v>3681.55</v>
      </c>
      <c r="BB28" s="310">
        <f t="shared" si="29"/>
        <v>7.4999999999999997E-2</v>
      </c>
      <c r="BC28" s="309">
        <f t="shared" si="30"/>
        <v>19645.330000000002</v>
      </c>
      <c r="BD28" s="309">
        <f>IF(AK28="","",AK28)</f>
        <v>1473.4</v>
      </c>
      <c r="BE28" s="310">
        <f t="shared" si="32"/>
        <v>0</v>
      </c>
      <c r="BF28" s="309">
        <f t="shared" si="33"/>
        <v>0</v>
      </c>
      <c r="BG28" s="309">
        <f t="shared" si="34"/>
        <v>0</v>
      </c>
      <c r="BH28" s="309">
        <f t="shared" si="35"/>
        <v>14542.6</v>
      </c>
      <c r="BI28" s="159">
        <f t="shared" si="35"/>
        <v>41395</v>
      </c>
      <c r="BK28" s="325"/>
      <c r="BM28" s="160" t="s">
        <v>42</v>
      </c>
      <c r="BN28" s="355">
        <v>33970</v>
      </c>
      <c r="BO28" s="34">
        <v>7412.55</v>
      </c>
      <c r="BP28" s="278">
        <f t="shared" si="38"/>
        <v>0.29470020438310707</v>
      </c>
      <c r="BQ28" s="312">
        <f t="shared" si="3"/>
        <v>1.30312839925164E-4</v>
      </c>
      <c r="BS28" s="31" t="s">
        <v>44</v>
      </c>
      <c r="BT28" s="168">
        <v>33970</v>
      </c>
      <c r="BU28" s="32">
        <v>0.01</v>
      </c>
      <c r="BV28" s="311">
        <f t="shared" si="4"/>
        <v>4.4002999999999934</v>
      </c>
      <c r="BX28" s="169" t="s">
        <v>44</v>
      </c>
      <c r="BY28" s="290">
        <v>33970</v>
      </c>
      <c r="BZ28" s="33">
        <v>0.01</v>
      </c>
      <c r="CA28" s="162">
        <f t="shared" si="5"/>
        <v>3.692541999999992</v>
      </c>
      <c r="CC28" s="168">
        <v>34274</v>
      </c>
      <c r="CD28" s="173">
        <v>102.59</v>
      </c>
      <c r="CF28" s="31" t="s">
        <v>42</v>
      </c>
      <c r="CG28" s="168">
        <v>33970</v>
      </c>
      <c r="CH28" s="34">
        <v>7412.55</v>
      </c>
      <c r="CI28" s="361">
        <f t="shared" si="39"/>
        <v>0.29470020438310707</v>
      </c>
      <c r="CJ28" s="312">
        <f t="shared" si="7"/>
        <v>1.1179688501256867E-4</v>
      </c>
      <c r="CL28" s="325"/>
      <c r="CN28" s="315">
        <f t="shared" si="8"/>
        <v>33970</v>
      </c>
      <c r="CO28" s="312">
        <f t="shared" si="9"/>
        <v>1.1179688501256867E-4</v>
      </c>
      <c r="CQ28" s="315">
        <f t="shared" si="10"/>
        <v>33970</v>
      </c>
      <c r="CR28" s="316">
        <f t="shared" si="11"/>
        <v>4.4002999999999934</v>
      </c>
      <c r="CT28" s="325"/>
      <c r="CW28" s="650" t="s">
        <v>338</v>
      </c>
      <c r="CX28" s="242" t="str">
        <f t="shared" si="37"/>
        <v>EMARF</v>
      </c>
    </row>
    <row r="29" spans="2:102" ht="15" customHeight="1">
      <c r="B29" s="163">
        <v>37226</v>
      </c>
      <c r="C29" s="165">
        <v>180</v>
      </c>
      <c r="D29" s="274">
        <f t="shared" si="12"/>
        <v>37226</v>
      </c>
      <c r="E29" s="275">
        <f t="shared" si="13"/>
        <v>180</v>
      </c>
      <c r="G29" s="163">
        <v>37591</v>
      </c>
      <c r="H29" s="163">
        <v>37622</v>
      </c>
      <c r="I29" s="164">
        <v>3.6089999999999998E-3</v>
      </c>
      <c r="J29" s="159">
        <f t="shared" si="14"/>
        <v>37622</v>
      </c>
      <c r="K29" s="278">
        <f t="shared" si="15"/>
        <v>3.6089999999999998E-3</v>
      </c>
      <c r="M29" s="290">
        <v>35735</v>
      </c>
      <c r="N29" s="290">
        <v>35765</v>
      </c>
      <c r="O29" s="291">
        <v>5.0000000000000001E-3</v>
      </c>
      <c r="P29" s="159">
        <f t="shared" si="0"/>
        <v>35735</v>
      </c>
      <c r="Q29" s="291">
        <v>5.0000000000000001E-3</v>
      </c>
      <c r="S29" s="163">
        <v>35765</v>
      </c>
      <c r="T29" s="164">
        <v>2.9700000000000001E-2</v>
      </c>
      <c r="U29" s="159">
        <f t="shared" si="16"/>
        <v>35765</v>
      </c>
      <c r="V29" s="285">
        <f t="shared" si="17"/>
        <v>2.9700000000000001E-2</v>
      </c>
      <c r="X29" s="165">
        <v>2013</v>
      </c>
      <c r="Y29" s="165" t="s">
        <v>326</v>
      </c>
      <c r="Z29" s="164">
        <v>0.27500000000000002</v>
      </c>
      <c r="AA29" s="307">
        <v>51259.08</v>
      </c>
      <c r="AB29" s="307">
        <v>9486.91</v>
      </c>
      <c r="AC29" s="164">
        <v>0.22500000000000001</v>
      </c>
      <c r="AD29" s="307">
        <v>41023.089999999997</v>
      </c>
      <c r="AE29" s="307">
        <v>6923.95</v>
      </c>
      <c r="AF29" s="164">
        <v>0.15</v>
      </c>
      <c r="AG29" s="307">
        <v>30766.93</v>
      </c>
      <c r="AH29" s="307">
        <v>3847.22</v>
      </c>
      <c r="AI29" s="164">
        <v>7.4999999999999997E-2</v>
      </c>
      <c r="AJ29" s="307">
        <v>20529.37</v>
      </c>
      <c r="AK29" s="307">
        <v>1539.7</v>
      </c>
      <c r="AL29" s="164">
        <v>0</v>
      </c>
      <c r="AM29" s="165">
        <v>0</v>
      </c>
      <c r="AN29" s="165">
        <v>0</v>
      </c>
      <c r="AO29" s="307">
        <v>15197.02</v>
      </c>
      <c r="AP29" s="163">
        <v>41760</v>
      </c>
      <c r="AQ29" s="241">
        <f t="shared" si="18"/>
        <v>2013</v>
      </c>
      <c r="AR29" s="241" t="str">
        <f t="shared" si="19"/>
        <v>MOEDA</v>
      </c>
      <c r="AS29" s="310">
        <f t="shared" si="20"/>
        <v>0.27500000000000002</v>
      </c>
      <c r="AT29" s="309">
        <f t="shared" si="21"/>
        <v>51259.08</v>
      </c>
      <c r="AU29" s="309">
        <f t="shared" si="22"/>
        <v>9486.91</v>
      </c>
      <c r="AV29" s="310">
        <f t="shared" si="23"/>
        <v>0.22500000000000001</v>
      </c>
      <c r="AW29" s="309">
        <f t="shared" si="24"/>
        <v>41023.089999999997</v>
      </c>
      <c r="AX29" s="309">
        <f t="shared" si="25"/>
        <v>6923.95</v>
      </c>
      <c r="AY29" s="310">
        <f t="shared" si="26"/>
        <v>0.15</v>
      </c>
      <c r="AZ29" s="309">
        <f t="shared" si="27"/>
        <v>30766.93</v>
      </c>
      <c r="BA29" s="309">
        <f t="shared" si="28"/>
        <v>3847.22</v>
      </c>
      <c r="BB29" s="310">
        <f t="shared" si="29"/>
        <v>7.4999999999999997E-2</v>
      </c>
      <c r="BC29" s="309">
        <f t="shared" si="30"/>
        <v>20529.37</v>
      </c>
      <c r="BD29" s="309">
        <f t="shared" si="31"/>
        <v>1539.7</v>
      </c>
      <c r="BE29" s="310">
        <f t="shared" si="32"/>
        <v>0</v>
      </c>
      <c r="BF29" s="309">
        <f t="shared" si="33"/>
        <v>0</v>
      </c>
      <c r="BG29" s="309">
        <f t="shared" si="34"/>
        <v>0</v>
      </c>
      <c r="BH29" s="309">
        <f t="shared" si="35"/>
        <v>15197.02</v>
      </c>
      <c r="BI29" s="159">
        <f t="shared" si="35"/>
        <v>41760</v>
      </c>
      <c r="BK29" s="325"/>
      <c r="BM29" s="160" t="s">
        <v>42</v>
      </c>
      <c r="BN29" s="355">
        <v>34001</v>
      </c>
      <c r="BO29" s="34">
        <v>9597.0300000000007</v>
      </c>
      <c r="BP29" s="278">
        <f t="shared" si="38"/>
        <v>0.26720037344886904</v>
      </c>
      <c r="BQ29" s="312">
        <f t="shared" si="3"/>
        <v>1.0065097656121471E-4</v>
      </c>
      <c r="BS29" s="31" t="s">
        <v>44</v>
      </c>
      <c r="BT29" s="168">
        <v>34001</v>
      </c>
      <c r="BU29" s="32">
        <v>0.01</v>
      </c>
      <c r="BV29" s="311">
        <f t="shared" si="4"/>
        <v>4.3902999999999937</v>
      </c>
      <c r="BX29" s="169" t="s">
        <v>44</v>
      </c>
      <c r="BY29" s="290">
        <v>34001</v>
      </c>
      <c r="BZ29" s="33">
        <v>0.01</v>
      </c>
      <c r="CA29" s="162">
        <f t="shared" si="5"/>
        <v>3.6825419999999922</v>
      </c>
      <c r="CC29" s="168">
        <v>34304</v>
      </c>
      <c r="CD29" s="173">
        <v>137.37</v>
      </c>
      <c r="CF29" s="31" t="s">
        <v>42</v>
      </c>
      <c r="CG29" s="168">
        <v>34001</v>
      </c>
      <c r="CH29" s="34">
        <v>9597.0300000000007</v>
      </c>
      <c r="CI29" s="361">
        <f t="shared" si="39"/>
        <v>0.26720037344886904</v>
      </c>
      <c r="CJ29" s="312">
        <f t="shared" si="7"/>
        <v>8.6349631083774441E-5</v>
      </c>
      <c r="CL29" s="325"/>
      <c r="CN29" s="315">
        <f t="shared" si="8"/>
        <v>34001</v>
      </c>
      <c r="CO29" s="312">
        <f t="shared" si="9"/>
        <v>8.6349631083774441E-5</v>
      </c>
      <c r="CQ29" s="315">
        <f t="shared" si="10"/>
        <v>34001</v>
      </c>
      <c r="CR29" s="316">
        <f t="shared" si="11"/>
        <v>4.3902999999999937</v>
      </c>
      <c r="CT29" s="325"/>
      <c r="CW29" s="650" t="s">
        <v>339</v>
      </c>
      <c r="CX29" s="242" t="str">
        <f t="shared" si="37"/>
        <v>CCJF</v>
      </c>
    </row>
    <row r="30" spans="2:102" ht="15" customHeight="1">
      <c r="B30" s="163">
        <v>37257</v>
      </c>
      <c r="C30" s="165">
        <v>180</v>
      </c>
      <c r="D30" s="274">
        <f t="shared" si="12"/>
        <v>37257</v>
      </c>
      <c r="E30" s="275">
        <f t="shared" si="13"/>
        <v>180</v>
      </c>
      <c r="G30" s="163">
        <v>37622</v>
      </c>
      <c r="H30" s="163">
        <v>37653</v>
      </c>
      <c r="I30" s="164">
        <v>4.8780000000000004E-3</v>
      </c>
      <c r="J30" s="159">
        <f t="shared" si="14"/>
        <v>37653</v>
      </c>
      <c r="K30" s="278">
        <f t="shared" si="15"/>
        <v>4.8780000000000004E-3</v>
      </c>
      <c r="M30" s="290">
        <v>35765</v>
      </c>
      <c r="N30" s="290">
        <v>35796</v>
      </c>
      <c r="O30" s="291">
        <v>5.0000000000000001E-3</v>
      </c>
      <c r="P30" s="159">
        <f t="shared" si="0"/>
        <v>35765</v>
      </c>
      <c r="Q30" s="291">
        <v>5.0000000000000001E-3</v>
      </c>
      <c r="S30" s="163">
        <v>35796</v>
      </c>
      <c r="T30" s="164">
        <v>2.6700000000000002E-2</v>
      </c>
      <c r="U30" s="159">
        <f t="shared" si="16"/>
        <v>35796</v>
      </c>
      <c r="V30" s="285">
        <f t="shared" si="17"/>
        <v>2.6700000000000002E-2</v>
      </c>
      <c r="X30" s="165">
        <v>2014</v>
      </c>
      <c r="Y30" s="165" t="s">
        <v>326</v>
      </c>
      <c r="Z30" s="164">
        <v>0.27500000000000002</v>
      </c>
      <c r="AA30" s="307">
        <v>53565.72</v>
      </c>
      <c r="AB30" s="307">
        <v>9913.83</v>
      </c>
      <c r="AC30" s="164">
        <v>0.22500000000000001</v>
      </c>
      <c r="AD30" s="307">
        <v>42869.17</v>
      </c>
      <c r="AE30" s="307">
        <v>7235.54</v>
      </c>
      <c r="AF30" s="164">
        <v>0.15</v>
      </c>
      <c r="AG30" s="307">
        <v>32151.49</v>
      </c>
      <c r="AH30" s="307">
        <v>4020.35</v>
      </c>
      <c r="AI30" s="164">
        <v>7.4999999999999997E-2</v>
      </c>
      <c r="AJ30" s="307">
        <v>21453.25</v>
      </c>
      <c r="AK30" s="307">
        <v>1608.99</v>
      </c>
      <c r="AL30" s="164">
        <v>0</v>
      </c>
      <c r="AM30" s="165">
        <v>0</v>
      </c>
      <c r="AN30" s="165">
        <v>0</v>
      </c>
      <c r="AO30" s="307">
        <v>15880.89</v>
      </c>
      <c r="AP30" s="163">
        <v>42125</v>
      </c>
      <c r="AQ30" s="241">
        <f t="shared" si="18"/>
        <v>2014</v>
      </c>
      <c r="AR30" s="241" t="str">
        <f t="shared" si="19"/>
        <v>MOEDA</v>
      </c>
      <c r="AS30" s="310">
        <f t="shared" si="20"/>
        <v>0.27500000000000002</v>
      </c>
      <c r="AT30" s="309">
        <f t="shared" si="21"/>
        <v>53565.72</v>
      </c>
      <c r="AU30" s="309">
        <f t="shared" si="22"/>
        <v>9913.83</v>
      </c>
      <c r="AV30" s="310">
        <f t="shared" si="23"/>
        <v>0.22500000000000001</v>
      </c>
      <c r="AW30" s="309">
        <f t="shared" si="24"/>
        <v>42869.17</v>
      </c>
      <c r="AX30" s="309">
        <f t="shared" si="25"/>
        <v>7235.54</v>
      </c>
      <c r="AY30" s="310">
        <f t="shared" si="26"/>
        <v>0.15</v>
      </c>
      <c r="AZ30" s="309">
        <f t="shared" si="27"/>
        <v>32151.49</v>
      </c>
      <c r="BA30" s="309">
        <f t="shared" si="28"/>
        <v>4020.35</v>
      </c>
      <c r="BB30" s="310">
        <f t="shared" si="29"/>
        <v>7.4999999999999997E-2</v>
      </c>
      <c r="BC30" s="309">
        <f t="shared" si="30"/>
        <v>21453.25</v>
      </c>
      <c r="BD30" s="309">
        <f t="shared" si="31"/>
        <v>1608.99</v>
      </c>
      <c r="BE30" s="310">
        <f t="shared" si="32"/>
        <v>0</v>
      </c>
      <c r="BF30" s="309">
        <f t="shared" si="33"/>
        <v>0</v>
      </c>
      <c r="BG30" s="309">
        <f t="shared" si="34"/>
        <v>0</v>
      </c>
      <c r="BH30" s="309">
        <f t="shared" si="35"/>
        <v>15880.89</v>
      </c>
      <c r="BI30" s="159">
        <f t="shared" si="35"/>
        <v>42125</v>
      </c>
      <c r="BK30" s="325"/>
      <c r="BM30" s="160" t="s">
        <v>42</v>
      </c>
      <c r="BN30" s="355">
        <v>34029</v>
      </c>
      <c r="BO30" s="34">
        <v>12161.36</v>
      </c>
      <c r="BP30" s="278">
        <f t="shared" si="38"/>
        <v>0.25960007762289744</v>
      </c>
      <c r="BQ30" s="312">
        <f t="shared" si="3"/>
        <v>7.9427830570534425E-5</v>
      </c>
      <c r="BS30" s="31" t="s">
        <v>44</v>
      </c>
      <c r="BT30" s="168">
        <v>34029</v>
      </c>
      <c r="BU30" s="32">
        <v>0.01</v>
      </c>
      <c r="BV30" s="311">
        <f t="shared" si="4"/>
        <v>4.3802999999999939</v>
      </c>
      <c r="BX30" s="169" t="s">
        <v>44</v>
      </c>
      <c r="BY30" s="290">
        <v>34029</v>
      </c>
      <c r="BZ30" s="33">
        <v>0.01</v>
      </c>
      <c r="CA30" s="162">
        <f t="shared" si="5"/>
        <v>3.6725419999999924</v>
      </c>
      <c r="CC30" s="168">
        <v>34335</v>
      </c>
      <c r="CD30" s="173">
        <v>187.77</v>
      </c>
      <c r="CF30" s="31" t="s">
        <v>42</v>
      </c>
      <c r="CG30" s="168">
        <v>34029</v>
      </c>
      <c r="CH30" s="34">
        <v>12161.36</v>
      </c>
      <c r="CI30" s="361">
        <f t="shared" si="39"/>
        <v>0.25960007762289744</v>
      </c>
      <c r="CJ30" s="312">
        <f t="shared" si="7"/>
        <v>6.8142049902306638E-5</v>
      </c>
      <c r="CL30" s="325"/>
      <c r="CN30" s="315">
        <f t="shared" si="8"/>
        <v>34029</v>
      </c>
      <c r="CO30" s="312">
        <f t="shared" si="9"/>
        <v>6.8142049902306638E-5</v>
      </c>
      <c r="CQ30" s="315">
        <f t="shared" si="10"/>
        <v>34029</v>
      </c>
      <c r="CR30" s="316">
        <f t="shared" si="11"/>
        <v>4.3802999999999939</v>
      </c>
      <c r="CT30" s="325"/>
      <c r="CW30" s="650" t="s">
        <v>340</v>
      </c>
      <c r="CX30" s="242" t="str">
        <f t="shared" si="37"/>
        <v>Coordenadoria dos JEFs</v>
      </c>
    </row>
    <row r="31" spans="2:102" ht="15" customHeight="1">
      <c r="B31" s="163">
        <v>37288</v>
      </c>
      <c r="C31" s="165">
        <v>180</v>
      </c>
      <c r="D31" s="274">
        <f t="shared" si="12"/>
        <v>37288</v>
      </c>
      <c r="E31" s="275">
        <f t="shared" si="13"/>
        <v>180</v>
      </c>
      <c r="G31" s="163">
        <v>37653</v>
      </c>
      <c r="H31" s="163">
        <v>37681</v>
      </c>
      <c r="I31" s="164">
        <v>4.1159999999999999E-3</v>
      </c>
      <c r="J31" s="159">
        <f t="shared" si="14"/>
        <v>37681</v>
      </c>
      <c r="K31" s="278">
        <f t="shared" si="15"/>
        <v>4.1159999999999999E-3</v>
      </c>
      <c r="M31" s="290">
        <v>35796</v>
      </c>
      <c r="N31" s="290">
        <v>35827</v>
      </c>
      <c r="O31" s="291">
        <v>5.0000000000000001E-3</v>
      </c>
      <c r="P31" s="159">
        <f t="shared" si="0"/>
        <v>35796</v>
      </c>
      <c r="Q31" s="291">
        <v>5.0000000000000001E-3</v>
      </c>
      <c r="S31" s="163">
        <v>35827</v>
      </c>
      <c r="T31" s="164">
        <v>2.1299999999999999E-2</v>
      </c>
      <c r="U31" s="159">
        <f t="shared" si="16"/>
        <v>35827</v>
      </c>
      <c r="V31" s="285">
        <f t="shared" si="17"/>
        <v>2.1299999999999999E-2</v>
      </c>
      <c r="X31" s="165">
        <v>2015</v>
      </c>
      <c r="Y31" s="165" t="s">
        <v>326</v>
      </c>
      <c r="Z31" s="164">
        <v>0.27500000000000002</v>
      </c>
      <c r="AA31" s="307">
        <v>55373.55</v>
      </c>
      <c r="AB31" s="307">
        <v>10302.700000000001</v>
      </c>
      <c r="AC31" s="164">
        <v>0.22500000000000001</v>
      </c>
      <c r="AD31" s="307">
        <v>44476.75</v>
      </c>
      <c r="AE31" s="307">
        <v>7534.02</v>
      </c>
      <c r="AF31" s="164">
        <v>0.15</v>
      </c>
      <c r="AG31" s="307">
        <v>33477.730000000003</v>
      </c>
      <c r="AH31" s="307">
        <v>4198.26</v>
      </c>
      <c r="AI31" s="164">
        <v>7.4999999999999997E-2</v>
      </c>
      <c r="AJ31" s="307">
        <v>22499.14</v>
      </c>
      <c r="AK31" s="307">
        <v>1687.43</v>
      </c>
      <c r="AL31" s="164">
        <v>0</v>
      </c>
      <c r="AM31" s="165">
        <v>0</v>
      </c>
      <c r="AN31" s="165">
        <v>0</v>
      </c>
      <c r="AO31" s="307">
        <v>16754.34</v>
      </c>
      <c r="AP31" s="163">
        <v>42491</v>
      </c>
      <c r="AQ31" s="241">
        <f t="shared" si="18"/>
        <v>2015</v>
      </c>
      <c r="AR31" s="241" t="str">
        <f t="shared" si="19"/>
        <v>MOEDA</v>
      </c>
      <c r="AS31" s="310">
        <f t="shared" si="20"/>
        <v>0.27500000000000002</v>
      </c>
      <c r="AT31" s="309">
        <f t="shared" si="21"/>
        <v>55373.55</v>
      </c>
      <c r="AU31" s="309">
        <f t="shared" si="22"/>
        <v>10302.700000000001</v>
      </c>
      <c r="AV31" s="310">
        <f t="shared" si="23"/>
        <v>0.22500000000000001</v>
      </c>
      <c r="AW31" s="309">
        <f t="shared" si="24"/>
        <v>44476.75</v>
      </c>
      <c r="AX31" s="309">
        <f t="shared" si="25"/>
        <v>7534.02</v>
      </c>
      <c r="AY31" s="310">
        <f t="shared" si="26"/>
        <v>0.15</v>
      </c>
      <c r="AZ31" s="309">
        <f t="shared" si="27"/>
        <v>33477.730000000003</v>
      </c>
      <c r="BA31" s="309">
        <f t="shared" si="28"/>
        <v>4198.26</v>
      </c>
      <c r="BB31" s="310">
        <f t="shared" si="29"/>
        <v>7.4999999999999997E-2</v>
      </c>
      <c r="BC31" s="309">
        <f t="shared" ref="BC31:BC55" si="40">IF(AJ31="","",AJ31)</f>
        <v>22499.14</v>
      </c>
      <c r="BD31" s="309">
        <f t="shared" si="31"/>
        <v>1687.43</v>
      </c>
      <c r="BE31" s="310">
        <f t="shared" si="32"/>
        <v>0</v>
      </c>
      <c r="BF31" s="309">
        <f t="shared" si="33"/>
        <v>0</v>
      </c>
      <c r="BG31" s="309">
        <f t="shared" si="34"/>
        <v>0</v>
      </c>
      <c r="BH31" s="309">
        <f t="shared" si="35"/>
        <v>16754.34</v>
      </c>
      <c r="BI31" s="159">
        <f t="shared" si="35"/>
        <v>42491</v>
      </c>
      <c r="BK31" s="325"/>
      <c r="BM31" s="160" t="s">
        <v>42</v>
      </c>
      <c r="BN31" s="355">
        <v>34060</v>
      </c>
      <c r="BO31" s="34">
        <v>15318.45</v>
      </c>
      <c r="BP31" s="278">
        <f t="shared" si="38"/>
        <v>0.27340037666996331</v>
      </c>
      <c r="BQ31" s="312">
        <f t="shared" si="3"/>
        <v>6.3057975290403047E-5</v>
      </c>
      <c r="BS31" s="31" t="s">
        <v>44</v>
      </c>
      <c r="BT31" s="168">
        <v>34060</v>
      </c>
      <c r="BU31" s="32">
        <v>0.01</v>
      </c>
      <c r="BV31" s="311">
        <f t="shared" si="4"/>
        <v>4.3702999999999941</v>
      </c>
      <c r="BX31" s="169" t="s">
        <v>44</v>
      </c>
      <c r="BY31" s="290">
        <v>34060</v>
      </c>
      <c r="BZ31" s="33">
        <v>0.01</v>
      </c>
      <c r="CA31" s="162">
        <f t="shared" si="5"/>
        <v>3.6625419999999926</v>
      </c>
      <c r="CC31" s="168">
        <v>34366</v>
      </c>
      <c r="CD31" s="173">
        <v>261.32</v>
      </c>
      <c r="CF31" s="31" t="s">
        <v>42</v>
      </c>
      <c r="CG31" s="168">
        <v>34060</v>
      </c>
      <c r="CH31" s="34">
        <v>15318.45</v>
      </c>
      <c r="CI31" s="361">
        <f t="shared" si="39"/>
        <v>0.27340037666996331</v>
      </c>
      <c r="CJ31" s="312">
        <f t="shared" si="7"/>
        <v>5.4098162673110906E-5</v>
      </c>
      <c r="CL31" s="325"/>
      <c r="CN31" s="315">
        <f t="shared" si="8"/>
        <v>34060</v>
      </c>
      <c r="CO31" s="312">
        <f t="shared" si="9"/>
        <v>5.4098162673110906E-5</v>
      </c>
      <c r="CQ31" s="315">
        <f t="shared" si="10"/>
        <v>34060</v>
      </c>
      <c r="CR31" s="316">
        <f t="shared" si="11"/>
        <v>4.3702999999999941</v>
      </c>
      <c r="CT31" s="325"/>
      <c r="CW31"/>
      <c r="CX31" s="242" t="str">
        <f t="shared" si="37"/>
        <v/>
      </c>
    </row>
    <row r="32" spans="2:102" ht="15" customHeight="1">
      <c r="B32" s="163">
        <v>37316</v>
      </c>
      <c r="C32" s="165">
        <v>180</v>
      </c>
      <c r="D32" s="274">
        <f t="shared" si="12"/>
        <v>37316</v>
      </c>
      <c r="E32" s="275">
        <f t="shared" si="13"/>
        <v>180</v>
      </c>
      <c r="G32" s="163">
        <v>37681</v>
      </c>
      <c r="H32" s="163">
        <v>37712</v>
      </c>
      <c r="I32" s="164">
        <v>3.7820000000000002E-3</v>
      </c>
      <c r="J32" s="159">
        <f t="shared" si="14"/>
        <v>37712</v>
      </c>
      <c r="K32" s="278">
        <f t="shared" si="15"/>
        <v>3.7820000000000002E-3</v>
      </c>
      <c r="M32" s="290">
        <v>35827</v>
      </c>
      <c r="N32" s="290">
        <v>35855</v>
      </c>
      <c r="O32" s="291">
        <v>5.0000000000000001E-3</v>
      </c>
      <c r="P32" s="159">
        <f t="shared" si="0"/>
        <v>35827</v>
      </c>
      <c r="Q32" s="291">
        <v>5.0000000000000001E-3</v>
      </c>
      <c r="S32" s="163">
        <v>35855</v>
      </c>
      <c r="T32" s="164">
        <v>2.1999999999999999E-2</v>
      </c>
      <c r="U32" s="159">
        <f t="shared" si="16"/>
        <v>35855</v>
      </c>
      <c r="V32" s="285">
        <f t="shared" si="17"/>
        <v>2.1999999999999999E-2</v>
      </c>
      <c r="X32" s="165">
        <v>2016</v>
      </c>
      <c r="Y32" s="165" t="s">
        <v>326</v>
      </c>
      <c r="Z32" s="164">
        <v>0.27500000000000002</v>
      </c>
      <c r="AA32" s="307">
        <v>55976.160000000003</v>
      </c>
      <c r="AB32" s="307">
        <v>10432.32</v>
      </c>
      <c r="AC32" s="164">
        <v>0.22500000000000001</v>
      </c>
      <c r="AD32" s="307">
        <v>45012.61</v>
      </c>
      <c r="AE32" s="307">
        <v>7633.51</v>
      </c>
      <c r="AF32" s="164">
        <v>0.15</v>
      </c>
      <c r="AG32" s="307">
        <v>33919.81</v>
      </c>
      <c r="AH32" s="307">
        <v>4257.57</v>
      </c>
      <c r="AI32" s="164">
        <v>7.4999999999999997E-2</v>
      </c>
      <c r="AJ32" s="307">
        <v>22847.77</v>
      </c>
      <c r="AK32" s="307">
        <v>1713.58</v>
      </c>
      <c r="AL32" s="164">
        <v>0</v>
      </c>
      <c r="AM32" s="165">
        <v>0</v>
      </c>
      <c r="AN32" s="165">
        <v>0</v>
      </c>
      <c r="AO32" s="307">
        <v>16754.34</v>
      </c>
      <c r="AP32" s="163">
        <v>42856</v>
      </c>
      <c r="AQ32" s="241">
        <f t="shared" si="18"/>
        <v>2016</v>
      </c>
      <c r="AR32" s="241" t="str">
        <f t="shared" si="19"/>
        <v>MOEDA</v>
      </c>
      <c r="AS32" s="310">
        <f t="shared" si="20"/>
        <v>0.27500000000000002</v>
      </c>
      <c r="AT32" s="309">
        <f t="shared" si="21"/>
        <v>55976.160000000003</v>
      </c>
      <c r="AU32" s="309">
        <f t="shared" si="22"/>
        <v>10432.32</v>
      </c>
      <c r="AV32" s="310">
        <f t="shared" si="23"/>
        <v>0.22500000000000001</v>
      </c>
      <c r="AW32" s="309">
        <f t="shared" si="24"/>
        <v>45012.61</v>
      </c>
      <c r="AX32" s="309">
        <f t="shared" si="25"/>
        <v>7633.51</v>
      </c>
      <c r="AY32" s="310">
        <f t="shared" si="26"/>
        <v>0.15</v>
      </c>
      <c r="AZ32" s="309">
        <f t="shared" si="27"/>
        <v>33919.81</v>
      </c>
      <c r="BA32" s="309">
        <f t="shared" si="28"/>
        <v>4257.57</v>
      </c>
      <c r="BB32" s="310">
        <f t="shared" si="29"/>
        <v>7.4999999999999997E-2</v>
      </c>
      <c r="BC32" s="309">
        <f t="shared" si="40"/>
        <v>22847.77</v>
      </c>
      <c r="BD32" s="309">
        <f t="shared" si="31"/>
        <v>1713.58</v>
      </c>
      <c r="BE32" s="310">
        <f t="shared" si="32"/>
        <v>0</v>
      </c>
      <c r="BF32" s="309">
        <f t="shared" si="33"/>
        <v>0</v>
      </c>
      <c r="BG32" s="309">
        <f t="shared" si="34"/>
        <v>0</v>
      </c>
      <c r="BH32" s="309">
        <f t="shared" si="35"/>
        <v>16754.34</v>
      </c>
      <c r="BI32" s="159">
        <f t="shared" si="35"/>
        <v>42856</v>
      </c>
      <c r="BK32" s="325"/>
      <c r="BM32" s="160" t="s">
        <v>42</v>
      </c>
      <c r="BN32" s="355">
        <v>34090</v>
      </c>
      <c r="BO32" s="34">
        <v>19506.52</v>
      </c>
      <c r="BP32" s="278">
        <f t="shared" si="38"/>
        <v>0.2881000814086776</v>
      </c>
      <c r="BQ32" s="312">
        <f t="shared" si="3"/>
        <v>4.9519362838029267E-5</v>
      </c>
      <c r="BS32" s="31" t="s">
        <v>44</v>
      </c>
      <c r="BT32" s="168">
        <v>34090</v>
      </c>
      <c r="BU32" s="32">
        <v>0.01</v>
      </c>
      <c r="BV32" s="311">
        <f t="shared" si="4"/>
        <v>4.3602999999999943</v>
      </c>
      <c r="BX32" s="169" t="s">
        <v>44</v>
      </c>
      <c r="BY32" s="290">
        <v>34090</v>
      </c>
      <c r="BZ32" s="33">
        <v>0.01</v>
      </c>
      <c r="CA32" s="162">
        <f t="shared" si="5"/>
        <v>3.6525419999999928</v>
      </c>
      <c r="CC32" s="168">
        <v>34394</v>
      </c>
      <c r="CD32" s="173">
        <v>365.06</v>
      </c>
      <c r="CF32" s="31" t="s">
        <v>42</v>
      </c>
      <c r="CG32" s="168">
        <v>34090</v>
      </c>
      <c r="CH32" s="34">
        <v>19506.52</v>
      </c>
      <c r="CI32" s="361">
        <f t="shared" si="39"/>
        <v>0.2881000814086776</v>
      </c>
      <c r="CJ32" s="312">
        <f t="shared" si="7"/>
        <v>4.2483231247804108E-5</v>
      </c>
      <c r="CL32" s="325"/>
      <c r="CN32" s="315">
        <f t="shared" si="8"/>
        <v>34090</v>
      </c>
      <c r="CO32" s="312">
        <f t="shared" si="9"/>
        <v>4.2483231247804108E-5</v>
      </c>
      <c r="CQ32" s="315">
        <f t="shared" si="10"/>
        <v>34090</v>
      </c>
      <c r="CR32" s="316">
        <f t="shared" si="11"/>
        <v>4.3602999999999943</v>
      </c>
      <c r="CT32" s="325"/>
      <c r="CW32" s="654" t="s">
        <v>341</v>
      </c>
      <c r="CX32" s="242" t="str">
        <f t="shared" si="37"/>
        <v>Navegação principal</v>
      </c>
    </row>
    <row r="33" spans="2:102" ht="15" customHeight="1">
      <c r="B33" s="163">
        <v>37347</v>
      </c>
      <c r="C33" s="165">
        <v>200</v>
      </c>
      <c r="D33" s="274">
        <f t="shared" si="12"/>
        <v>37347</v>
      </c>
      <c r="E33" s="275">
        <f t="shared" si="13"/>
        <v>200</v>
      </c>
      <c r="G33" s="163">
        <v>37712</v>
      </c>
      <c r="H33" s="163">
        <v>37742</v>
      </c>
      <c r="I33" s="164">
        <v>4.1840000000000002E-3</v>
      </c>
      <c r="J33" s="159">
        <f t="shared" si="14"/>
        <v>37742</v>
      </c>
      <c r="K33" s="278">
        <f t="shared" si="15"/>
        <v>4.1840000000000002E-3</v>
      </c>
      <c r="M33" s="290">
        <v>35855</v>
      </c>
      <c r="N33" s="290">
        <v>35886</v>
      </c>
      <c r="O33" s="291">
        <v>5.0000000000000001E-3</v>
      </c>
      <c r="P33" s="159">
        <f t="shared" si="0"/>
        <v>35855</v>
      </c>
      <c r="Q33" s="291">
        <v>5.0000000000000001E-3</v>
      </c>
      <c r="S33" s="163">
        <v>35886</v>
      </c>
      <c r="T33" s="164">
        <v>1.7100000000000001E-2</v>
      </c>
      <c r="U33" s="159">
        <f t="shared" si="16"/>
        <v>35886</v>
      </c>
      <c r="V33" s="285">
        <f t="shared" si="17"/>
        <v>1.7100000000000001E-2</v>
      </c>
      <c r="X33" s="165">
        <v>2017</v>
      </c>
      <c r="Y33" s="165" t="s">
        <v>326</v>
      </c>
      <c r="Z33" s="164">
        <v>0.27500000000000002</v>
      </c>
      <c r="AA33" s="307">
        <v>55976.160000000003</v>
      </c>
      <c r="AB33" s="307">
        <v>10432.32</v>
      </c>
      <c r="AC33" s="164">
        <v>0.22500000000000001</v>
      </c>
      <c r="AD33" s="307">
        <v>45012.61</v>
      </c>
      <c r="AE33" s="307">
        <v>7633.51</v>
      </c>
      <c r="AF33" s="164">
        <v>0.15</v>
      </c>
      <c r="AG33" s="307">
        <v>33919.81</v>
      </c>
      <c r="AH33" s="307">
        <v>4257.57</v>
      </c>
      <c r="AI33" s="164">
        <v>7.4999999999999997E-2</v>
      </c>
      <c r="AJ33" s="307">
        <v>22847.77</v>
      </c>
      <c r="AK33" s="307">
        <v>1713.58</v>
      </c>
      <c r="AL33" s="164">
        <v>0</v>
      </c>
      <c r="AM33" s="165">
        <v>0</v>
      </c>
      <c r="AN33" s="165">
        <v>0</v>
      </c>
      <c r="AO33" s="307">
        <v>16754.34</v>
      </c>
      <c r="AP33" s="163">
        <v>43221</v>
      </c>
      <c r="AQ33" s="241">
        <f t="shared" si="18"/>
        <v>2017</v>
      </c>
      <c r="AR33" s="241" t="str">
        <f t="shared" si="19"/>
        <v>MOEDA</v>
      </c>
      <c r="AS33" s="310">
        <f t="shared" si="20"/>
        <v>0.27500000000000002</v>
      </c>
      <c r="AT33" s="309">
        <f t="shared" si="21"/>
        <v>55976.160000000003</v>
      </c>
      <c r="AU33" s="309">
        <f t="shared" si="22"/>
        <v>10432.32</v>
      </c>
      <c r="AV33" s="310">
        <f>IF(AC33="","",AC33)</f>
        <v>0.22500000000000001</v>
      </c>
      <c r="AW33" s="309">
        <f t="shared" si="24"/>
        <v>45012.61</v>
      </c>
      <c r="AX33" s="309">
        <f t="shared" si="25"/>
        <v>7633.51</v>
      </c>
      <c r="AY33" s="310">
        <f t="shared" si="26"/>
        <v>0.15</v>
      </c>
      <c r="AZ33" s="309">
        <f t="shared" si="27"/>
        <v>33919.81</v>
      </c>
      <c r="BA33" s="309">
        <f t="shared" si="28"/>
        <v>4257.57</v>
      </c>
      <c r="BB33" s="310">
        <f t="shared" si="29"/>
        <v>7.4999999999999997E-2</v>
      </c>
      <c r="BC33" s="309">
        <f t="shared" si="40"/>
        <v>22847.77</v>
      </c>
      <c r="BD33" s="309">
        <f t="shared" si="31"/>
        <v>1713.58</v>
      </c>
      <c r="BE33" s="310">
        <f t="shared" si="32"/>
        <v>0</v>
      </c>
      <c r="BF33" s="309">
        <f t="shared" si="33"/>
        <v>0</v>
      </c>
      <c r="BG33" s="309">
        <f t="shared" si="34"/>
        <v>0</v>
      </c>
      <c r="BH33" s="309">
        <f>IF(AO33="","",AO33)</f>
        <v>16754.34</v>
      </c>
      <c r="BI33" s="159">
        <f t="shared" si="35"/>
        <v>43221</v>
      </c>
      <c r="BK33" s="325"/>
      <c r="BM33" s="160" t="s">
        <v>42</v>
      </c>
      <c r="BN33" s="355">
        <v>34121</v>
      </c>
      <c r="BO33" s="34">
        <v>25126.35</v>
      </c>
      <c r="BP33" s="278">
        <f t="shared" si="38"/>
        <v>0.30339981732324839</v>
      </c>
      <c r="BQ33" s="312">
        <f t="shared" si="3"/>
        <v>3.8443723087009246E-5</v>
      </c>
      <c r="BS33" s="31" t="s">
        <v>44</v>
      </c>
      <c r="BT33" s="168">
        <v>34121</v>
      </c>
      <c r="BU33" s="32">
        <v>0.01</v>
      </c>
      <c r="BV33" s="311">
        <f t="shared" si="4"/>
        <v>4.3502999999999945</v>
      </c>
      <c r="BX33" s="169" t="s">
        <v>44</v>
      </c>
      <c r="BY33" s="290">
        <v>34121</v>
      </c>
      <c r="BZ33" s="33">
        <v>0.01</v>
      </c>
      <c r="CA33" s="162">
        <f t="shared" si="5"/>
        <v>3.6425419999999931</v>
      </c>
      <c r="CC33" s="168">
        <v>34425</v>
      </c>
      <c r="CD33" s="173">
        <v>524.34</v>
      </c>
      <c r="CF33" s="31" t="s">
        <v>42</v>
      </c>
      <c r="CG33" s="168">
        <v>34121</v>
      </c>
      <c r="CH33" s="34">
        <v>25126.35</v>
      </c>
      <c r="CI33" s="361">
        <f t="shared" si="39"/>
        <v>0.30339981732324839</v>
      </c>
      <c r="CJ33" s="312">
        <f t="shared" si="7"/>
        <v>3.2981312446890051E-5</v>
      </c>
      <c r="CL33" s="325"/>
      <c r="CN33" s="315">
        <f t="shared" si="8"/>
        <v>34121</v>
      </c>
      <c r="CO33" s="312">
        <f t="shared" si="9"/>
        <v>3.2981312446890051E-5</v>
      </c>
      <c r="CQ33" s="315">
        <f t="shared" si="10"/>
        <v>34121</v>
      </c>
      <c r="CR33" s="316">
        <f t="shared" si="11"/>
        <v>4.3502999999999945</v>
      </c>
      <c r="CT33" s="325"/>
      <c r="CW33"/>
      <c r="CX33" s="242" t="str">
        <f t="shared" si="37"/>
        <v/>
      </c>
    </row>
    <row r="34" spans="2:102" ht="15" customHeight="1">
      <c r="B34" s="163">
        <v>37377</v>
      </c>
      <c r="C34" s="165">
        <v>200</v>
      </c>
      <c r="D34" s="274">
        <f t="shared" si="12"/>
        <v>37377</v>
      </c>
      <c r="E34" s="275">
        <f t="shared" si="13"/>
        <v>200</v>
      </c>
      <c r="G34" s="163">
        <v>37742</v>
      </c>
      <c r="H34" s="163">
        <v>37773</v>
      </c>
      <c r="I34" s="164">
        <v>4.6499999999999996E-3</v>
      </c>
      <c r="J34" s="159">
        <f t="shared" si="14"/>
        <v>37773</v>
      </c>
      <c r="K34" s="278">
        <f t="shared" si="15"/>
        <v>4.6499999999999996E-3</v>
      </c>
      <c r="M34" s="290">
        <v>35886</v>
      </c>
      <c r="N34" s="290">
        <v>35916</v>
      </c>
      <c r="O34" s="291">
        <v>5.0000000000000001E-3</v>
      </c>
      <c r="P34" s="159">
        <f t="shared" si="0"/>
        <v>35886</v>
      </c>
      <c r="Q34" s="291">
        <v>5.0000000000000001E-3</v>
      </c>
      <c r="S34" s="163">
        <v>35916</v>
      </c>
      <c r="T34" s="164">
        <v>1.6299999999999999E-2</v>
      </c>
      <c r="U34" s="159">
        <f t="shared" si="16"/>
        <v>35916</v>
      </c>
      <c r="V34" s="285">
        <f t="shared" si="17"/>
        <v>1.6299999999999999E-2</v>
      </c>
      <c r="X34" s="165">
        <v>2018</v>
      </c>
      <c r="Y34" s="165" t="s">
        <v>326</v>
      </c>
      <c r="Z34" s="164">
        <v>0.27500000000000002</v>
      </c>
      <c r="AA34" s="307">
        <v>55976.160000000003</v>
      </c>
      <c r="AB34" s="307">
        <v>10432.32</v>
      </c>
      <c r="AC34" s="164">
        <v>0.22500000000000001</v>
      </c>
      <c r="AD34" s="307">
        <v>45012.61</v>
      </c>
      <c r="AE34" s="307">
        <v>7633.51</v>
      </c>
      <c r="AF34" s="164">
        <v>0.15</v>
      </c>
      <c r="AG34" s="307">
        <v>33919.81</v>
      </c>
      <c r="AH34" s="307">
        <v>4257.57</v>
      </c>
      <c r="AI34" s="164">
        <v>7.4999999999999997E-2</v>
      </c>
      <c r="AJ34" s="307">
        <v>22847.77</v>
      </c>
      <c r="AK34" s="307">
        <v>1713.58</v>
      </c>
      <c r="AL34" s="164">
        <v>0</v>
      </c>
      <c r="AM34" s="165">
        <v>0</v>
      </c>
      <c r="AN34" s="165">
        <v>0</v>
      </c>
      <c r="AO34" s="307">
        <v>16754.34</v>
      </c>
      <c r="AP34" s="163">
        <v>43586</v>
      </c>
      <c r="AQ34" s="241">
        <f t="shared" si="18"/>
        <v>2018</v>
      </c>
      <c r="AR34" s="241" t="str">
        <f t="shared" si="19"/>
        <v>MOEDA</v>
      </c>
      <c r="AS34" s="310">
        <f t="shared" si="20"/>
        <v>0.27500000000000002</v>
      </c>
      <c r="AT34" s="309">
        <f t="shared" si="21"/>
        <v>55976.160000000003</v>
      </c>
      <c r="AU34" s="309">
        <f t="shared" si="22"/>
        <v>10432.32</v>
      </c>
      <c r="AV34" s="310">
        <f t="shared" si="23"/>
        <v>0.22500000000000001</v>
      </c>
      <c r="AW34" s="309">
        <f t="shared" si="24"/>
        <v>45012.61</v>
      </c>
      <c r="AX34" s="309">
        <f t="shared" si="25"/>
        <v>7633.51</v>
      </c>
      <c r="AY34" s="310">
        <f t="shared" si="26"/>
        <v>0.15</v>
      </c>
      <c r="AZ34" s="309">
        <f t="shared" si="27"/>
        <v>33919.81</v>
      </c>
      <c r="BA34" s="309">
        <f t="shared" si="28"/>
        <v>4257.57</v>
      </c>
      <c r="BB34" s="310">
        <f t="shared" si="29"/>
        <v>7.4999999999999997E-2</v>
      </c>
      <c r="BC34" s="309">
        <f t="shared" si="40"/>
        <v>22847.77</v>
      </c>
      <c r="BD34" s="309">
        <f t="shared" si="31"/>
        <v>1713.58</v>
      </c>
      <c r="BE34" s="310">
        <f t="shared" si="32"/>
        <v>0</v>
      </c>
      <c r="BF34" s="309">
        <f t="shared" si="33"/>
        <v>0</v>
      </c>
      <c r="BG34" s="309">
        <f t="shared" si="34"/>
        <v>0</v>
      </c>
      <c r="BH34" s="309">
        <f t="shared" si="35"/>
        <v>16754.34</v>
      </c>
      <c r="BI34" s="159">
        <f t="shared" si="35"/>
        <v>43586</v>
      </c>
      <c r="BK34" s="325"/>
      <c r="BM34" s="160" t="s">
        <v>42</v>
      </c>
      <c r="BN34" s="355">
        <v>34151</v>
      </c>
      <c r="BO34" s="34">
        <v>32749.68</v>
      </c>
      <c r="BP34" s="278">
        <f t="shared" si="38"/>
        <v>-0.99869342234794356</v>
      </c>
      <c r="BQ34" s="312">
        <f t="shared" si="3"/>
        <v>2.9494958167141623E-5</v>
      </c>
      <c r="BS34" s="31" t="s">
        <v>44</v>
      </c>
      <c r="BT34" s="168">
        <v>34151</v>
      </c>
      <c r="BU34" s="32">
        <v>0.01</v>
      </c>
      <c r="BV34" s="311">
        <f t="shared" si="4"/>
        <v>4.3402999999999947</v>
      </c>
      <c r="BX34" s="169" t="s">
        <v>44</v>
      </c>
      <c r="BY34" s="290">
        <v>34151</v>
      </c>
      <c r="BZ34" s="33">
        <v>0.01</v>
      </c>
      <c r="CA34" s="162">
        <f t="shared" si="5"/>
        <v>3.6325419999999933</v>
      </c>
      <c r="CC34" s="168">
        <v>34455</v>
      </c>
      <c r="CD34" s="173">
        <v>740.63</v>
      </c>
      <c r="CF34" s="31" t="s">
        <v>42</v>
      </c>
      <c r="CG34" s="168">
        <v>34151</v>
      </c>
      <c r="CH34" s="34">
        <v>32749.68</v>
      </c>
      <c r="CI34" s="361">
        <f t="shared" si="39"/>
        <v>-0.99869342234794356</v>
      </c>
      <c r="CJ34" s="312">
        <f t="shared" si="7"/>
        <v>2.5304064039707128E-5</v>
      </c>
      <c r="CL34" s="325"/>
      <c r="CN34" s="315">
        <f t="shared" si="8"/>
        <v>34151</v>
      </c>
      <c r="CO34" s="312">
        <f t="shared" si="9"/>
        <v>2.5304064039707128E-5</v>
      </c>
      <c r="CQ34" s="315">
        <f t="shared" si="10"/>
        <v>34151</v>
      </c>
      <c r="CR34" s="316">
        <f t="shared" si="11"/>
        <v>4.3402999999999947</v>
      </c>
      <c r="CT34" s="325"/>
      <c r="CW34" s="650" t="s">
        <v>342</v>
      </c>
      <c r="CX34" s="242" t="str">
        <f t="shared" si="37"/>
        <v>Atendimento e contatos</v>
      </c>
    </row>
    <row r="35" spans="2:102" ht="15" customHeight="1">
      <c r="B35" s="163">
        <v>37408</v>
      </c>
      <c r="C35" s="165">
        <v>200</v>
      </c>
      <c r="D35" s="274">
        <f t="shared" si="12"/>
        <v>37408</v>
      </c>
      <c r="E35" s="275">
        <f t="shared" si="13"/>
        <v>200</v>
      </c>
      <c r="G35" s="163">
        <v>37773</v>
      </c>
      <c r="H35" s="163">
        <v>37803</v>
      </c>
      <c r="I35" s="164">
        <v>4.1660000000000004E-3</v>
      </c>
      <c r="J35" s="159">
        <f t="shared" si="14"/>
        <v>37803</v>
      </c>
      <c r="K35" s="278">
        <f t="shared" si="15"/>
        <v>4.1660000000000004E-3</v>
      </c>
      <c r="M35" s="290">
        <v>35916</v>
      </c>
      <c r="N35" s="290">
        <v>35947</v>
      </c>
      <c r="O35" s="291">
        <v>5.0000000000000001E-3</v>
      </c>
      <c r="P35" s="159">
        <f t="shared" si="0"/>
        <v>35916</v>
      </c>
      <c r="Q35" s="291">
        <v>5.0000000000000001E-3</v>
      </c>
      <c r="S35" s="163">
        <v>35947</v>
      </c>
      <c r="T35" s="164">
        <v>1.6E-2</v>
      </c>
      <c r="U35" s="159">
        <f t="shared" si="16"/>
        <v>35947</v>
      </c>
      <c r="V35" s="285">
        <f t="shared" si="17"/>
        <v>1.6E-2</v>
      </c>
      <c r="X35" s="165">
        <v>2019</v>
      </c>
      <c r="Y35" s="165" t="s">
        <v>326</v>
      </c>
      <c r="Z35" s="164">
        <v>0.27500000000000002</v>
      </c>
      <c r="AA35" s="307">
        <v>55976.160000000003</v>
      </c>
      <c r="AB35" s="307">
        <v>10432.32</v>
      </c>
      <c r="AC35" s="164">
        <v>0.22500000000000001</v>
      </c>
      <c r="AD35" s="307">
        <v>45012.61</v>
      </c>
      <c r="AE35" s="307">
        <v>7633.51</v>
      </c>
      <c r="AF35" s="164">
        <v>0.15</v>
      </c>
      <c r="AG35" s="307">
        <v>33919.81</v>
      </c>
      <c r="AH35" s="307">
        <v>4257.57</v>
      </c>
      <c r="AI35" s="164">
        <v>7.4999999999999997E-2</v>
      </c>
      <c r="AJ35" s="307">
        <v>22847.77</v>
      </c>
      <c r="AK35" s="307">
        <v>1713.58</v>
      </c>
      <c r="AL35" s="164">
        <v>0</v>
      </c>
      <c r="AM35" s="165">
        <v>0</v>
      </c>
      <c r="AN35" s="165">
        <v>0</v>
      </c>
      <c r="AO35" s="307">
        <v>16754.34</v>
      </c>
      <c r="AP35" s="163">
        <v>44013</v>
      </c>
      <c r="AQ35" s="241">
        <f t="shared" si="18"/>
        <v>2019</v>
      </c>
      <c r="AR35" s="241" t="str">
        <f t="shared" si="19"/>
        <v>MOEDA</v>
      </c>
      <c r="AS35" s="310">
        <f t="shared" si="20"/>
        <v>0.27500000000000002</v>
      </c>
      <c r="AT35" s="309">
        <f t="shared" si="21"/>
        <v>55976.160000000003</v>
      </c>
      <c r="AU35" s="309">
        <f t="shared" si="22"/>
        <v>10432.32</v>
      </c>
      <c r="AV35" s="310">
        <f t="shared" si="23"/>
        <v>0.22500000000000001</v>
      </c>
      <c r="AW35" s="309">
        <f t="shared" si="24"/>
        <v>45012.61</v>
      </c>
      <c r="AX35" s="309">
        <f t="shared" si="25"/>
        <v>7633.51</v>
      </c>
      <c r="AY35" s="310">
        <f t="shared" si="26"/>
        <v>0.15</v>
      </c>
      <c r="AZ35" s="309">
        <f t="shared" si="27"/>
        <v>33919.81</v>
      </c>
      <c r="BA35" s="309">
        <f t="shared" si="28"/>
        <v>4257.57</v>
      </c>
      <c r="BB35" s="310">
        <f t="shared" si="29"/>
        <v>7.4999999999999997E-2</v>
      </c>
      <c r="BC35" s="309">
        <f t="shared" si="40"/>
        <v>22847.77</v>
      </c>
      <c r="BD35" s="309">
        <f t="shared" si="31"/>
        <v>1713.58</v>
      </c>
      <c r="BE35" s="310">
        <f t="shared" si="32"/>
        <v>0</v>
      </c>
      <c r="BF35" s="309">
        <f t="shared" si="33"/>
        <v>0</v>
      </c>
      <c r="BG35" s="309">
        <f t="shared" si="34"/>
        <v>0</v>
      </c>
      <c r="BH35" s="309">
        <f t="shared" si="35"/>
        <v>16754.34</v>
      </c>
      <c r="BI35" s="159">
        <f t="shared" si="35"/>
        <v>44013</v>
      </c>
      <c r="BK35" s="325"/>
      <c r="BM35" s="160" t="s">
        <v>42</v>
      </c>
      <c r="BN35" s="355">
        <v>34182</v>
      </c>
      <c r="BO35" s="34">
        <v>42.79</v>
      </c>
      <c r="BP35" s="278">
        <f t="shared" si="38"/>
        <v>0.31993456415050242</v>
      </c>
      <c r="BQ35" s="312">
        <f t="shared" si="3"/>
        <v>2.2574209899211974E-2</v>
      </c>
      <c r="BS35" s="31" t="s">
        <v>44</v>
      </c>
      <c r="BT35" s="168">
        <v>34182</v>
      </c>
      <c r="BU35" s="32">
        <v>0.01</v>
      </c>
      <c r="BV35" s="311">
        <f t="shared" si="4"/>
        <v>4.3302999999999949</v>
      </c>
      <c r="BX35" s="169" t="s">
        <v>44</v>
      </c>
      <c r="BY35" s="290">
        <v>34182</v>
      </c>
      <c r="BZ35" s="33">
        <v>0.01</v>
      </c>
      <c r="CA35" s="162">
        <f t="shared" si="5"/>
        <v>3.6225419999999935</v>
      </c>
      <c r="CC35" s="168">
        <v>34486</v>
      </c>
      <c r="CD35" s="173">
        <v>1068.06</v>
      </c>
      <c r="CF35" s="31" t="s">
        <v>42</v>
      </c>
      <c r="CG35" s="168">
        <v>34182</v>
      </c>
      <c r="CH35" s="34">
        <v>42.79</v>
      </c>
      <c r="CI35" s="361">
        <f t="shared" si="39"/>
        <v>0.31993456415050242</v>
      </c>
      <c r="CJ35" s="312">
        <f t="shared" si="7"/>
        <v>1.9366674456646894E-2</v>
      </c>
      <c r="CL35" s="325"/>
      <c r="CN35" s="315">
        <f t="shared" si="8"/>
        <v>34182</v>
      </c>
      <c r="CO35" s="312">
        <f t="shared" si="9"/>
        <v>1.9366674456646894E-2</v>
      </c>
      <c r="CQ35" s="315">
        <f t="shared" si="10"/>
        <v>34182</v>
      </c>
      <c r="CR35" s="316">
        <f t="shared" si="11"/>
        <v>4.3302999999999949</v>
      </c>
      <c r="CT35" s="325"/>
      <c r="CW35" s="650" t="s">
        <v>343</v>
      </c>
      <c r="CX35" s="242" t="str">
        <f t="shared" si="37"/>
        <v>Consultas e serviços</v>
      </c>
    </row>
    <row r="36" spans="2:102" ht="15" customHeight="1">
      <c r="B36" s="163">
        <v>37438</v>
      </c>
      <c r="C36" s="165">
        <v>200</v>
      </c>
      <c r="D36" s="274">
        <f t="shared" si="12"/>
        <v>37438</v>
      </c>
      <c r="E36" s="275">
        <f t="shared" si="13"/>
        <v>200</v>
      </c>
      <c r="G36" s="163">
        <v>37803</v>
      </c>
      <c r="H36" s="163">
        <v>37834</v>
      </c>
      <c r="I36" s="164">
        <v>5.4650000000000002E-3</v>
      </c>
      <c r="J36" s="159">
        <f t="shared" si="14"/>
        <v>37834</v>
      </c>
      <c r="K36" s="278">
        <f t="shared" si="15"/>
        <v>5.4650000000000002E-3</v>
      </c>
      <c r="M36" s="290">
        <v>35947</v>
      </c>
      <c r="N36" s="290">
        <v>35977</v>
      </c>
      <c r="O36" s="291">
        <v>5.0000000000000001E-3</v>
      </c>
      <c r="P36" s="159">
        <f t="shared" si="0"/>
        <v>35947</v>
      </c>
      <c r="Q36" s="291">
        <v>5.0000000000000001E-3</v>
      </c>
      <c r="S36" s="163">
        <v>35977</v>
      </c>
      <c r="T36" s="164">
        <v>1.7000000000000001E-2</v>
      </c>
      <c r="U36" s="159">
        <f t="shared" si="16"/>
        <v>35977</v>
      </c>
      <c r="V36" s="285">
        <f t="shared" si="17"/>
        <v>1.7000000000000001E-2</v>
      </c>
      <c r="X36" s="165">
        <v>2020</v>
      </c>
      <c r="Y36" s="165" t="s">
        <v>326</v>
      </c>
      <c r="Z36" s="164">
        <v>0.27500000000000002</v>
      </c>
      <c r="AA36" s="307">
        <v>55976.160000000003</v>
      </c>
      <c r="AB36" s="307">
        <v>10432.32</v>
      </c>
      <c r="AC36" s="164">
        <v>0.22500000000000001</v>
      </c>
      <c r="AD36" s="307">
        <v>45012.61</v>
      </c>
      <c r="AE36" s="307">
        <v>7633.51</v>
      </c>
      <c r="AF36" s="164">
        <v>0.15</v>
      </c>
      <c r="AG36" s="307">
        <v>33919.81</v>
      </c>
      <c r="AH36" s="307">
        <v>4257.57</v>
      </c>
      <c r="AI36" s="164">
        <v>7.4999999999999997E-2</v>
      </c>
      <c r="AJ36" s="307">
        <v>22847.77</v>
      </c>
      <c r="AK36" s="307">
        <v>1713.58</v>
      </c>
      <c r="AL36" s="164">
        <v>0</v>
      </c>
      <c r="AM36" s="165">
        <v>0</v>
      </c>
      <c r="AN36" s="165">
        <v>0</v>
      </c>
      <c r="AO36" s="307">
        <v>16754.34</v>
      </c>
      <c r="AP36" s="163">
        <v>44348</v>
      </c>
      <c r="AQ36" s="241">
        <f t="shared" si="18"/>
        <v>2020</v>
      </c>
      <c r="AR36" s="241" t="str">
        <f t="shared" si="19"/>
        <v>MOEDA</v>
      </c>
      <c r="AS36" s="310">
        <f t="shared" si="20"/>
        <v>0.27500000000000002</v>
      </c>
      <c r="AT36" s="309">
        <f t="shared" si="21"/>
        <v>55976.160000000003</v>
      </c>
      <c r="AU36" s="309">
        <f t="shared" si="22"/>
        <v>10432.32</v>
      </c>
      <c r="AV36" s="310">
        <f t="shared" si="23"/>
        <v>0.22500000000000001</v>
      </c>
      <c r="AW36" s="309">
        <f t="shared" si="24"/>
        <v>45012.61</v>
      </c>
      <c r="AX36" s="309">
        <f t="shared" si="25"/>
        <v>7633.51</v>
      </c>
      <c r="AY36" s="310">
        <f t="shared" si="26"/>
        <v>0.15</v>
      </c>
      <c r="AZ36" s="309">
        <f t="shared" si="27"/>
        <v>33919.81</v>
      </c>
      <c r="BA36" s="309">
        <f t="shared" si="28"/>
        <v>4257.57</v>
      </c>
      <c r="BB36" s="310">
        <f t="shared" si="29"/>
        <v>7.4999999999999997E-2</v>
      </c>
      <c r="BC36" s="309">
        <f t="shared" si="40"/>
        <v>22847.77</v>
      </c>
      <c r="BD36" s="309">
        <f t="shared" si="31"/>
        <v>1713.58</v>
      </c>
      <c r="BE36" s="310">
        <f t="shared" si="32"/>
        <v>0</v>
      </c>
      <c r="BF36" s="309">
        <f t="shared" si="33"/>
        <v>0</v>
      </c>
      <c r="BG36" s="309">
        <f t="shared" si="34"/>
        <v>0</v>
      </c>
      <c r="BH36" s="309">
        <f t="shared" si="35"/>
        <v>16754.34</v>
      </c>
      <c r="BI36" s="159">
        <f t="shared" si="35"/>
        <v>44348</v>
      </c>
      <c r="BK36" s="325"/>
      <c r="BM36" s="160" t="s">
        <v>42</v>
      </c>
      <c r="BN36" s="355">
        <v>34213</v>
      </c>
      <c r="BO36" s="34">
        <v>56.48</v>
      </c>
      <c r="BP36" s="278">
        <f t="shared" si="38"/>
        <v>0.34383852691218147</v>
      </c>
      <c r="BQ36" s="312">
        <f t="shared" si="3"/>
        <v>1.7102521982777626E-2</v>
      </c>
      <c r="BS36" s="31" t="s">
        <v>44</v>
      </c>
      <c r="BT36" s="168">
        <v>34213</v>
      </c>
      <c r="BU36" s="32">
        <v>0.01</v>
      </c>
      <c r="BV36" s="311">
        <f t="shared" si="4"/>
        <v>4.3202999999999951</v>
      </c>
      <c r="BX36" s="169" t="s">
        <v>44</v>
      </c>
      <c r="BY36" s="290">
        <v>34213</v>
      </c>
      <c r="BZ36" s="33">
        <v>0.01</v>
      </c>
      <c r="CA36" s="162">
        <f t="shared" si="5"/>
        <v>3.6125419999999937</v>
      </c>
      <c r="CC36" s="168">
        <v>34516</v>
      </c>
      <c r="CD36" s="173">
        <v>0.56179999999999997</v>
      </c>
      <c r="CF36" s="31" t="s">
        <v>42</v>
      </c>
      <c r="CG36" s="168">
        <v>34213</v>
      </c>
      <c r="CH36" s="34">
        <v>56.48</v>
      </c>
      <c r="CI36" s="361">
        <f t="shared" si="39"/>
        <v>0.34383852691218147</v>
      </c>
      <c r="CJ36" s="312">
        <f t="shared" si="7"/>
        <v>1.4672450424927774E-2</v>
      </c>
      <c r="CL36" s="325"/>
      <c r="CN36" s="315">
        <f t="shared" si="8"/>
        <v>34213</v>
      </c>
      <c r="CO36" s="312">
        <f t="shared" si="9"/>
        <v>1.4672450424927774E-2</v>
      </c>
      <c r="CQ36" s="315">
        <f t="shared" si="10"/>
        <v>34213</v>
      </c>
      <c r="CR36" s="316">
        <f t="shared" si="11"/>
        <v>4.3202999999999951</v>
      </c>
      <c r="CT36" s="325"/>
      <c r="CW36" s="650" t="s">
        <v>344</v>
      </c>
      <c r="CX36" s="242" t="str">
        <f t="shared" si="37"/>
        <v>Institucional</v>
      </c>
    </row>
    <row r="37" spans="2:102" ht="15" customHeight="1">
      <c r="B37" s="163">
        <v>37469</v>
      </c>
      <c r="C37" s="165">
        <v>200</v>
      </c>
      <c r="D37" s="274">
        <f t="shared" si="12"/>
        <v>37469</v>
      </c>
      <c r="E37" s="275">
        <f t="shared" si="13"/>
        <v>200</v>
      </c>
      <c r="G37" s="163">
        <v>37834</v>
      </c>
      <c r="H37" s="163">
        <v>37865</v>
      </c>
      <c r="I37" s="164">
        <v>4.0379999999999999E-3</v>
      </c>
      <c r="J37" s="159">
        <f t="shared" si="14"/>
        <v>37865</v>
      </c>
      <c r="K37" s="278">
        <f t="shared" si="15"/>
        <v>4.0379999999999999E-3</v>
      </c>
      <c r="M37" s="290">
        <v>35977</v>
      </c>
      <c r="N37" s="290">
        <v>36008</v>
      </c>
      <c r="O37" s="291">
        <v>5.0000000000000001E-3</v>
      </c>
      <c r="P37" s="159">
        <f t="shared" si="0"/>
        <v>35977</v>
      </c>
      <c r="Q37" s="291">
        <v>5.0000000000000001E-3</v>
      </c>
      <c r="S37" s="163">
        <v>36008</v>
      </c>
      <c r="T37" s="164">
        <v>1.4800000000000001E-2</v>
      </c>
      <c r="U37" s="159">
        <f t="shared" si="16"/>
        <v>36008</v>
      </c>
      <c r="V37" s="285">
        <f t="shared" si="17"/>
        <v>1.4800000000000001E-2</v>
      </c>
      <c r="X37" s="165">
        <v>2021</v>
      </c>
      <c r="Y37" s="165" t="s">
        <v>326</v>
      </c>
      <c r="Z37" s="164">
        <v>0.27500000000000002</v>
      </c>
      <c r="AA37" s="307">
        <v>55976.160000000003</v>
      </c>
      <c r="AB37" s="307">
        <v>10432.32</v>
      </c>
      <c r="AC37" s="164">
        <v>0.22500000000000001</v>
      </c>
      <c r="AD37" s="307">
        <v>45012.61</v>
      </c>
      <c r="AE37" s="307">
        <v>7633.51</v>
      </c>
      <c r="AF37" s="164">
        <v>0.15</v>
      </c>
      <c r="AG37" s="307">
        <v>33919.81</v>
      </c>
      <c r="AH37" s="307">
        <v>4257.57</v>
      </c>
      <c r="AI37" s="164">
        <v>7.4999999999999997E-2</v>
      </c>
      <c r="AJ37" s="307">
        <v>22847.77</v>
      </c>
      <c r="AK37" s="307">
        <v>1713.58</v>
      </c>
      <c r="AL37" s="164">
        <v>0</v>
      </c>
      <c r="AM37" s="165">
        <v>0</v>
      </c>
      <c r="AN37" s="165">
        <v>0</v>
      </c>
      <c r="AO37" s="307">
        <v>16754.34</v>
      </c>
      <c r="AP37" s="163">
        <v>44713</v>
      </c>
      <c r="AQ37" s="241">
        <f t="shared" si="18"/>
        <v>2021</v>
      </c>
      <c r="AR37" s="241" t="str">
        <f t="shared" si="19"/>
        <v>MOEDA</v>
      </c>
      <c r="AS37" s="310">
        <f t="shared" si="20"/>
        <v>0.27500000000000002</v>
      </c>
      <c r="AT37" s="309">
        <f t="shared" si="21"/>
        <v>55976.160000000003</v>
      </c>
      <c r="AU37" s="309">
        <f t="shared" si="22"/>
        <v>10432.32</v>
      </c>
      <c r="AV37" s="310">
        <f t="shared" si="23"/>
        <v>0.22500000000000001</v>
      </c>
      <c r="AW37" s="309">
        <f t="shared" si="24"/>
        <v>45012.61</v>
      </c>
      <c r="AX37" s="309">
        <f t="shared" si="25"/>
        <v>7633.51</v>
      </c>
      <c r="AY37" s="310">
        <f t="shared" si="26"/>
        <v>0.15</v>
      </c>
      <c r="AZ37" s="309">
        <f t="shared" si="27"/>
        <v>33919.81</v>
      </c>
      <c r="BA37" s="309">
        <f t="shared" si="28"/>
        <v>4257.57</v>
      </c>
      <c r="BB37" s="310">
        <f t="shared" si="29"/>
        <v>7.4999999999999997E-2</v>
      </c>
      <c r="BC37" s="309">
        <f t="shared" si="40"/>
        <v>22847.77</v>
      </c>
      <c r="BD37" s="309">
        <f t="shared" si="31"/>
        <v>1713.58</v>
      </c>
      <c r="BE37" s="310">
        <f t="shared" si="32"/>
        <v>0</v>
      </c>
      <c r="BF37" s="309">
        <f t="shared" si="33"/>
        <v>0</v>
      </c>
      <c r="BG37" s="309">
        <f t="shared" si="34"/>
        <v>0</v>
      </c>
      <c r="BH37" s="309">
        <f t="shared" si="35"/>
        <v>16754.34</v>
      </c>
      <c r="BI37" s="159">
        <f t="shared" si="35"/>
        <v>44713</v>
      </c>
      <c r="BK37" s="325"/>
      <c r="BM37" s="160" t="s">
        <v>42</v>
      </c>
      <c r="BN37" s="355">
        <v>34243</v>
      </c>
      <c r="BO37" s="34">
        <v>75.900000000000006</v>
      </c>
      <c r="BP37" s="278">
        <f t="shared" si="38"/>
        <v>0.35164690382081681</v>
      </c>
      <c r="BQ37" s="312">
        <f t="shared" si="3"/>
        <v>1.2726619783758631E-2</v>
      </c>
      <c r="BS37" s="31" t="s">
        <v>44</v>
      </c>
      <c r="BT37" s="168">
        <v>34243</v>
      </c>
      <c r="BU37" s="32">
        <v>0.01</v>
      </c>
      <c r="BV37" s="311">
        <f t="shared" si="4"/>
        <v>4.3102999999999954</v>
      </c>
      <c r="BX37" s="169" t="s">
        <v>44</v>
      </c>
      <c r="BY37" s="290">
        <v>34243</v>
      </c>
      <c r="BZ37" s="33">
        <v>0.01</v>
      </c>
      <c r="CA37" s="162">
        <f t="shared" si="5"/>
        <v>3.6025419999999939</v>
      </c>
      <c r="CC37" s="168">
        <v>34547</v>
      </c>
      <c r="CD37" s="173">
        <v>0.59109999999999996</v>
      </c>
      <c r="CF37" s="31" t="s">
        <v>42</v>
      </c>
      <c r="CG37" s="168">
        <v>34243</v>
      </c>
      <c r="CH37" s="34">
        <v>75.900000000000006</v>
      </c>
      <c r="CI37" s="361">
        <f t="shared" si="39"/>
        <v>0.35164690382081681</v>
      </c>
      <c r="CJ37" s="312">
        <f t="shared" si="7"/>
        <v>1.0918313570486437E-2</v>
      </c>
      <c r="CL37" s="325"/>
      <c r="CN37" s="315">
        <f t="shared" si="8"/>
        <v>34243</v>
      </c>
      <c r="CO37" s="312">
        <f t="shared" si="9"/>
        <v>1.0918313570486437E-2</v>
      </c>
      <c r="CQ37" s="315">
        <f t="shared" si="10"/>
        <v>34243</v>
      </c>
      <c r="CR37" s="316">
        <f t="shared" si="11"/>
        <v>4.3102999999999954</v>
      </c>
      <c r="CT37" s="325"/>
      <c r="CW37" s="650" t="s">
        <v>345</v>
      </c>
      <c r="CX37" s="242" t="str">
        <f t="shared" si="37"/>
        <v>Transparência</v>
      </c>
    </row>
    <row r="38" spans="2:102" ht="15" customHeight="1">
      <c r="B38" s="163">
        <v>37500</v>
      </c>
      <c r="C38" s="165">
        <v>200</v>
      </c>
      <c r="D38" s="274">
        <f t="shared" si="12"/>
        <v>37500</v>
      </c>
      <c r="E38" s="275">
        <f t="shared" si="13"/>
        <v>200</v>
      </c>
      <c r="G38" s="163">
        <v>37865</v>
      </c>
      <c r="H38" s="163">
        <v>37895</v>
      </c>
      <c r="I38" s="164">
        <v>3.3639999999999998E-3</v>
      </c>
      <c r="J38" s="159">
        <f t="shared" si="14"/>
        <v>37895</v>
      </c>
      <c r="K38" s="278">
        <f t="shared" si="15"/>
        <v>3.3639999999999998E-3</v>
      </c>
      <c r="M38" s="290">
        <v>36008</v>
      </c>
      <c r="N38" s="290">
        <v>36039</v>
      </c>
      <c r="O38" s="291">
        <v>5.0000000000000001E-3</v>
      </c>
      <c r="P38" s="159">
        <f t="shared" si="0"/>
        <v>36008</v>
      </c>
      <c r="Q38" s="291">
        <v>5.0000000000000001E-3</v>
      </c>
      <c r="S38" s="163">
        <v>36039</v>
      </c>
      <c r="T38" s="164">
        <v>2.4899999999999999E-2</v>
      </c>
      <c r="U38" s="159">
        <f t="shared" si="16"/>
        <v>36039</v>
      </c>
      <c r="V38" s="285">
        <f t="shared" si="17"/>
        <v>2.4899999999999999E-2</v>
      </c>
      <c r="X38" s="165">
        <v>2022</v>
      </c>
      <c r="Y38" s="165" t="s">
        <v>326</v>
      </c>
      <c r="Z38" s="164">
        <v>0.27500000000000002</v>
      </c>
      <c r="AA38" s="307">
        <v>55976.160000000003</v>
      </c>
      <c r="AB38" s="307">
        <v>10432.32</v>
      </c>
      <c r="AC38" s="164">
        <v>0.22500000000000001</v>
      </c>
      <c r="AD38" s="307">
        <v>45012.61</v>
      </c>
      <c r="AE38" s="307">
        <v>7633.51</v>
      </c>
      <c r="AF38" s="164">
        <v>0.15</v>
      </c>
      <c r="AG38" s="307">
        <v>33919.81</v>
      </c>
      <c r="AH38" s="307">
        <v>4257.57</v>
      </c>
      <c r="AI38" s="164">
        <v>7.4999999999999997E-2</v>
      </c>
      <c r="AJ38" s="307">
        <v>22847.77</v>
      </c>
      <c r="AK38" s="307">
        <v>1713.58</v>
      </c>
      <c r="AL38" s="164">
        <v>0</v>
      </c>
      <c r="AM38" s="165">
        <v>0</v>
      </c>
      <c r="AN38" s="165">
        <v>0</v>
      </c>
      <c r="AO38" s="307">
        <v>16754.34</v>
      </c>
      <c r="AP38" s="163">
        <v>45078</v>
      </c>
      <c r="AQ38" s="241">
        <f t="shared" si="18"/>
        <v>2022</v>
      </c>
      <c r="AR38" s="241" t="str">
        <f t="shared" si="19"/>
        <v>MOEDA</v>
      </c>
      <c r="AS38" s="310">
        <f t="shared" si="20"/>
        <v>0.27500000000000002</v>
      </c>
      <c r="AT38" s="309">
        <f t="shared" si="21"/>
        <v>55976.160000000003</v>
      </c>
      <c r="AU38" s="309">
        <f t="shared" si="22"/>
        <v>10432.32</v>
      </c>
      <c r="AV38" s="310">
        <f t="shared" si="23"/>
        <v>0.22500000000000001</v>
      </c>
      <c r="AW38" s="309">
        <f t="shared" si="24"/>
        <v>45012.61</v>
      </c>
      <c r="AX38" s="309">
        <f t="shared" si="25"/>
        <v>7633.51</v>
      </c>
      <c r="AY38" s="310">
        <f t="shared" si="26"/>
        <v>0.15</v>
      </c>
      <c r="AZ38" s="309">
        <f t="shared" si="27"/>
        <v>33919.81</v>
      </c>
      <c r="BA38" s="309">
        <f t="shared" si="28"/>
        <v>4257.57</v>
      </c>
      <c r="BB38" s="310">
        <f t="shared" si="29"/>
        <v>7.4999999999999997E-2</v>
      </c>
      <c r="BC38" s="309">
        <f t="shared" si="40"/>
        <v>22847.77</v>
      </c>
      <c r="BD38" s="309">
        <f t="shared" si="31"/>
        <v>1713.58</v>
      </c>
      <c r="BE38" s="310">
        <f t="shared" si="32"/>
        <v>0</v>
      </c>
      <c r="BF38" s="309">
        <f t="shared" si="33"/>
        <v>0</v>
      </c>
      <c r="BG38" s="309">
        <f t="shared" si="34"/>
        <v>0</v>
      </c>
      <c r="BH38" s="309">
        <f t="shared" si="35"/>
        <v>16754.34</v>
      </c>
      <c r="BI38" s="159">
        <f t="shared" si="35"/>
        <v>45078</v>
      </c>
      <c r="BK38" s="325"/>
      <c r="BM38" s="160" t="s">
        <v>42</v>
      </c>
      <c r="BN38" s="355">
        <v>34274</v>
      </c>
      <c r="BO38" s="34">
        <v>102.59</v>
      </c>
      <c r="BP38" s="278">
        <f t="shared" si="38"/>
        <v>0.33901939760210548</v>
      </c>
      <c r="BQ38" s="312">
        <f t="shared" si="3"/>
        <v>9.415639356538455E-3</v>
      </c>
      <c r="BS38" s="31" t="s">
        <v>44</v>
      </c>
      <c r="BT38" s="168">
        <v>34274</v>
      </c>
      <c r="BU38" s="32">
        <v>0.01</v>
      </c>
      <c r="BV38" s="311">
        <f t="shared" si="4"/>
        <v>4.3002999999999956</v>
      </c>
      <c r="BX38" s="169" t="s">
        <v>44</v>
      </c>
      <c r="BY38" s="290">
        <v>34274</v>
      </c>
      <c r="BZ38" s="33">
        <v>0.01</v>
      </c>
      <c r="CA38" s="162">
        <f t="shared" si="5"/>
        <v>3.5925419999999941</v>
      </c>
      <c r="CC38" s="168">
        <v>34578</v>
      </c>
      <c r="CD38" s="173">
        <v>0.62070000000000003</v>
      </c>
      <c r="CF38" s="31" t="s">
        <v>42</v>
      </c>
      <c r="CG38" s="168">
        <v>34274</v>
      </c>
      <c r="CH38" s="34">
        <v>102.59</v>
      </c>
      <c r="CI38" s="361">
        <f t="shared" si="39"/>
        <v>0.33901939760210548</v>
      </c>
      <c r="CJ38" s="312">
        <f t="shared" si="7"/>
        <v>8.0777853591960293E-3</v>
      </c>
      <c r="CL38" s="325"/>
      <c r="CN38" s="315">
        <f t="shared" si="8"/>
        <v>34274</v>
      </c>
      <c r="CO38" s="312">
        <f t="shared" si="9"/>
        <v>8.0777853591960293E-3</v>
      </c>
      <c r="CQ38" s="315">
        <f t="shared" si="10"/>
        <v>34274</v>
      </c>
      <c r="CR38" s="316">
        <f t="shared" si="11"/>
        <v>4.3002999999999956</v>
      </c>
      <c r="CT38" s="325"/>
      <c r="CW38"/>
      <c r="CX38" s="242" t="str">
        <f t="shared" si="37"/>
        <v/>
      </c>
    </row>
    <row r="39" spans="2:102" ht="15" customHeight="1">
      <c r="B39" s="163">
        <v>37530</v>
      </c>
      <c r="C39" s="165">
        <v>200</v>
      </c>
      <c r="D39" s="274">
        <f t="shared" si="12"/>
        <v>37530</v>
      </c>
      <c r="E39" s="275">
        <f t="shared" si="13"/>
        <v>200</v>
      </c>
      <c r="G39" s="163">
        <v>37895</v>
      </c>
      <c r="H39" s="163">
        <v>37926</v>
      </c>
      <c r="I39" s="164">
        <v>3.2130000000000001E-3</v>
      </c>
      <c r="J39" s="159">
        <f t="shared" si="14"/>
        <v>37926</v>
      </c>
      <c r="K39" s="278">
        <f t="shared" si="15"/>
        <v>3.2130000000000001E-3</v>
      </c>
      <c r="M39" s="290">
        <v>36039</v>
      </c>
      <c r="N39" s="290">
        <v>36069</v>
      </c>
      <c r="O39" s="291">
        <v>5.0000000000000001E-3</v>
      </c>
      <c r="P39" s="159">
        <f t="shared" si="0"/>
        <v>36039</v>
      </c>
      <c r="Q39" s="291">
        <v>5.0000000000000001E-3</v>
      </c>
      <c r="S39" s="163">
        <v>36069</v>
      </c>
      <c r="T39" s="164">
        <v>2.9399999999999999E-2</v>
      </c>
      <c r="U39" s="159">
        <f t="shared" si="16"/>
        <v>36069</v>
      </c>
      <c r="V39" s="285">
        <f t="shared" si="17"/>
        <v>2.9399999999999999E-2</v>
      </c>
      <c r="X39" s="165">
        <v>2023</v>
      </c>
      <c r="Y39" s="165" t="s">
        <v>326</v>
      </c>
      <c r="Z39" s="164">
        <v>0.27500000000000002</v>
      </c>
      <c r="AA39" s="307">
        <v>55976.160000000003</v>
      </c>
      <c r="AB39" s="307">
        <v>10557.13</v>
      </c>
      <c r="AC39" s="164">
        <v>0.22500000000000001</v>
      </c>
      <c r="AD39" s="307">
        <v>45012.61</v>
      </c>
      <c r="AE39" s="307">
        <v>7758.32</v>
      </c>
      <c r="AF39" s="164">
        <v>0.15</v>
      </c>
      <c r="AG39" s="307">
        <v>33919.81</v>
      </c>
      <c r="AH39" s="307">
        <v>4382.38</v>
      </c>
      <c r="AI39" s="164">
        <v>7.4999999999999997E-2</v>
      </c>
      <c r="AJ39" s="307">
        <v>24511.93</v>
      </c>
      <c r="AK39" s="307">
        <v>1838.39</v>
      </c>
      <c r="AL39" s="164">
        <v>0</v>
      </c>
      <c r="AM39" s="165">
        <v>0</v>
      </c>
      <c r="AN39" s="165">
        <v>0</v>
      </c>
      <c r="AO39" s="307">
        <v>16754.34</v>
      </c>
      <c r="AP39" s="163">
        <v>45444</v>
      </c>
      <c r="AQ39" s="241">
        <f t="shared" si="18"/>
        <v>2023</v>
      </c>
      <c r="AR39" s="241" t="str">
        <f t="shared" si="19"/>
        <v>MOEDA</v>
      </c>
      <c r="AS39" s="310">
        <f t="shared" si="20"/>
        <v>0.27500000000000002</v>
      </c>
      <c r="AT39" s="309">
        <f t="shared" si="21"/>
        <v>55976.160000000003</v>
      </c>
      <c r="AU39" s="309">
        <f t="shared" si="22"/>
        <v>10557.13</v>
      </c>
      <c r="AV39" s="310">
        <f t="shared" si="23"/>
        <v>0.22500000000000001</v>
      </c>
      <c r="AW39" s="309">
        <f t="shared" si="24"/>
        <v>45012.61</v>
      </c>
      <c r="AX39" s="309">
        <f t="shared" si="25"/>
        <v>7758.32</v>
      </c>
      <c r="AY39" s="310">
        <f t="shared" si="26"/>
        <v>0.15</v>
      </c>
      <c r="AZ39" s="309">
        <f t="shared" si="27"/>
        <v>33919.81</v>
      </c>
      <c r="BA39" s="309">
        <f t="shared" si="28"/>
        <v>4382.38</v>
      </c>
      <c r="BB39" s="310">
        <f t="shared" si="29"/>
        <v>7.4999999999999997E-2</v>
      </c>
      <c r="BC39" s="309">
        <f t="shared" si="40"/>
        <v>24511.93</v>
      </c>
      <c r="BD39" s="309">
        <f t="shared" si="31"/>
        <v>1838.39</v>
      </c>
      <c r="BE39" s="310">
        <f t="shared" si="32"/>
        <v>0</v>
      </c>
      <c r="BF39" s="309">
        <f t="shared" si="33"/>
        <v>0</v>
      </c>
      <c r="BG39" s="309">
        <f t="shared" si="34"/>
        <v>0</v>
      </c>
      <c r="BH39" s="309">
        <f t="shared" si="35"/>
        <v>16754.34</v>
      </c>
      <c r="BI39" s="159">
        <f t="shared" si="35"/>
        <v>45444</v>
      </c>
      <c r="BK39" s="325"/>
      <c r="BM39" s="160" t="s">
        <v>42</v>
      </c>
      <c r="BN39" s="355">
        <v>34304</v>
      </c>
      <c r="BO39" s="34">
        <v>137.37</v>
      </c>
      <c r="BP39" s="278">
        <f t="shared" si="38"/>
        <v>0.36689233457086701</v>
      </c>
      <c r="BQ39" s="312">
        <f t="shared" si="3"/>
        <v>7.0317423133674029E-3</v>
      </c>
      <c r="BS39" s="31" t="s">
        <v>44</v>
      </c>
      <c r="BT39" s="168">
        <v>34304</v>
      </c>
      <c r="BU39" s="32">
        <v>0.01</v>
      </c>
      <c r="BV39" s="311">
        <f t="shared" si="4"/>
        <v>4.2902999999999958</v>
      </c>
      <c r="BX39" s="169" t="s">
        <v>44</v>
      </c>
      <c r="BY39" s="290">
        <v>34304</v>
      </c>
      <c r="BZ39" s="33">
        <v>0.01</v>
      </c>
      <c r="CA39" s="162">
        <f t="shared" si="5"/>
        <v>3.5825419999999943</v>
      </c>
      <c r="CC39" s="168">
        <v>34608</v>
      </c>
      <c r="CD39" s="173">
        <v>0.63080000000000003</v>
      </c>
      <c r="CF39" s="31" t="s">
        <v>42</v>
      </c>
      <c r="CG39" s="168">
        <v>34304</v>
      </c>
      <c r="CH39" s="34">
        <v>137.37</v>
      </c>
      <c r="CI39" s="361">
        <f t="shared" si="39"/>
        <v>0.36689233457086701</v>
      </c>
      <c r="CJ39" s="312">
        <f t="shared" si="7"/>
        <v>6.0326126519612781E-3</v>
      </c>
      <c r="CL39" s="325"/>
      <c r="CN39" s="315">
        <f t="shared" si="8"/>
        <v>34304</v>
      </c>
      <c r="CO39" s="312">
        <f t="shared" si="9"/>
        <v>6.0326126519612781E-3</v>
      </c>
      <c r="CQ39" s="315">
        <f t="shared" si="10"/>
        <v>34304</v>
      </c>
      <c r="CR39" s="316">
        <f t="shared" si="11"/>
        <v>4.2902999999999958</v>
      </c>
      <c r="CT39" s="325"/>
      <c r="CW39" s="654" t="s">
        <v>346</v>
      </c>
      <c r="CX39" s="242" t="str">
        <f t="shared" si="37"/>
        <v>Menu de conta de usuário</v>
      </c>
    </row>
    <row r="40" spans="2:102" ht="15" customHeight="1">
      <c r="B40" s="163">
        <v>37561</v>
      </c>
      <c r="C40" s="165">
        <v>200</v>
      </c>
      <c r="D40" s="274">
        <f t="shared" si="12"/>
        <v>37561</v>
      </c>
      <c r="E40" s="275">
        <f t="shared" si="13"/>
        <v>200</v>
      </c>
      <c r="G40" s="163">
        <v>37926</v>
      </c>
      <c r="H40" s="163">
        <v>37956</v>
      </c>
      <c r="I40" s="164">
        <v>1.776E-3</v>
      </c>
      <c r="J40" s="159">
        <f t="shared" si="14"/>
        <v>37956</v>
      </c>
      <c r="K40" s="278">
        <f t="shared" si="15"/>
        <v>1.776E-3</v>
      </c>
      <c r="M40" s="290">
        <v>36069</v>
      </c>
      <c r="N40" s="290">
        <v>36100</v>
      </c>
      <c r="O40" s="291">
        <v>5.0000000000000001E-3</v>
      </c>
      <c r="P40" s="159">
        <f t="shared" si="0"/>
        <v>36069</v>
      </c>
      <c r="Q40" s="291">
        <v>5.0000000000000001E-3</v>
      </c>
      <c r="S40" s="163">
        <v>36100</v>
      </c>
      <c r="T40" s="164">
        <v>2.63E-2</v>
      </c>
      <c r="U40" s="159">
        <f t="shared" si="16"/>
        <v>36100</v>
      </c>
      <c r="V40" s="285">
        <f t="shared" si="17"/>
        <v>2.63E-2</v>
      </c>
      <c r="X40" s="165">
        <v>2024</v>
      </c>
      <c r="Y40" s="165" t="s">
        <v>326</v>
      </c>
      <c r="Z40" s="164">
        <v>0.27500000000000002</v>
      </c>
      <c r="AA40" s="307">
        <v>55976.160000000003</v>
      </c>
      <c r="AB40" s="307">
        <v>10740.98</v>
      </c>
      <c r="AC40" s="164">
        <v>0.22500000000000001</v>
      </c>
      <c r="AD40" s="307">
        <v>45012.61</v>
      </c>
      <c r="AE40" s="307">
        <v>7942.17</v>
      </c>
      <c r="AF40" s="164">
        <v>0.15</v>
      </c>
      <c r="AG40" s="307">
        <v>33919.81</v>
      </c>
      <c r="AH40" s="307">
        <v>4566.2299999999996</v>
      </c>
      <c r="AI40" s="164">
        <v>7.4999999999999997E-2</v>
      </c>
      <c r="AJ40" s="307">
        <v>26963.21</v>
      </c>
      <c r="AK40" s="307">
        <v>2022.24</v>
      </c>
      <c r="AL40" s="164">
        <v>0</v>
      </c>
      <c r="AM40" s="165">
        <v>0</v>
      </c>
      <c r="AN40" s="165">
        <v>0</v>
      </c>
      <c r="AO40" s="307">
        <v>16754.34</v>
      </c>
      <c r="AP40" s="163">
        <v>45809</v>
      </c>
      <c r="AQ40" s="241">
        <f t="shared" si="18"/>
        <v>2024</v>
      </c>
      <c r="AR40" s="241" t="str">
        <f t="shared" si="19"/>
        <v>MOEDA</v>
      </c>
      <c r="AS40" s="310">
        <f t="shared" si="20"/>
        <v>0.27500000000000002</v>
      </c>
      <c r="AT40" s="309">
        <f t="shared" si="21"/>
        <v>55976.160000000003</v>
      </c>
      <c r="AU40" s="309">
        <f>IF(AB40="","",AB40)</f>
        <v>10740.98</v>
      </c>
      <c r="AV40" s="310">
        <f>IF(AC40="","",AC40)</f>
        <v>0.22500000000000001</v>
      </c>
      <c r="AW40" s="309">
        <f>IF(AD40="","",AD40)</f>
        <v>45012.61</v>
      </c>
      <c r="AX40" s="309">
        <f t="shared" si="25"/>
        <v>7942.17</v>
      </c>
      <c r="AY40" s="310">
        <f t="shared" si="26"/>
        <v>0.15</v>
      </c>
      <c r="AZ40" s="309">
        <f t="shared" ref="AZ40:BH40" si="41">IF(AG40="","",AG40)</f>
        <v>33919.81</v>
      </c>
      <c r="BA40" s="309">
        <f t="shared" si="41"/>
        <v>4566.2299999999996</v>
      </c>
      <c r="BB40" s="310">
        <f t="shared" si="41"/>
        <v>7.4999999999999997E-2</v>
      </c>
      <c r="BC40" s="309">
        <f t="shared" si="41"/>
        <v>26963.21</v>
      </c>
      <c r="BD40" s="309">
        <f t="shared" si="41"/>
        <v>2022.24</v>
      </c>
      <c r="BE40" s="310">
        <f t="shared" si="41"/>
        <v>0</v>
      </c>
      <c r="BF40" s="309">
        <f t="shared" si="41"/>
        <v>0</v>
      </c>
      <c r="BG40" s="309">
        <f t="shared" si="41"/>
        <v>0</v>
      </c>
      <c r="BH40" s="309">
        <f t="shared" si="41"/>
        <v>16754.34</v>
      </c>
      <c r="BI40" s="159">
        <f t="shared" si="35"/>
        <v>45809</v>
      </c>
      <c r="BK40" s="325"/>
      <c r="BM40" s="160" t="s">
        <v>42</v>
      </c>
      <c r="BN40" s="355">
        <v>34335</v>
      </c>
      <c r="BO40" s="34">
        <v>187.77</v>
      </c>
      <c r="BP40" s="278">
        <f t="shared" si="38"/>
        <v>0.39170261490120883</v>
      </c>
      <c r="BQ40" s="312">
        <f t="shared" si="3"/>
        <v>5.1443278563523464E-3</v>
      </c>
      <c r="BS40" s="31" t="s">
        <v>44</v>
      </c>
      <c r="BT40" s="168">
        <v>34335</v>
      </c>
      <c r="BU40" s="32">
        <v>0.01</v>
      </c>
      <c r="BV40" s="311">
        <f t="shared" si="4"/>
        <v>4.280299999999996</v>
      </c>
      <c r="BX40" s="169" t="s">
        <v>44</v>
      </c>
      <c r="BY40" s="290">
        <v>34335</v>
      </c>
      <c r="BZ40" s="33">
        <v>0.01</v>
      </c>
      <c r="CA40" s="162">
        <f t="shared" si="5"/>
        <v>3.5725419999999946</v>
      </c>
      <c r="CC40" s="168">
        <v>34639</v>
      </c>
      <c r="CD40" s="173">
        <v>0.64280000000000004</v>
      </c>
      <c r="CF40" s="31" t="s">
        <v>42</v>
      </c>
      <c r="CG40" s="168">
        <v>34335</v>
      </c>
      <c r="CH40" s="34">
        <v>187.77</v>
      </c>
      <c r="CI40" s="361">
        <f t="shared" si="39"/>
        <v>0.39170261490120883</v>
      </c>
      <c r="CJ40" s="312">
        <f t="shared" si="7"/>
        <v>4.413378068913675E-3</v>
      </c>
      <c r="CL40" s="325"/>
      <c r="CN40" s="315">
        <f t="shared" si="8"/>
        <v>34335</v>
      </c>
      <c r="CO40" s="312">
        <f t="shared" si="9"/>
        <v>4.413378068913675E-3</v>
      </c>
      <c r="CQ40" s="315">
        <f t="shared" si="10"/>
        <v>34335</v>
      </c>
      <c r="CR40" s="316">
        <f t="shared" si="11"/>
        <v>4.280299999999996</v>
      </c>
      <c r="CT40" s="325"/>
      <c r="CW40"/>
      <c r="CX40" s="242" t="str">
        <f t="shared" si="37"/>
        <v/>
      </c>
    </row>
    <row r="41" spans="2:102" ht="15" customHeight="1">
      <c r="B41" s="163">
        <v>37591</v>
      </c>
      <c r="C41" s="165">
        <v>200</v>
      </c>
      <c r="D41" s="274">
        <f t="shared" si="12"/>
        <v>37591</v>
      </c>
      <c r="E41" s="275">
        <f t="shared" si="13"/>
        <v>200</v>
      </c>
      <c r="G41" s="163">
        <v>37956</v>
      </c>
      <c r="H41" s="163">
        <v>37987</v>
      </c>
      <c r="I41" s="164">
        <v>1.8990000000000001E-3</v>
      </c>
      <c r="J41" s="159">
        <f t="shared" si="14"/>
        <v>37987</v>
      </c>
      <c r="K41" s="278">
        <f t="shared" si="15"/>
        <v>1.8990000000000001E-3</v>
      </c>
      <c r="M41" s="290">
        <v>36100</v>
      </c>
      <c r="N41" s="290">
        <v>36130</v>
      </c>
      <c r="O41" s="291">
        <v>5.0000000000000001E-3</v>
      </c>
      <c r="P41" s="159">
        <f t="shared" si="0"/>
        <v>36100</v>
      </c>
      <c r="Q41" s="291">
        <v>5.0000000000000001E-3</v>
      </c>
      <c r="S41" s="163">
        <v>36130</v>
      </c>
      <c r="T41" s="164">
        <v>2.4E-2</v>
      </c>
      <c r="U41" s="159">
        <f t="shared" si="16"/>
        <v>36130</v>
      </c>
      <c r="V41" s="285">
        <f t="shared" si="17"/>
        <v>2.4E-2</v>
      </c>
      <c r="X41" s="165">
        <v>2025</v>
      </c>
      <c r="Y41" s="165" t="s">
        <v>326</v>
      </c>
      <c r="Z41" s="164">
        <v>0.27500000000000002</v>
      </c>
      <c r="AA41" s="307">
        <v>55976.160000000003</v>
      </c>
      <c r="AB41" s="307">
        <v>10853.78</v>
      </c>
      <c r="AC41" s="164">
        <v>0.22500000000000001</v>
      </c>
      <c r="AD41" s="307">
        <v>45012.61</v>
      </c>
      <c r="AE41" s="307">
        <v>8054.97</v>
      </c>
      <c r="AF41" s="164">
        <v>0.15</v>
      </c>
      <c r="AG41" s="307">
        <v>33919.81</v>
      </c>
      <c r="AH41" s="307">
        <v>4679.03</v>
      </c>
      <c r="AI41" s="164">
        <v>7.4999999999999997E-2</v>
      </c>
      <c r="AJ41" s="307">
        <v>28467.21</v>
      </c>
      <c r="AK41" s="307">
        <v>2135.04</v>
      </c>
      <c r="AL41" s="164">
        <v>0</v>
      </c>
      <c r="AM41" s="165">
        <v>0</v>
      </c>
      <c r="AN41" s="165">
        <v>0</v>
      </c>
      <c r="AO41" s="307">
        <v>16754.34</v>
      </c>
      <c r="AP41" s="163">
        <v>46174</v>
      </c>
      <c r="AQ41" s="241">
        <f t="shared" si="18"/>
        <v>2025</v>
      </c>
      <c r="AR41" s="241" t="str">
        <f t="shared" si="19"/>
        <v>MOEDA</v>
      </c>
      <c r="AS41" s="310">
        <f t="shared" si="20"/>
        <v>0.27500000000000002</v>
      </c>
      <c r="AT41" s="309">
        <f t="shared" si="21"/>
        <v>55976.160000000003</v>
      </c>
      <c r="AU41" s="309">
        <f t="shared" si="22"/>
        <v>10853.78</v>
      </c>
      <c r="AV41" s="310">
        <f t="shared" si="23"/>
        <v>0.22500000000000001</v>
      </c>
      <c r="AW41" s="309">
        <f t="shared" si="24"/>
        <v>45012.61</v>
      </c>
      <c r="AX41" s="309">
        <f t="shared" si="25"/>
        <v>8054.97</v>
      </c>
      <c r="AY41" s="310">
        <f t="shared" si="26"/>
        <v>0.15</v>
      </c>
      <c r="AZ41" s="309">
        <f t="shared" si="27"/>
        <v>33919.81</v>
      </c>
      <c r="BA41" s="309">
        <f t="shared" si="28"/>
        <v>4679.03</v>
      </c>
      <c r="BB41" s="310">
        <f t="shared" si="29"/>
        <v>7.4999999999999997E-2</v>
      </c>
      <c r="BC41" s="309">
        <f t="shared" si="40"/>
        <v>28467.21</v>
      </c>
      <c r="BD41" s="309">
        <f t="shared" si="31"/>
        <v>2135.04</v>
      </c>
      <c r="BE41" s="310">
        <f t="shared" si="32"/>
        <v>0</v>
      </c>
      <c r="BF41" s="309">
        <f t="shared" si="33"/>
        <v>0</v>
      </c>
      <c r="BG41" s="309">
        <f t="shared" si="34"/>
        <v>0</v>
      </c>
      <c r="BH41" s="309">
        <f t="shared" si="35"/>
        <v>16754.34</v>
      </c>
      <c r="BI41" s="159">
        <f t="shared" si="35"/>
        <v>46174</v>
      </c>
      <c r="BK41" s="325"/>
      <c r="BM41" s="160" t="s">
        <v>42</v>
      </c>
      <c r="BN41" s="355">
        <v>34366</v>
      </c>
      <c r="BO41" s="34">
        <v>261.32</v>
      </c>
      <c r="BP41" s="278">
        <f t="shared" si="38"/>
        <v>0.39698454002755246</v>
      </c>
      <c r="BQ41" s="312">
        <f t="shared" si="3"/>
        <v>3.6964275278864233E-3</v>
      </c>
      <c r="BS41" s="31" t="s">
        <v>44</v>
      </c>
      <c r="BT41" s="168">
        <v>34366</v>
      </c>
      <c r="BU41" s="32">
        <v>0.01</v>
      </c>
      <c r="BV41" s="311">
        <f t="shared" si="4"/>
        <v>4.2702999999999962</v>
      </c>
      <c r="BX41" s="169" t="s">
        <v>44</v>
      </c>
      <c r="BY41" s="290">
        <v>34366</v>
      </c>
      <c r="BZ41" s="33">
        <v>0.01</v>
      </c>
      <c r="CA41" s="162">
        <f t="shared" si="5"/>
        <v>3.5625419999999948</v>
      </c>
      <c r="CC41" s="168">
        <v>34669</v>
      </c>
      <c r="CD41" s="173">
        <v>0.66180000000000005</v>
      </c>
      <c r="CF41" s="31" t="s">
        <v>42</v>
      </c>
      <c r="CG41" s="168">
        <v>34366</v>
      </c>
      <c r="CH41" s="34">
        <v>261.32</v>
      </c>
      <c r="CI41" s="361">
        <f t="shared" si="39"/>
        <v>0.39698454002755246</v>
      </c>
      <c r="CJ41" s="312">
        <f t="shared" si="7"/>
        <v>3.1712077146790175E-3</v>
      </c>
      <c r="CL41" s="325"/>
      <c r="CN41" s="315">
        <f t="shared" si="8"/>
        <v>34366</v>
      </c>
      <c r="CO41" s="312">
        <f t="shared" si="9"/>
        <v>3.1712077146790175E-3</v>
      </c>
      <c r="CQ41" s="315">
        <f t="shared" si="10"/>
        <v>34366</v>
      </c>
      <c r="CR41" s="316">
        <f t="shared" si="11"/>
        <v>4.2702999999999962</v>
      </c>
      <c r="CT41" s="325"/>
      <c r="CW41" s="650" t="s">
        <v>347</v>
      </c>
      <c r="CX41" s="242" t="str">
        <f t="shared" si="37"/>
        <v>Acesso corporativo</v>
      </c>
    </row>
    <row r="42" spans="2:102" ht="15" customHeight="1">
      <c r="B42" s="163">
        <v>37622</v>
      </c>
      <c r="C42" s="165">
        <v>200</v>
      </c>
      <c r="D42" s="274">
        <f t="shared" si="12"/>
        <v>37622</v>
      </c>
      <c r="E42" s="275">
        <f t="shared" si="13"/>
        <v>200</v>
      </c>
      <c r="G42" s="163">
        <v>37987</v>
      </c>
      <c r="H42" s="163">
        <v>38018</v>
      </c>
      <c r="I42" s="164">
        <v>1.2800000000000001E-3</v>
      </c>
      <c r="J42" s="159">
        <f t="shared" si="14"/>
        <v>38018</v>
      </c>
      <c r="K42" s="278">
        <f t="shared" si="15"/>
        <v>1.2800000000000001E-3</v>
      </c>
      <c r="M42" s="290">
        <v>36130</v>
      </c>
      <c r="N42" s="290">
        <v>36161</v>
      </c>
      <c r="O42" s="291">
        <v>5.0000000000000001E-3</v>
      </c>
      <c r="P42" s="159">
        <f t="shared" si="0"/>
        <v>36130</v>
      </c>
      <c r="Q42" s="291">
        <v>5.0000000000000001E-3</v>
      </c>
      <c r="S42" s="163">
        <v>36161</v>
      </c>
      <c r="T42" s="164">
        <v>2.18E-2</v>
      </c>
      <c r="U42" s="159">
        <f t="shared" si="16"/>
        <v>36161</v>
      </c>
      <c r="V42" s="285">
        <f t="shared" si="17"/>
        <v>2.18E-2</v>
      </c>
      <c r="X42" s="165" t="s">
        <v>281</v>
      </c>
      <c r="Y42" s="165"/>
      <c r="Z42" s="165"/>
      <c r="AA42" s="165"/>
      <c r="AB42" s="165"/>
      <c r="AC42" s="165"/>
      <c r="AD42" s="165"/>
      <c r="AE42" s="165"/>
      <c r="AF42" s="165"/>
      <c r="AG42" s="165"/>
      <c r="AH42" s="165"/>
      <c r="AI42" s="165"/>
      <c r="AJ42" s="165"/>
      <c r="AK42" s="165"/>
      <c r="AL42" s="165"/>
      <c r="AM42" s="165"/>
      <c r="AN42" s="165"/>
      <c r="AO42" s="165"/>
      <c r="AP42" s="165"/>
      <c r="AQ42" s="241" t="str">
        <f t="shared" si="18"/>
        <v xml:space="preserve"> </v>
      </c>
      <c r="AR42" s="241" t="str">
        <f t="shared" si="19"/>
        <v/>
      </c>
      <c r="AS42" s="310" t="str">
        <f t="shared" si="20"/>
        <v/>
      </c>
      <c r="AT42" s="309" t="str">
        <f t="shared" si="21"/>
        <v/>
      </c>
      <c r="AU42" s="309" t="str">
        <f t="shared" si="22"/>
        <v/>
      </c>
      <c r="AV42" s="310" t="str">
        <f t="shared" si="23"/>
        <v/>
      </c>
      <c r="AW42" s="309" t="str">
        <f t="shared" si="24"/>
        <v/>
      </c>
      <c r="AX42" s="309" t="str">
        <f t="shared" si="25"/>
        <v/>
      </c>
      <c r="AY42" s="310" t="str">
        <f t="shared" si="26"/>
        <v/>
      </c>
      <c r="AZ42" s="309" t="str">
        <f t="shared" si="27"/>
        <v/>
      </c>
      <c r="BA42" s="309" t="str">
        <f t="shared" si="28"/>
        <v/>
      </c>
      <c r="BB42" s="310" t="str">
        <f t="shared" si="29"/>
        <v/>
      </c>
      <c r="BC42" s="309" t="str">
        <f t="shared" si="40"/>
        <v/>
      </c>
      <c r="BD42" s="309" t="str">
        <f t="shared" si="31"/>
        <v/>
      </c>
      <c r="BE42" s="310" t="str">
        <f t="shared" si="32"/>
        <v/>
      </c>
      <c r="BF42" s="309" t="str">
        <f t="shared" si="33"/>
        <v/>
      </c>
      <c r="BG42" s="309" t="str">
        <f t="shared" si="34"/>
        <v/>
      </c>
      <c r="BH42" s="309" t="str">
        <f t="shared" si="35"/>
        <v/>
      </c>
      <c r="BI42" s="159" t="str">
        <f t="shared" si="35"/>
        <v/>
      </c>
      <c r="BK42" s="325"/>
      <c r="BM42" s="160" t="s">
        <v>42</v>
      </c>
      <c r="BN42" s="355">
        <v>34394</v>
      </c>
      <c r="BO42" s="34">
        <v>365.06</v>
      </c>
      <c r="BP42" s="278">
        <f t="shared" si="38"/>
        <v>0.43631183914972888</v>
      </c>
      <c r="BQ42" s="312">
        <f t="shared" si="3"/>
        <v>2.6460046063312335E-3</v>
      </c>
      <c r="BS42" s="31" t="s">
        <v>44</v>
      </c>
      <c r="BT42" s="168">
        <v>34394</v>
      </c>
      <c r="BU42" s="32">
        <v>0.01</v>
      </c>
      <c r="BV42" s="311">
        <f t="shared" si="4"/>
        <v>4.2602999999999964</v>
      </c>
      <c r="BX42" s="169" t="s">
        <v>44</v>
      </c>
      <c r="BY42" s="290">
        <v>34394</v>
      </c>
      <c r="BZ42" s="33">
        <v>0.01</v>
      </c>
      <c r="CA42" s="162">
        <f t="shared" si="5"/>
        <v>3.552541999999995</v>
      </c>
      <c r="CC42" s="168">
        <v>34700</v>
      </c>
      <c r="CD42" s="173">
        <v>0.67669999999999997</v>
      </c>
      <c r="CF42" s="31" t="s">
        <v>42</v>
      </c>
      <c r="CG42" s="168">
        <v>34394</v>
      </c>
      <c r="CH42" s="34">
        <v>365.06</v>
      </c>
      <c r="CI42" s="361">
        <f t="shared" si="39"/>
        <v>0.43631183914972888</v>
      </c>
      <c r="CJ42" s="312">
        <f t="shared" si="7"/>
        <v>2.2700378020049329E-3</v>
      </c>
      <c r="CL42" s="325"/>
      <c r="CN42" s="315">
        <f t="shared" si="8"/>
        <v>34394</v>
      </c>
      <c r="CO42" s="312">
        <f t="shared" si="9"/>
        <v>2.2700378020049329E-3</v>
      </c>
      <c r="CQ42" s="315">
        <f t="shared" si="10"/>
        <v>34394</v>
      </c>
      <c r="CR42" s="316">
        <f t="shared" si="11"/>
        <v>4.2602999999999964</v>
      </c>
      <c r="CT42" s="325"/>
      <c r="CW42"/>
      <c r="CX42" s="242" t="str">
        <f t="shared" si="37"/>
        <v/>
      </c>
    </row>
    <row r="43" spans="2:102" ht="15" customHeight="1">
      <c r="B43" s="163">
        <v>37653</v>
      </c>
      <c r="C43" s="165">
        <v>200</v>
      </c>
      <c r="D43" s="274">
        <f t="shared" si="12"/>
        <v>37653</v>
      </c>
      <c r="E43" s="275">
        <f t="shared" si="13"/>
        <v>200</v>
      </c>
      <c r="G43" s="163">
        <v>38018</v>
      </c>
      <c r="H43" s="163">
        <v>38047</v>
      </c>
      <c r="I43" s="164">
        <v>4.5800000000000002E-4</v>
      </c>
      <c r="J43" s="159">
        <f t="shared" si="14"/>
        <v>38047</v>
      </c>
      <c r="K43" s="278">
        <f t="shared" si="15"/>
        <v>4.5800000000000002E-4</v>
      </c>
      <c r="M43" s="290">
        <v>36161</v>
      </c>
      <c r="N43" s="290">
        <v>36192</v>
      </c>
      <c r="O43" s="291">
        <v>5.0000000000000001E-3</v>
      </c>
      <c r="P43" s="159">
        <f t="shared" si="0"/>
        <v>36161</v>
      </c>
      <c r="Q43" s="291">
        <v>5.0000000000000001E-3</v>
      </c>
      <c r="S43" s="163">
        <v>36192</v>
      </c>
      <c r="T43" s="164">
        <v>2.3800000000000002E-2</v>
      </c>
      <c r="U43" s="159">
        <f t="shared" si="16"/>
        <v>36192</v>
      </c>
      <c r="V43" s="285">
        <f t="shared" si="17"/>
        <v>2.3800000000000002E-2</v>
      </c>
      <c r="X43" s="283"/>
      <c r="Y43" s="283"/>
      <c r="Z43" s="283"/>
      <c r="AA43" s="283"/>
      <c r="AB43" s="283"/>
      <c r="AC43" s="283"/>
      <c r="AD43" s="283"/>
      <c r="AE43" s="283"/>
      <c r="AF43" s="283"/>
      <c r="AG43" s="283"/>
      <c r="AH43" s="283"/>
      <c r="AI43" s="283"/>
      <c r="AJ43" s="283"/>
      <c r="AK43" s="283"/>
      <c r="AL43" s="283"/>
      <c r="AM43" s="283"/>
      <c r="AN43" s="283"/>
      <c r="AO43" s="283"/>
      <c r="AP43" s="283"/>
      <c r="AQ43" s="241" t="str">
        <f t="shared" si="18"/>
        <v/>
      </c>
      <c r="AR43" s="241" t="str">
        <f t="shared" si="19"/>
        <v/>
      </c>
      <c r="AS43" s="310" t="str">
        <f t="shared" si="20"/>
        <v/>
      </c>
      <c r="AT43" s="309" t="str">
        <f t="shared" si="21"/>
        <v/>
      </c>
      <c r="AU43" s="309" t="str">
        <f t="shared" si="22"/>
        <v/>
      </c>
      <c r="AV43" s="310" t="str">
        <f t="shared" si="23"/>
        <v/>
      </c>
      <c r="AW43" s="309" t="str">
        <f t="shared" si="24"/>
        <v/>
      </c>
      <c r="AX43" s="309" t="str">
        <f t="shared" si="25"/>
        <v/>
      </c>
      <c r="AY43" s="310" t="str">
        <f t="shared" si="26"/>
        <v/>
      </c>
      <c r="AZ43" s="309" t="str">
        <f t="shared" si="27"/>
        <v/>
      </c>
      <c r="BA43" s="309" t="str">
        <f t="shared" si="28"/>
        <v/>
      </c>
      <c r="BB43" s="310" t="str">
        <f t="shared" si="29"/>
        <v/>
      </c>
      <c r="BC43" s="309" t="str">
        <f t="shared" si="40"/>
        <v/>
      </c>
      <c r="BD43" s="309" t="str">
        <f t="shared" si="31"/>
        <v/>
      </c>
      <c r="BE43" s="310" t="str">
        <f t="shared" si="32"/>
        <v/>
      </c>
      <c r="BF43" s="309" t="str">
        <f t="shared" si="33"/>
        <v/>
      </c>
      <c r="BG43" s="309" t="str">
        <f t="shared" si="34"/>
        <v/>
      </c>
      <c r="BH43" s="309" t="str">
        <f t="shared" si="35"/>
        <v/>
      </c>
      <c r="BI43" s="159" t="str">
        <f t="shared" si="35"/>
        <v/>
      </c>
      <c r="BK43" s="325"/>
      <c r="BM43" s="160" t="s">
        <v>42</v>
      </c>
      <c r="BN43" s="355">
        <v>34425</v>
      </c>
      <c r="BO43" s="34">
        <v>524.34</v>
      </c>
      <c r="BP43" s="278">
        <f t="shared" si="38"/>
        <v>0.41249952321013073</v>
      </c>
      <c r="BQ43" s="312">
        <f t="shared" si="3"/>
        <v>1.8422215386720067E-3</v>
      </c>
      <c r="BS43" s="31" t="s">
        <v>44</v>
      </c>
      <c r="BT43" s="168">
        <v>34425</v>
      </c>
      <c r="BU43" s="32">
        <v>0.01</v>
      </c>
      <c r="BV43" s="311">
        <f t="shared" si="4"/>
        <v>4.2502999999999966</v>
      </c>
      <c r="BX43" s="169" t="s">
        <v>44</v>
      </c>
      <c r="BY43" s="290">
        <v>34425</v>
      </c>
      <c r="BZ43" s="33">
        <v>0.01</v>
      </c>
      <c r="CA43" s="162">
        <f t="shared" si="5"/>
        <v>3.5425419999999952</v>
      </c>
      <c r="CC43" s="168">
        <v>34731</v>
      </c>
      <c r="CD43" s="173">
        <v>0.67669999999999997</v>
      </c>
      <c r="CF43" s="31" t="s">
        <v>42</v>
      </c>
      <c r="CG43" s="168">
        <v>34425</v>
      </c>
      <c r="CH43" s="34">
        <v>524.34</v>
      </c>
      <c r="CI43" s="361">
        <f t="shared" si="39"/>
        <v>0.41249952321013073</v>
      </c>
      <c r="CJ43" s="312">
        <f t="shared" si="7"/>
        <v>1.5804630583207855E-3</v>
      </c>
      <c r="CL43" s="325"/>
      <c r="CN43" s="315">
        <f t="shared" si="8"/>
        <v>34425</v>
      </c>
      <c r="CO43" s="312">
        <f t="shared" si="9"/>
        <v>1.5804630583207855E-3</v>
      </c>
      <c r="CQ43" s="315">
        <f t="shared" si="10"/>
        <v>34425</v>
      </c>
      <c r="CR43" s="316">
        <f t="shared" si="11"/>
        <v>4.2502999999999966</v>
      </c>
      <c r="CT43" s="325"/>
      <c r="CW43" s="654" t="s">
        <v>348</v>
      </c>
      <c r="CX43" s="242" t="str">
        <f t="shared" si="37"/>
        <v>Usuários</v>
      </c>
    </row>
    <row r="44" spans="2:102" ht="15" customHeight="1">
      <c r="B44" s="163">
        <v>37681</v>
      </c>
      <c r="C44" s="165">
        <v>200</v>
      </c>
      <c r="D44" s="274">
        <f t="shared" si="12"/>
        <v>37681</v>
      </c>
      <c r="E44" s="275">
        <f t="shared" si="13"/>
        <v>200</v>
      </c>
      <c r="G44" s="163">
        <v>38047</v>
      </c>
      <c r="H44" s="163">
        <v>38078</v>
      </c>
      <c r="I44" s="164">
        <v>1.7780000000000001E-3</v>
      </c>
      <c r="J44" s="159">
        <f t="shared" si="14"/>
        <v>38078</v>
      </c>
      <c r="K44" s="278">
        <f t="shared" si="15"/>
        <v>1.7780000000000001E-3</v>
      </c>
      <c r="M44" s="290">
        <v>36192</v>
      </c>
      <c r="N44" s="290">
        <v>36220</v>
      </c>
      <c r="O44" s="291">
        <v>5.0000000000000001E-3</v>
      </c>
      <c r="P44" s="159">
        <f t="shared" si="0"/>
        <v>36192</v>
      </c>
      <c r="Q44" s="291">
        <v>5.0000000000000001E-3</v>
      </c>
      <c r="S44" s="163">
        <v>36220</v>
      </c>
      <c r="T44" s="164">
        <v>3.3300000000000003E-2</v>
      </c>
      <c r="U44" s="159">
        <f t="shared" si="16"/>
        <v>36220</v>
      </c>
      <c r="V44" s="285">
        <f t="shared" si="17"/>
        <v>3.3300000000000003E-2</v>
      </c>
      <c r="X44" s="283"/>
      <c r="Y44" s="283"/>
      <c r="Z44" s="283"/>
      <c r="AA44" s="283"/>
      <c r="AB44" s="283"/>
      <c r="AC44" s="283"/>
      <c r="AD44" s="283"/>
      <c r="AE44" s="283"/>
      <c r="AF44" s="283"/>
      <c r="AG44" s="283"/>
      <c r="AH44" s="283"/>
      <c r="AI44" s="283"/>
      <c r="AJ44" s="283"/>
      <c r="AK44" s="283"/>
      <c r="AL44" s="283"/>
      <c r="AM44" s="283"/>
      <c r="AN44" s="283"/>
      <c r="AO44" s="283"/>
      <c r="AP44" s="283"/>
      <c r="AQ44" s="241" t="str">
        <f t="shared" si="18"/>
        <v/>
      </c>
      <c r="AR44" s="241" t="str">
        <f t="shared" si="19"/>
        <v/>
      </c>
      <c r="AS44" s="310" t="str">
        <f t="shared" si="20"/>
        <v/>
      </c>
      <c r="AT44" s="309" t="str">
        <f t="shared" si="21"/>
        <v/>
      </c>
      <c r="AU44" s="309" t="str">
        <f t="shared" si="22"/>
        <v/>
      </c>
      <c r="AV44" s="310" t="str">
        <f t="shared" si="23"/>
        <v/>
      </c>
      <c r="AW44" s="309" t="str">
        <f t="shared" si="24"/>
        <v/>
      </c>
      <c r="AX44" s="309" t="str">
        <f t="shared" si="25"/>
        <v/>
      </c>
      <c r="AY44" s="310" t="str">
        <f t="shared" si="26"/>
        <v/>
      </c>
      <c r="AZ44" s="309" t="str">
        <f t="shared" si="27"/>
        <v/>
      </c>
      <c r="BA44" s="309" t="str">
        <f t="shared" si="28"/>
        <v/>
      </c>
      <c r="BB44" s="310" t="str">
        <f t="shared" si="29"/>
        <v/>
      </c>
      <c r="BC44" s="309" t="str">
        <f t="shared" si="40"/>
        <v/>
      </c>
      <c r="BD44" s="309" t="str">
        <f t="shared" si="31"/>
        <v/>
      </c>
      <c r="BE44" s="310" t="str">
        <f t="shared" si="32"/>
        <v/>
      </c>
      <c r="BF44" s="309" t="str">
        <f t="shared" si="33"/>
        <v/>
      </c>
      <c r="BG44" s="309" t="str">
        <f t="shared" si="34"/>
        <v/>
      </c>
      <c r="BH44" s="309" t="str">
        <f t="shared" si="35"/>
        <v/>
      </c>
      <c r="BI44" s="159" t="str">
        <f t="shared" si="35"/>
        <v/>
      </c>
      <c r="BK44" s="325"/>
      <c r="BM44" s="160" t="s">
        <v>42</v>
      </c>
      <c r="BN44" s="355">
        <v>34455</v>
      </c>
      <c r="BO44" s="34">
        <v>740.63</v>
      </c>
      <c r="BP44" s="278">
        <f t="shared" si="38"/>
        <v>0.44209659344071933</v>
      </c>
      <c r="BQ44" s="312">
        <f t="shared" si="3"/>
        <v>1.3042280782405251E-3</v>
      </c>
      <c r="BS44" s="31" t="s">
        <v>44</v>
      </c>
      <c r="BT44" s="168">
        <v>34455</v>
      </c>
      <c r="BU44" s="32">
        <v>0.01</v>
      </c>
      <c r="BV44" s="311">
        <f t="shared" si="4"/>
        <v>4.2402999999999968</v>
      </c>
      <c r="BX44" s="169" t="s">
        <v>44</v>
      </c>
      <c r="BY44" s="290">
        <v>34455</v>
      </c>
      <c r="BZ44" s="33">
        <v>0.01</v>
      </c>
      <c r="CA44" s="162">
        <f t="shared" si="5"/>
        <v>3.5325419999999954</v>
      </c>
      <c r="CC44" s="168">
        <v>34759</v>
      </c>
      <c r="CD44" s="173">
        <v>0.67669999999999997</v>
      </c>
      <c r="CF44" s="31" t="s">
        <v>42</v>
      </c>
      <c r="CG44" s="168">
        <v>34455</v>
      </c>
      <c r="CH44" s="34">
        <v>740.63</v>
      </c>
      <c r="CI44" s="361">
        <f t="shared" si="39"/>
        <v>0.44209659344071933</v>
      </c>
      <c r="CJ44" s="312">
        <f t="shared" si="7"/>
        <v>1.1189122773853622E-3</v>
      </c>
      <c r="CL44" s="325"/>
      <c r="CN44" s="315">
        <f t="shared" si="8"/>
        <v>34455</v>
      </c>
      <c r="CO44" s="312">
        <f t="shared" si="9"/>
        <v>1.1189122773853622E-3</v>
      </c>
      <c r="CQ44" s="315">
        <f t="shared" si="10"/>
        <v>34455</v>
      </c>
      <c r="CR44" s="316">
        <f t="shared" si="11"/>
        <v>4.2402999999999968</v>
      </c>
      <c r="CT44" s="325"/>
      <c r="CW44"/>
      <c r="CX44" s="242" t="str">
        <f t="shared" si="37"/>
        <v/>
      </c>
    </row>
    <row r="45" spans="2:102" ht="15" customHeight="1">
      <c r="B45" s="163">
        <v>37712</v>
      </c>
      <c r="C45" s="165">
        <v>240</v>
      </c>
      <c r="D45" s="274">
        <f t="shared" si="12"/>
        <v>37712</v>
      </c>
      <c r="E45" s="275">
        <f t="shared" si="13"/>
        <v>240</v>
      </c>
      <c r="G45" s="163">
        <v>38078</v>
      </c>
      <c r="H45" s="163">
        <v>38108</v>
      </c>
      <c r="I45" s="164">
        <v>8.7399999999999999E-4</v>
      </c>
      <c r="J45" s="159">
        <f t="shared" si="14"/>
        <v>38108</v>
      </c>
      <c r="K45" s="278">
        <f t="shared" si="15"/>
        <v>8.7399999999999999E-4</v>
      </c>
      <c r="M45" s="290">
        <v>36220</v>
      </c>
      <c r="N45" s="290">
        <v>36251</v>
      </c>
      <c r="O45" s="291">
        <v>5.0000000000000001E-3</v>
      </c>
      <c r="P45" s="159">
        <f t="shared" si="0"/>
        <v>36220</v>
      </c>
      <c r="Q45" s="291">
        <v>5.0000000000000001E-3</v>
      </c>
      <c r="S45" s="163">
        <v>36251</v>
      </c>
      <c r="T45" s="164">
        <v>2.35E-2</v>
      </c>
      <c r="U45" s="159">
        <f t="shared" si="16"/>
        <v>36251</v>
      </c>
      <c r="V45" s="285">
        <f t="shared" si="17"/>
        <v>2.35E-2</v>
      </c>
      <c r="X45" s="283"/>
      <c r="Y45" s="283"/>
      <c r="Z45" s="283"/>
      <c r="AA45" s="283"/>
      <c r="AB45" s="283"/>
      <c r="AC45" s="283"/>
      <c r="AD45" s="283"/>
      <c r="AE45" s="283"/>
      <c r="AF45" s="283"/>
      <c r="AG45" s="283"/>
      <c r="AH45" s="283"/>
      <c r="AI45" s="283"/>
      <c r="AJ45" s="283"/>
      <c r="AK45" s="283"/>
      <c r="AL45" s="283"/>
      <c r="AM45" s="283"/>
      <c r="AN45" s="283"/>
      <c r="AO45" s="283"/>
      <c r="AP45" s="283"/>
      <c r="AQ45" s="241" t="str">
        <f t="shared" si="18"/>
        <v/>
      </c>
      <c r="AR45" s="241" t="str">
        <f t="shared" si="19"/>
        <v/>
      </c>
      <c r="AS45" s="310" t="str">
        <f t="shared" si="20"/>
        <v/>
      </c>
      <c r="AT45" s="309" t="str">
        <f t="shared" si="21"/>
        <v/>
      </c>
      <c r="AU45" s="309" t="str">
        <f t="shared" si="22"/>
        <v/>
      </c>
      <c r="AV45" s="310" t="str">
        <f t="shared" si="23"/>
        <v/>
      </c>
      <c r="AW45" s="309" t="str">
        <f t="shared" si="24"/>
        <v/>
      </c>
      <c r="AX45" s="309" t="str">
        <f t="shared" si="25"/>
        <v/>
      </c>
      <c r="AY45" s="310" t="str">
        <f t="shared" si="26"/>
        <v/>
      </c>
      <c r="AZ45" s="309" t="str">
        <f t="shared" si="27"/>
        <v/>
      </c>
      <c r="BA45" s="309" t="str">
        <f t="shared" si="28"/>
        <v/>
      </c>
      <c r="BB45" s="310" t="str">
        <f t="shared" si="29"/>
        <v/>
      </c>
      <c r="BC45" s="309" t="str">
        <f t="shared" si="40"/>
        <v/>
      </c>
      <c r="BD45" s="309" t="str">
        <f t="shared" si="31"/>
        <v/>
      </c>
      <c r="BE45" s="310" t="str">
        <f t="shared" si="32"/>
        <v/>
      </c>
      <c r="BF45" s="309" t="str">
        <f t="shared" si="33"/>
        <v/>
      </c>
      <c r="BG45" s="309" t="str">
        <f t="shared" si="34"/>
        <v/>
      </c>
      <c r="BH45" s="309" t="str">
        <f t="shared" si="35"/>
        <v/>
      </c>
      <c r="BI45" s="159" t="str">
        <f t="shared" si="35"/>
        <v/>
      </c>
      <c r="BK45" s="325"/>
      <c r="BM45" s="160" t="s">
        <v>42</v>
      </c>
      <c r="BN45" s="355">
        <v>34486</v>
      </c>
      <c r="BO45" s="34">
        <v>1068.06</v>
      </c>
      <c r="BP45" s="278">
        <f t="shared" si="38"/>
        <v>-0.99947399958803818</v>
      </c>
      <c r="BQ45" s="312">
        <f t="shared" si="3"/>
        <v>9.0439717018452168E-4</v>
      </c>
      <c r="BS45" s="31" t="s">
        <v>44</v>
      </c>
      <c r="BT45" s="168">
        <v>34486</v>
      </c>
      <c r="BU45" s="32">
        <v>0.01</v>
      </c>
      <c r="BV45" s="311">
        <f t="shared" si="4"/>
        <v>4.2302999999999971</v>
      </c>
      <c r="BX45" s="169" t="s">
        <v>44</v>
      </c>
      <c r="BY45" s="290">
        <v>34486</v>
      </c>
      <c r="BZ45" s="33">
        <v>0.01</v>
      </c>
      <c r="CA45" s="162">
        <f t="shared" si="5"/>
        <v>3.5225419999999956</v>
      </c>
      <c r="CC45" s="168">
        <v>34790</v>
      </c>
      <c r="CD45" s="173">
        <v>0.70609999999999995</v>
      </c>
      <c r="CF45" s="31" t="s">
        <v>42</v>
      </c>
      <c r="CG45" s="168">
        <v>34486</v>
      </c>
      <c r="CH45" s="34">
        <v>1068.06</v>
      </c>
      <c r="CI45" s="361">
        <f t="shared" si="39"/>
        <v>-0.99947399958803818</v>
      </c>
      <c r="CJ45" s="312">
        <f t="shared" si="7"/>
        <v>7.7589274010815958E-4</v>
      </c>
      <c r="CL45" s="325"/>
      <c r="CN45" s="315">
        <f t="shared" si="8"/>
        <v>34486</v>
      </c>
      <c r="CO45" s="312">
        <f t="shared" si="9"/>
        <v>7.7589274010815958E-4</v>
      </c>
      <c r="CQ45" s="315">
        <f t="shared" si="10"/>
        <v>34486</v>
      </c>
      <c r="CR45" s="316">
        <f t="shared" si="11"/>
        <v>4.2302999999999971</v>
      </c>
      <c r="CT45" s="325"/>
      <c r="CW45" s="655" t="s">
        <v>349</v>
      </c>
      <c r="CX45" s="242" t="str">
        <f t="shared" si="37"/>
        <v>Acesso aos sistemas processuais</v>
      </c>
    </row>
    <row r="46" spans="2:102" ht="15" customHeight="1">
      <c r="B46" s="163">
        <v>37742</v>
      </c>
      <c r="C46" s="165">
        <v>240</v>
      </c>
      <c r="D46" s="274">
        <f t="shared" si="12"/>
        <v>37742</v>
      </c>
      <c r="E46" s="275">
        <f t="shared" si="13"/>
        <v>240</v>
      </c>
      <c r="G46" s="163">
        <v>38108</v>
      </c>
      <c r="H46" s="163">
        <v>38139</v>
      </c>
      <c r="I46" s="164">
        <v>1.5460000000000001E-3</v>
      </c>
      <c r="J46" s="159">
        <f t="shared" si="14"/>
        <v>38139</v>
      </c>
      <c r="K46" s="278">
        <f t="shared" si="15"/>
        <v>1.5460000000000001E-3</v>
      </c>
      <c r="M46" s="290">
        <v>36251</v>
      </c>
      <c r="N46" s="290">
        <v>36281</v>
      </c>
      <c r="O46" s="291">
        <v>5.0000000000000001E-3</v>
      </c>
      <c r="P46" s="159">
        <f t="shared" si="0"/>
        <v>36251</v>
      </c>
      <c r="Q46" s="291">
        <v>5.0000000000000001E-3</v>
      </c>
      <c r="S46" s="163">
        <v>36281</v>
      </c>
      <c r="T46" s="164">
        <v>2.0199999999999999E-2</v>
      </c>
      <c r="U46" s="159">
        <f t="shared" si="16"/>
        <v>36281</v>
      </c>
      <c r="V46" s="285">
        <f t="shared" si="17"/>
        <v>2.0199999999999999E-2</v>
      </c>
      <c r="X46" s="283"/>
      <c r="Y46" s="283"/>
      <c r="Z46" s="283"/>
      <c r="AA46" s="283"/>
      <c r="AB46" s="283"/>
      <c r="AC46" s="283"/>
      <c r="AD46" s="283"/>
      <c r="AE46" s="283"/>
      <c r="AF46" s="283"/>
      <c r="AG46" s="283"/>
      <c r="AH46" s="283"/>
      <c r="AI46" s="283"/>
      <c r="AJ46" s="283"/>
      <c r="AK46" s="283"/>
      <c r="AL46" s="283"/>
      <c r="AM46" s="283"/>
      <c r="AN46" s="283"/>
      <c r="AO46" s="283"/>
      <c r="AP46" s="283"/>
      <c r="AQ46" s="241" t="str">
        <f t="shared" si="18"/>
        <v/>
      </c>
      <c r="AR46" s="241" t="str">
        <f t="shared" si="19"/>
        <v/>
      </c>
      <c r="AS46" s="310" t="str">
        <f t="shared" si="20"/>
        <v/>
      </c>
      <c r="AT46" s="309" t="str">
        <f t="shared" si="21"/>
        <v/>
      </c>
      <c r="AU46" s="309" t="str">
        <f t="shared" si="22"/>
        <v/>
      </c>
      <c r="AV46" s="310" t="str">
        <f t="shared" si="23"/>
        <v/>
      </c>
      <c r="AW46" s="309" t="str">
        <f t="shared" si="24"/>
        <v/>
      </c>
      <c r="AX46" s="309" t="str">
        <f t="shared" si="25"/>
        <v/>
      </c>
      <c r="AY46" s="310" t="str">
        <f t="shared" si="26"/>
        <v/>
      </c>
      <c r="AZ46" s="309" t="str">
        <f t="shared" si="27"/>
        <v/>
      </c>
      <c r="BA46" s="309" t="str">
        <f t="shared" si="28"/>
        <v/>
      </c>
      <c r="BB46" s="310" t="str">
        <f t="shared" si="29"/>
        <v/>
      </c>
      <c r="BC46" s="309" t="str">
        <f t="shared" si="40"/>
        <v/>
      </c>
      <c r="BD46" s="309" t="str">
        <f t="shared" si="31"/>
        <v/>
      </c>
      <c r="BE46" s="310" t="str">
        <f t="shared" si="32"/>
        <v/>
      </c>
      <c r="BF46" s="309" t="str">
        <f t="shared" si="33"/>
        <v/>
      </c>
      <c r="BG46" s="309" t="str">
        <f t="shared" si="34"/>
        <v/>
      </c>
      <c r="BH46" s="309" t="str">
        <f t="shared" si="35"/>
        <v/>
      </c>
      <c r="BI46" s="159" t="str">
        <f t="shared" si="35"/>
        <v/>
      </c>
      <c r="BK46" s="325"/>
      <c r="BM46" s="160" t="s">
        <v>42</v>
      </c>
      <c r="BN46" s="355">
        <v>34516</v>
      </c>
      <c r="BO46" s="34">
        <v>0.56179999999999997</v>
      </c>
      <c r="BP46" s="278">
        <f t="shared" si="38"/>
        <v>5.2153791384834454E-2</v>
      </c>
      <c r="BQ46" s="312">
        <f t="shared" si="3"/>
        <v>1.7193849084858894</v>
      </c>
      <c r="BS46" s="31" t="s">
        <v>44</v>
      </c>
      <c r="BT46" s="168">
        <v>34516</v>
      </c>
      <c r="BU46" s="32">
        <v>0.01</v>
      </c>
      <c r="BV46" s="311">
        <f t="shared" si="4"/>
        <v>4.2202999999999973</v>
      </c>
      <c r="BX46" s="169" t="s">
        <v>44</v>
      </c>
      <c r="BY46" s="290">
        <v>34516</v>
      </c>
      <c r="BZ46" s="33">
        <v>0.01</v>
      </c>
      <c r="CA46" s="162">
        <f t="shared" si="5"/>
        <v>3.5125419999999958</v>
      </c>
      <c r="CC46" s="168">
        <v>34820</v>
      </c>
      <c r="CD46" s="173">
        <v>0.70609999999999995</v>
      </c>
      <c r="CF46" s="31" t="s">
        <v>42</v>
      </c>
      <c r="CG46" s="168">
        <v>34516</v>
      </c>
      <c r="CH46" s="34">
        <v>0.56179999999999997</v>
      </c>
      <c r="CI46" s="361">
        <f t="shared" si="39"/>
        <v>5.2153791384834454E-2</v>
      </c>
      <c r="CJ46" s="312">
        <f t="shared" si="7"/>
        <v>1.4750800996796016</v>
      </c>
      <c r="CL46" s="325"/>
      <c r="CN46" s="315">
        <f t="shared" si="8"/>
        <v>34516</v>
      </c>
      <c r="CO46" s="312">
        <f t="shared" si="9"/>
        <v>1.4750800996796016</v>
      </c>
      <c r="CQ46" s="315">
        <f t="shared" si="10"/>
        <v>34516</v>
      </c>
      <c r="CR46" s="316">
        <f t="shared" si="11"/>
        <v>4.2202999999999973</v>
      </c>
      <c r="CT46" s="325"/>
      <c r="CW46"/>
      <c r="CX46" s="242" t="str">
        <f t="shared" si="37"/>
        <v/>
      </c>
    </row>
    <row r="47" spans="2:102" ht="15" customHeight="1">
      <c r="B47" s="163">
        <v>37773</v>
      </c>
      <c r="C47" s="165">
        <v>240</v>
      </c>
      <c r="D47" s="274">
        <f t="shared" si="12"/>
        <v>37773</v>
      </c>
      <c r="E47" s="275">
        <f t="shared" si="13"/>
        <v>240</v>
      </c>
      <c r="G47" s="163">
        <v>38139</v>
      </c>
      <c r="H47" s="163">
        <v>38169</v>
      </c>
      <c r="I47" s="164">
        <v>1.761E-3</v>
      </c>
      <c r="J47" s="159">
        <f t="shared" si="14"/>
        <v>38169</v>
      </c>
      <c r="K47" s="278">
        <f t="shared" si="15"/>
        <v>1.761E-3</v>
      </c>
      <c r="M47" s="290">
        <v>36281</v>
      </c>
      <c r="N47" s="290">
        <v>36312</v>
      </c>
      <c r="O47" s="291">
        <v>5.0000000000000001E-3</v>
      </c>
      <c r="P47" s="159">
        <f t="shared" si="0"/>
        <v>36281</v>
      </c>
      <c r="Q47" s="291">
        <v>5.0000000000000001E-3</v>
      </c>
      <c r="S47" s="163">
        <v>36312</v>
      </c>
      <c r="T47" s="164">
        <v>1.67E-2</v>
      </c>
      <c r="U47" s="159">
        <f t="shared" si="16"/>
        <v>36312</v>
      </c>
      <c r="V47" s="285">
        <f t="shared" si="17"/>
        <v>1.67E-2</v>
      </c>
      <c r="X47" s="283"/>
      <c r="Y47" s="283"/>
      <c r="Z47" s="283"/>
      <c r="AA47" s="283"/>
      <c r="AB47" s="283"/>
      <c r="AC47" s="283"/>
      <c r="AD47" s="283"/>
      <c r="AE47" s="283"/>
      <c r="AF47" s="283"/>
      <c r="AG47" s="283"/>
      <c r="AH47" s="283"/>
      <c r="AI47" s="283"/>
      <c r="AJ47" s="283"/>
      <c r="AK47" s="283"/>
      <c r="AL47" s="283"/>
      <c r="AM47" s="283"/>
      <c r="AN47" s="283"/>
      <c r="AO47" s="283"/>
      <c r="AP47" s="283"/>
      <c r="AQ47" s="241" t="str">
        <f t="shared" si="18"/>
        <v/>
      </c>
      <c r="AR47" s="241" t="str">
        <f t="shared" si="19"/>
        <v/>
      </c>
      <c r="AS47" s="310" t="str">
        <f t="shared" si="20"/>
        <v/>
      </c>
      <c r="AT47" s="309" t="str">
        <f t="shared" si="21"/>
        <v/>
      </c>
      <c r="AU47" s="309" t="str">
        <f t="shared" si="22"/>
        <v/>
      </c>
      <c r="AV47" s="310" t="str">
        <f t="shared" si="23"/>
        <v/>
      </c>
      <c r="AW47" s="309" t="str">
        <f t="shared" si="24"/>
        <v/>
      </c>
      <c r="AX47" s="309" t="str">
        <f t="shared" si="25"/>
        <v/>
      </c>
      <c r="AY47" s="310" t="str">
        <f t="shared" si="26"/>
        <v/>
      </c>
      <c r="AZ47" s="309" t="str">
        <f t="shared" si="27"/>
        <v/>
      </c>
      <c r="BA47" s="309" t="str">
        <f t="shared" si="28"/>
        <v/>
      </c>
      <c r="BB47" s="310" t="str">
        <f t="shared" si="29"/>
        <v/>
      </c>
      <c r="BC47" s="309" t="str">
        <f t="shared" si="40"/>
        <v/>
      </c>
      <c r="BD47" s="309" t="str">
        <f t="shared" si="31"/>
        <v/>
      </c>
      <c r="BE47" s="310" t="str">
        <f t="shared" si="32"/>
        <v/>
      </c>
      <c r="BF47" s="309" t="str">
        <f t="shared" si="33"/>
        <v/>
      </c>
      <c r="BG47" s="309" t="str">
        <f t="shared" si="34"/>
        <v/>
      </c>
      <c r="BH47" s="309" t="str">
        <f t="shared" si="35"/>
        <v/>
      </c>
      <c r="BI47" s="159" t="str">
        <f t="shared" si="35"/>
        <v/>
      </c>
      <c r="BK47" s="325"/>
      <c r="BM47" s="160" t="s">
        <v>42</v>
      </c>
      <c r="BN47" s="355">
        <v>34547</v>
      </c>
      <c r="BO47" s="34">
        <v>0.59109999999999996</v>
      </c>
      <c r="BP47" s="278">
        <f t="shared" si="38"/>
        <v>5.0076129250549946E-2</v>
      </c>
      <c r="BQ47" s="312">
        <f t="shared" si="3"/>
        <v>1.6341574041403699</v>
      </c>
      <c r="BS47" s="31" t="s">
        <v>44</v>
      </c>
      <c r="BT47" s="168">
        <v>34547</v>
      </c>
      <c r="BU47" s="32">
        <v>0.01</v>
      </c>
      <c r="BV47" s="311">
        <f t="shared" si="4"/>
        <v>4.2102999999999975</v>
      </c>
      <c r="BX47" s="169" t="s">
        <v>44</v>
      </c>
      <c r="BY47" s="290">
        <v>34547</v>
      </c>
      <c r="BZ47" s="33">
        <v>0.01</v>
      </c>
      <c r="CA47" s="162">
        <f t="shared" si="5"/>
        <v>3.502541999999996</v>
      </c>
      <c r="CC47" s="168">
        <v>34851</v>
      </c>
      <c r="CD47" s="173">
        <v>0.70609999999999995</v>
      </c>
      <c r="CF47" s="31" t="s">
        <v>42</v>
      </c>
      <c r="CG47" s="168">
        <v>34547</v>
      </c>
      <c r="CH47" s="34">
        <v>0.59109999999999996</v>
      </c>
      <c r="CI47" s="361">
        <f t="shared" si="39"/>
        <v>5.0076129250549946E-2</v>
      </c>
      <c r="CJ47" s="312">
        <f t="shared" si="7"/>
        <v>1.4019624429030624</v>
      </c>
      <c r="CL47" s="325"/>
      <c r="CN47" s="315">
        <f t="shared" si="8"/>
        <v>34547</v>
      </c>
      <c r="CO47" s="312">
        <f t="shared" si="9"/>
        <v>1.4019624429030624</v>
      </c>
      <c r="CQ47" s="315">
        <f t="shared" si="10"/>
        <v>34547</v>
      </c>
      <c r="CR47" s="316">
        <f t="shared" si="11"/>
        <v>4.2102999999999975</v>
      </c>
      <c r="CT47" s="325"/>
      <c r="CW47" s="652" t="s">
        <v>350</v>
      </c>
      <c r="CX47" s="242" t="str">
        <f t="shared" si="37"/>
        <v>texto branco sobre fundo azul-escuro</v>
      </c>
    </row>
    <row r="48" spans="2:102" ht="15" customHeight="1">
      <c r="B48" s="163">
        <v>37803</v>
      </c>
      <c r="C48" s="165">
        <v>240</v>
      </c>
      <c r="D48" s="274">
        <f t="shared" si="12"/>
        <v>37803</v>
      </c>
      <c r="E48" s="275">
        <f t="shared" si="13"/>
        <v>240</v>
      </c>
      <c r="G48" s="163">
        <v>38169</v>
      </c>
      <c r="H48" s="163">
        <v>38200</v>
      </c>
      <c r="I48" s="164">
        <v>1.952E-3</v>
      </c>
      <c r="J48" s="159">
        <f t="shared" si="14"/>
        <v>38200</v>
      </c>
      <c r="K48" s="278">
        <f t="shared" si="15"/>
        <v>1.952E-3</v>
      </c>
      <c r="M48" s="290">
        <v>36312</v>
      </c>
      <c r="N48" s="290">
        <v>36342</v>
      </c>
      <c r="O48" s="291">
        <v>5.0000000000000001E-3</v>
      </c>
      <c r="P48" s="159">
        <f t="shared" si="0"/>
        <v>36312</v>
      </c>
      <c r="Q48" s="291">
        <v>5.0000000000000001E-3</v>
      </c>
      <c r="S48" s="163">
        <v>36342</v>
      </c>
      <c r="T48" s="164">
        <v>1.66E-2</v>
      </c>
      <c r="U48" s="159">
        <f t="shared" si="16"/>
        <v>36342</v>
      </c>
      <c r="V48" s="285">
        <f t="shared" si="17"/>
        <v>1.66E-2</v>
      </c>
      <c r="X48" s="283"/>
      <c r="Y48" s="283"/>
      <c r="Z48" s="283"/>
      <c r="AA48" s="283"/>
      <c r="AB48" s="283"/>
      <c r="AC48" s="283"/>
      <c r="AD48" s="283"/>
      <c r="AE48" s="283"/>
      <c r="AF48" s="283"/>
      <c r="AG48" s="283"/>
      <c r="AH48" s="283"/>
      <c r="AI48" s="283"/>
      <c r="AJ48" s="283"/>
      <c r="AK48" s="283"/>
      <c r="AL48" s="283"/>
      <c r="AM48" s="283"/>
      <c r="AN48" s="283"/>
      <c r="AO48" s="283"/>
      <c r="AP48" s="283"/>
      <c r="AQ48" s="241" t="str">
        <f t="shared" si="18"/>
        <v/>
      </c>
      <c r="AR48" s="241" t="str">
        <f t="shared" si="19"/>
        <v/>
      </c>
      <c r="AS48" s="310" t="str">
        <f t="shared" si="20"/>
        <v/>
      </c>
      <c r="AT48" s="309" t="str">
        <f t="shared" si="21"/>
        <v/>
      </c>
      <c r="AU48" s="309" t="str">
        <f t="shared" si="22"/>
        <v/>
      </c>
      <c r="AV48" s="310" t="str">
        <f t="shared" si="23"/>
        <v/>
      </c>
      <c r="AW48" s="309" t="str">
        <f t="shared" si="24"/>
        <v/>
      </c>
      <c r="AX48" s="309" t="str">
        <f t="shared" si="25"/>
        <v/>
      </c>
      <c r="AY48" s="310" t="str">
        <f t="shared" si="26"/>
        <v/>
      </c>
      <c r="AZ48" s="309" t="str">
        <f t="shared" si="27"/>
        <v/>
      </c>
      <c r="BA48" s="309" t="str">
        <f t="shared" si="28"/>
        <v/>
      </c>
      <c r="BB48" s="310" t="str">
        <f t="shared" si="29"/>
        <v/>
      </c>
      <c r="BC48" s="309" t="str">
        <f t="shared" si="40"/>
        <v/>
      </c>
      <c r="BD48" s="309" t="str">
        <f t="shared" si="31"/>
        <v/>
      </c>
      <c r="BE48" s="310" t="str">
        <f t="shared" si="32"/>
        <v/>
      </c>
      <c r="BF48" s="309" t="str">
        <f t="shared" si="33"/>
        <v/>
      </c>
      <c r="BG48" s="309" t="str">
        <f t="shared" si="34"/>
        <v/>
      </c>
      <c r="BH48" s="309" t="str">
        <f t="shared" si="35"/>
        <v/>
      </c>
      <c r="BI48" s="159" t="str">
        <f t="shared" si="35"/>
        <v/>
      </c>
      <c r="BK48" s="325"/>
      <c r="BM48" s="160" t="s">
        <v>42</v>
      </c>
      <c r="BN48" s="355">
        <v>34578</v>
      </c>
      <c r="BO48" s="34">
        <v>0.62070000000000003</v>
      </c>
      <c r="BP48" s="278">
        <f t="shared" si="38"/>
        <v>1.6271951023038501E-2</v>
      </c>
      <c r="BQ48" s="312">
        <f t="shared" si="3"/>
        <v>1.5562275520982318</v>
      </c>
      <c r="BS48" s="31" t="s">
        <v>44</v>
      </c>
      <c r="BT48" s="168">
        <v>34578</v>
      </c>
      <c r="BU48" s="32">
        <v>0.01</v>
      </c>
      <c r="BV48" s="311">
        <f t="shared" si="4"/>
        <v>4.2002999999999977</v>
      </c>
      <c r="BX48" s="169" t="s">
        <v>44</v>
      </c>
      <c r="BY48" s="290">
        <v>34578</v>
      </c>
      <c r="BZ48" s="33">
        <v>0.01</v>
      </c>
      <c r="CA48" s="162">
        <f t="shared" si="5"/>
        <v>3.4925419999999963</v>
      </c>
      <c r="CC48" s="168">
        <v>34881</v>
      </c>
      <c r="CD48" s="173">
        <v>0.75639999999999996</v>
      </c>
      <c r="CF48" s="31" t="s">
        <v>42</v>
      </c>
      <c r="CG48" s="168">
        <v>34578</v>
      </c>
      <c r="CH48" s="34">
        <v>0.62070000000000003</v>
      </c>
      <c r="CI48" s="361">
        <f t="shared" si="39"/>
        <v>1.6271951023038501E-2</v>
      </c>
      <c r="CJ48" s="312">
        <f t="shared" si="7"/>
        <v>1.3351055260190108</v>
      </c>
      <c r="CL48" s="325"/>
      <c r="CN48" s="315">
        <f t="shared" si="8"/>
        <v>34578</v>
      </c>
      <c r="CO48" s="312">
        <f t="shared" si="9"/>
        <v>1.3351055260190108</v>
      </c>
      <c r="CQ48" s="315">
        <f t="shared" si="10"/>
        <v>34578</v>
      </c>
      <c r="CR48" s="316">
        <f t="shared" si="11"/>
        <v>4.2002999999999977</v>
      </c>
      <c r="CT48" s="325"/>
      <c r="CW48" s="655" t="s">
        <v>351</v>
      </c>
      <c r="CX48" s="242" t="str">
        <f t="shared" si="37"/>
        <v>Balcão virtual</v>
      </c>
    </row>
    <row r="49" spans="2:102" ht="15" customHeight="1">
      <c r="B49" s="163">
        <v>37834</v>
      </c>
      <c r="C49" s="165">
        <v>240</v>
      </c>
      <c r="D49" s="274">
        <f t="shared" si="12"/>
        <v>37834</v>
      </c>
      <c r="E49" s="275">
        <f t="shared" si="13"/>
        <v>240</v>
      </c>
      <c r="G49" s="163">
        <v>38200</v>
      </c>
      <c r="H49" s="163">
        <v>38231</v>
      </c>
      <c r="I49" s="164">
        <v>2.0049999999999998E-3</v>
      </c>
      <c r="J49" s="159">
        <f t="shared" si="14"/>
        <v>38231</v>
      </c>
      <c r="K49" s="278">
        <f t="shared" si="15"/>
        <v>2.0049999999999998E-3</v>
      </c>
      <c r="M49" s="290">
        <v>36342</v>
      </c>
      <c r="N49" s="290">
        <v>36373</v>
      </c>
      <c r="O49" s="291">
        <v>5.0000000000000001E-3</v>
      </c>
      <c r="P49" s="159">
        <f t="shared" si="0"/>
        <v>36342</v>
      </c>
      <c r="Q49" s="291">
        <v>5.0000000000000001E-3</v>
      </c>
      <c r="S49" s="163">
        <v>36373</v>
      </c>
      <c r="T49" s="164">
        <v>1.5699999999999999E-2</v>
      </c>
      <c r="U49" s="159">
        <f t="shared" si="16"/>
        <v>36373</v>
      </c>
      <c r="V49" s="285">
        <f t="shared" si="17"/>
        <v>1.5699999999999999E-2</v>
      </c>
      <c r="X49" s="283"/>
      <c r="Y49" s="283"/>
      <c r="Z49" s="283"/>
      <c r="AA49" s="283"/>
      <c r="AB49" s="283"/>
      <c r="AC49" s="283"/>
      <c r="AD49" s="283"/>
      <c r="AE49" s="283"/>
      <c r="AF49" s="283"/>
      <c r="AG49" s="283"/>
      <c r="AH49" s="283"/>
      <c r="AI49" s="283"/>
      <c r="AJ49" s="283"/>
      <c r="AK49" s="283"/>
      <c r="AL49" s="283"/>
      <c r="AM49" s="283"/>
      <c r="AN49" s="283"/>
      <c r="AO49" s="283"/>
      <c r="AP49" s="283"/>
      <c r="AQ49" s="241" t="str">
        <f t="shared" si="18"/>
        <v/>
      </c>
      <c r="AR49" s="241" t="str">
        <f t="shared" si="19"/>
        <v/>
      </c>
      <c r="AS49" s="310" t="str">
        <f>IF(Z49="","",Z49)</f>
        <v/>
      </c>
      <c r="AT49" s="309" t="str">
        <f t="shared" si="21"/>
        <v/>
      </c>
      <c r="AU49" s="309" t="str">
        <f t="shared" si="22"/>
        <v/>
      </c>
      <c r="AV49" s="310" t="str">
        <f t="shared" si="23"/>
        <v/>
      </c>
      <c r="AW49" s="309" t="str">
        <f t="shared" si="24"/>
        <v/>
      </c>
      <c r="AX49" s="309" t="str">
        <f t="shared" si="25"/>
        <v/>
      </c>
      <c r="AY49" s="310" t="str">
        <f t="shared" si="26"/>
        <v/>
      </c>
      <c r="AZ49" s="309" t="str">
        <f t="shared" si="27"/>
        <v/>
      </c>
      <c r="BA49" s="309" t="str">
        <f t="shared" si="28"/>
        <v/>
      </c>
      <c r="BB49" s="310" t="str">
        <f t="shared" si="29"/>
        <v/>
      </c>
      <c r="BC49" s="309" t="str">
        <f t="shared" si="40"/>
        <v/>
      </c>
      <c r="BD49" s="309" t="str">
        <f t="shared" si="31"/>
        <v/>
      </c>
      <c r="BE49" s="310" t="str">
        <f t="shared" si="32"/>
        <v/>
      </c>
      <c r="BF49" s="309" t="str">
        <f t="shared" si="33"/>
        <v/>
      </c>
      <c r="BG49" s="309" t="str">
        <f t="shared" si="34"/>
        <v/>
      </c>
      <c r="BH49" s="309" t="str">
        <f t="shared" si="35"/>
        <v/>
      </c>
      <c r="BI49" s="159" t="str">
        <f t="shared" si="35"/>
        <v/>
      </c>
      <c r="BK49" s="325"/>
      <c r="BM49" s="160" t="s">
        <v>42</v>
      </c>
      <c r="BN49" s="355">
        <v>34608</v>
      </c>
      <c r="BO49" s="34">
        <v>0.63080000000000003</v>
      </c>
      <c r="BP49" s="278">
        <f t="shared" si="38"/>
        <v>1.9023462270133181E-2</v>
      </c>
      <c r="BQ49" s="312">
        <f t="shared" si="3"/>
        <v>1.5313101483629876</v>
      </c>
      <c r="BS49" s="31" t="s">
        <v>44</v>
      </c>
      <c r="BT49" s="168">
        <v>34608</v>
      </c>
      <c r="BU49" s="32">
        <v>0.01</v>
      </c>
      <c r="BV49" s="311">
        <f t="shared" si="4"/>
        <v>4.1902999999999979</v>
      </c>
      <c r="BX49" s="169" t="s">
        <v>44</v>
      </c>
      <c r="BY49" s="290">
        <v>34608</v>
      </c>
      <c r="BZ49" s="33">
        <v>0.01</v>
      </c>
      <c r="CA49" s="162">
        <f t="shared" si="5"/>
        <v>3.4825419999999965</v>
      </c>
      <c r="CC49" s="168">
        <v>34912</v>
      </c>
      <c r="CD49" s="173">
        <v>0.75639999999999996</v>
      </c>
      <c r="CF49" s="31" t="s">
        <v>42</v>
      </c>
      <c r="CG49" s="168">
        <v>34608</v>
      </c>
      <c r="CH49" s="34">
        <v>0.63080000000000003</v>
      </c>
      <c r="CI49" s="361">
        <f t="shared" si="39"/>
        <v>1.9023462270133181E-2</v>
      </c>
      <c r="CJ49" s="312">
        <f t="shared" si="7"/>
        <v>1.3137285986049461</v>
      </c>
      <c r="CL49" s="325"/>
      <c r="CN49" s="315">
        <f t="shared" si="8"/>
        <v>34608</v>
      </c>
      <c r="CO49" s="312">
        <f t="shared" si="9"/>
        <v>1.3137285986049461</v>
      </c>
      <c r="CQ49" s="315">
        <f t="shared" si="10"/>
        <v>34608</v>
      </c>
      <c r="CR49" s="316">
        <f t="shared" si="11"/>
        <v>4.1902999999999979</v>
      </c>
      <c r="CT49" s="325"/>
      <c r="CW49"/>
      <c r="CX49" s="242" t="str">
        <f t="shared" si="37"/>
        <v/>
      </c>
    </row>
    <row r="50" spans="2:102" ht="15" customHeight="1">
      <c r="B50" s="163">
        <v>37865</v>
      </c>
      <c r="C50" s="165">
        <v>240</v>
      </c>
      <c r="D50" s="274">
        <f t="shared" si="12"/>
        <v>37865</v>
      </c>
      <c r="E50" s="275">
        <f t="shared" si="13"/>
        <v>240</v>
      </c>
      <c r="G50" s="163">
        <v>38231</v>
      </c>
      <c r="H50" s="163">
        <v>38261</v>
      </c>
      <c r="I50" s="164">
        <v>1.7279999999999999E-3</v>
      </c>
      <c r="J50" s="159">
        <f t="shared" si="14"/>
        <v>38261</v>
      </c>
      <c r="K50" s="278">
        <f t="shared" si="15"/>
        <v>1.7279999999999999E-3</v>
      </c>
      <c r="M50" s="290">
        <v>36373</v>
      </c>
      <c r="N50" s="290">
        <v>36404</v>
      </c>
      <c r="O50" s="291">
        <v>5.0000000000000001E-3</v>
      </c>
      <c r="P50" s="159">
        <f t="shared" si="0"/>
        <v>36373</v>
      </c>
      <c r="Q50" s="291">
        <v>5.0000000000000001E-3</v>
      </c>
      <c r="S50" s="163">
        <v>36404</v>
      </c>
      <c r="T50" s="164">
        <v>1.49E-2</v>
      </c>
      <c r="U50" s="159">
        <f t="shared" si="16"/>
        <v>36404</v>
      </c>
      <c r="V50" s="285">
        <f t="shared" si="17"/>
        <v>1.49E-2</v>
      </c>
      <c r="X50" s="283"/>
      <c r="Y50" s="283"/>
      <c r="Z50" s="283"/>
      <c r="AA50" s="283"/>
      <c r="AB50" s="283"/>
      <c r="AC50" s="283"/>
      <c r="AD50" s="283"/>
      <c r="AE50" s="283"/>
      <c r="AF50" s="283"/>
      <c r="AG50" s="283"/>
      <c r="AH50" s="283"/>
      <c r="AI50" s="283"/>
      <c r="AJ50" s="283"/>
      <c r="AK50" s="283"/>
      <c r="AL50" s="283"/>
      <c r="AM50" s="283"/>
      <c r="AN50" s="283"/>
      <c r="AO50" s="283"/>
      <c r="AP50" s="283"/>
      <c r="AQ50" s="241" t="str">
        <f t="shared" si="18"/>
        <v/>
      </c>
      <c r="AR50" s="241" t="str">
        <f t="shared" si="19"/>
        <v/>
      </c>
      <c r="AS50" s="310" t="str">
        <f t="shared" si="20"/>
        <v/>
      </c>
      <c r="AT50" s="309" t="str">
        <f t="shared" si="21"/>
        <v/>
      </c>
      <c r="AU50" s="309" t="str">
        <f t="shared" si="22"/>
        <v/>
      </c>
      <c r="AV50" s="310" t="str">
        <f t="shared" si="23"/>
        <v/>
      </c>
      <c r="AW50" s="309" t="str">
        <f t="shared" si="24"/>
        <v/>
      </c>
      <c r="AX50" s="309" t="str">
        <f t="shared" si="25"/>
        <v/>
      </c>
      <c r="AY50" s="310" t="str">
        <f t="shared" si="26"/>
        <v/>
      </c>
      <c r="AZ50" s="309" t="str">
        <f t="shared" si="27"/>
        <v/>
      </c>
      <c r="BA50" s="309" t="str">
        <f t="shared" si="28"/>
        <v/>
      </c>
      <c r="BB50" s="310" t="str">
        <f t="shared" si="29"/>
        <v/>
      </c>
      <c r="BC50" s="309" t="str">
        <f t="shared" si="40"/>
        <v/>
      </c>
      <c r="BD50" s="309" t="str">
        <f t="shared" si="31"/>
        <v/>
      </c>
      <c r="BE50" s="310" t="str">
        <f t="shared" si="32"/>
        <v/>
      </c>
      <c r="BF50" s="309" t="str">
        <f t="shared" si="33"/>
        <v/>
      </c>
      <c r="BG50" s="309" t="str">
        <f t="shared" si="34"/>
        <v/>
      </c>
      <c r="BH50" s="309" t="str">
        <f t="shared" si="35"/>
        <v/>
      </c>
      <c r="BI50" s="159" t="str">
        <f t="shared" si="35"/>
        <v/>
      </c>
      <c r="BK50" s="325"/>
      <c r="BM50" s="160" t="s">
        <v>42</v>
      </c>
      <c r="BN50" s="355">
        <v>34639</v>
      </c>
      <c r="BO50" s="34">
        <v>0.64280000000000004</v>
      </c>
      <c r="BP50" s="278">
        <f t="shared" si="38"/>
        <v>2.9558182949595543E-2</v>
      </c>
      <c r="BQ50" s="312">
        <f t="shared" si="3"/>
        <v>1.5027231511937968</v>
      </c>
      <c r="BS50" s="31" t="s">
        <v>44</v>
      </c>
      <c r="BT50" s="168">
        <v>34639</v>
      </c>
      <c r="BU50" s="32">
        <v>0.01</v>
      </c>
      <c r="BV50" s="311">
        <f t="shared" si="4"/>
        <v>4.1802999999999981</v>
      </c>
      <c r="BX50" s="169" t="s">
        <v>44</v>
      </c>
      <c r="BY50" s="290">
        <v>34639</v>
      </c>
      <c r="BZ50" s="33">
        <v>0.01</v>
      </c>
      <c r="CA50" s="162">
        <f t="shared" si="5"/>
        <v>3.4725419999999967</v>
      </c>
      <c r="CC50" s="168">
        <v>34943</v>
      </c>
      <c r="CD50" s="173">
        <v>0.75639999999999996</v>
      </c>
      <c r="CF50" s="31" t="s">
        <v>42</v>
      </c>
      <c r="CG50" s="168">
        <v>34639</v>
      </c>
      <c r="CH50" s="34">
        <v>0.64280000000000004</v>
      </c>
      <c r="CI50" s="361">
        <f t="shared" si="39"/>
        <v>2.9558182949595543E-2</v>
      </c>
      <c r="CJ50" s="312">
        <f t="shared" si="7"/>
        <v>1.2892034847542004</v>
      </c>
      <c r="CL50" s="325"/>
      <c r="CN50" s="315">
        <f t="shared" si="8"/>
        <v>34639</v>
      </c>
      <c r="CO50" s="312">
        <f t="shared" si="9"/>
        <v>1.2892034847542004</v>
      </c>
      <c r="CQ50" s="315">
        <f t="shared" si="10"/>
        <v>34639</v>
      </c>
      <c r="CR50" s="316">
        <f t="shared" si="11"/>
        <v>4.1802999999999981</v>
      </c>
      <c r="CT50" s="325"/>
      <c r="CW50" s="652" t="s">
        <v>352</v>
      </c>
      <c r="CX50" s="242" t="str">
        <f t="shared" si="37"/>
        <v>texto branco sobre fundo azul-cinza-escuro</v>
      </c>
    </row>
    <row r="51" spans="2:102" ht="15" customHeight="1">
      <c r="B51" s="163">
        <v>37895</v>
      </c>
      <c r="C51" s="165">
        <v>240</v>
      </c>
      <c r="D51" s="274">
        <f t="shared" si="12"/>
        <v>37895</v>
      </c>
      <c r="E51" s="275">
        <f t="shared" si="13"/>
        <v>240</v>
      </c>
      <c r="G51" s="163">
        <v>38261</v>
      </c>
      <c r="H51" s="163">
        <v>38292</v>
      </c>
      <c r="I51" s="164">
        <v>1.108E-3</v>
      </c>
      <c r="J51" s="159">
        <f t="shared" si="14"/>
        <v>38292</v>
      </c>
      <c r="K51" s="278">
        <f t="shared" si="15"/>
        <v>1.108E-3</v>
      </c>
      <c r="M51" s="290">
        <v>36404</v>
      </c>
      <c r="N51" s="290">
        <v>36434</v>
      </c>
      <c r="O51" s="291">
        <v>5.0000000000000001E-3</v>
      </c>
      <c r="P51" s="159">
        <f t="shared" si="0"/>
        <v>36404</v>
      </c>
      <c r="Q51" s="291">
        <v>5.0000000000000001E-3</v>
      </c>
      <c r="S51" s="163">
        <v>36434</v>
      </c>
      <c r="T51" s="164">
        <v>1.38E-2</v>
      </c>
      <c r="U51" s="159">
        <f t="shared" si="16"/>
        <v>36434</v>
      </c>
      <c r="V51" s="285">
        <f t="shared" si="17"/>
        <v>1.38E-2</v>
      </c>
      <c r="X51" s="283"/>
      <c r="Y51" s="283"/>
      <c r="Z51" s="283"/>
      <c r="AA51" s="283"/>
      <c r="AB51" s="283"/>
      <c r="AC51" s="283"/>
      <c r="AD51" s="283"/>
      <c r="AE51" s="283"/>
      <c r="AF51" s="283"/>
      <c r="AG51" s="283"/>
      <c r="AH51" s="283"/>
      <c r="AI51" s="283"/>
      <c r="AJ51" s="283"/>
      <c r="AK51" s="283"/>
      <c r="AL51" s="283"/>
      <c r="AM51" s="283"/>
      <c r="AN51" s="283"/>
      <c r="AO51" s="283"/>
      <c r="AP51" s="283"/>
      <c r="AQ51" s="241" t="str">
        <f t="shared" si="18"/>
        <v/>
      </c>
      <c r="AR51" s="241" t="str">
        <f t="shared" si="19"/>
        <v/>
      </c>
      <c r="AS51" s="310" t="str">
        <f t="shared" si="20"/>
        <v/>
      </c>
      <c r="AT51" s="309" t="str">
        <f t="shared" si="21"/>
        <v/>
      </c>
      <c r="AU51" s="309" t="str">
        <f t="shared" si="22"/>
        <v/>
      </c>
      <c r="AV51" s="310" t="str">
        <f t="shared" si="23"/>
        <v/>
      </c>
      <c r="AW51" s="309" t="str">
        <f t="shared" si="24"/>
        <v/>
      </c>
      <c r="AX51" s="309" t="str">
        <f t="shared" si="25"/>
        <v/>
      </c>
      <c r="AY51" s="310" t="str">
        <f t="shared" si="26"/>
        <v/>
      </c>
      <c r="AZ51" s="309" t="str">
        <f t="shared" si="27"/>
        <v/>
      </c>
      <c r="BA51" s="309" t="str">
        <f t="shared" si="28"/>
        <v/>
      </c>
      <c r="BB51" s="310" t="str">
        <f t="shared" si="29"/>
        <v/>
      </c>
      <c r="BC51" s="309" t="str">
        <f t="shared" si="40"/>
        <v/>
      </c>
      <c r="BD51" s="309" t="str">
        <f t="shared" si="31"/>
        <v/>
      </c>
      <c r="BE51" s="310" t="str">
        <f t="shared" si="32"/>
        <v/>
      </c>
      <c r="BF51" s="309" t="str">
        <f t="shared" si="33"/>
        <v/>
      </c>
      <c r="BG51" s="309" t="str">
        <f t="shared" si="34"/>
        <v/>
      </c>
      <c r="BH51" s="309" t="str">
        <f t="shared" si="35"/>
        <v/>
      </c>
      <c r="BI51" s="159" t="str">
        <f t="shared" si="35"/>
        <v/>
      </c>
      <c r="BK51" s="325"/>
      <c r="BM51" s="160" t="s">
        <v>42</v>
      </c>
      <c r="BN51" s="355">
        <v>34669</v>
      </c>
      <c r="BO51" s="34">
        <v>0.66180000000000005</v>
      </c>
      <c r="BP51" s="278">
        <f t="shared" si="38"/>
        <v>2.2514354789966624E-2</v>
      </c>
      <c r="BQ51" s="312">
        <f t="shared" si="3"/>
        <v>1.4595806007666556</v>
      </c>
      <c r="BS51" s="31" t="s">
        <v>44</v>
      </c>
      <c r="BT51" s="168">
        <v>34669</v>
      </c>
      <c r="BU51" s="32">
        <v>0.01</v>
      </c>
      <c r="BV51" s="311">
        <f t="shared" si="4"/>
        <v>4.1702999999999983</v>
      </c>
      <c r="BX51" s="169" t="s">
        <v>44</v>
      </c>
      <c r="BY51" s="290">
        <v>34669</v>
      </c>
      <c r="BZ51" s="33">
        <v>0.01</v>
      </c>
      <c r="CA51" s="162">
        <f t="shared" si="5"/>
        <v>3.4625419999999969</v>
      </c>
      <c r="CC51" s="168">
        <v>34973</v>
      </c>
      <c r="CD51" s="173">
        <v>0.79520000000000002</v>
      </c>
      <c r="CF51" s="31" t="s">
        <v>42</v>
      </c>
      <c r="CG51" s="168">
        <v>34669</v>
      </c>
      <c r="CH51" s="34">
        <v>0.66180000000000005</v>
      </c>
      <c r="CI51" s="361">
        <f t="shared" si="39"/>
        <v>2.2514354789966624E-2</v>
      </c>
      <c r="CJ51" s="312">
        <f t="shared" si="7"/>
        <v>1.2521909942580842</v>
      </c>
      <c r="CL51" s="325"/>
      <c r="CN51" s="315">
        <f t="shared" si="8"/>
        <v>34669</v>
      </c>
      <c r="CO51" s="312">
        <f t="shared" si="9"/>
        <v>1.2521909942580842</v>
      </c>
      <c r="CQ51" s="315">
        <f t="shared" si="10"/>
        <v>34669</v>
      </c>
      <c r="CR51" s="316">
        <f t="shared" si="11"/>
        <v>4.1702999999999983</v>
      </c>
      <c r="CT51" s="325"/>
      <c r="CW51" s="655" t="s">
        <v>353</v>
      </c>
      <c r="CX51" s="242" t="str">
        <f t="shared" si="37"/>
        <v>Plantão judiciário</v>
      </c>
    </row>
    <row r="52" spans="2:102" ht="15" customHeight="1">
      <c r="B52" s="163">
        <v>37926</v>
      </c>
      <c r="C52" s="165">
        <v>240</v>
      </c>
      <c r="D52" s="274">
        <f t="shared" si="12"/>
        <v>37926</v>
      </c>
      <c r="E52" s="275">
        <f t="shared" si="13"/>
        <v>240</v>
      </c>
      <c r="G52" s="163">
        <v>38292</v>
      </c>
      <c r="H52" s="163">
        <v>38322</v>
      </c>
      <c r="I52" s="164">
        <v>1.1460000000000001E-3</v>
      </c>
      <c r="J52" s="159">
        <f t="shared" si="14"/>
        <v>38322</v>
      </c>
      <c r="K52" s="278">
        <f t="shared" si="15"/>
        <v>1.1460000000000001E-3</v>
      </c>
      <c r="M52" s="290">
        <v>36434</v>
      </c>
      <c r="N52" s="290">
        <v>36465</v>
      </c>
      <c r="O52" s="291">
        <v>5.0000000000000001E-3</v>
      </c>
      <c r="P52" s="159">
        <f t="shared" si="0"/>
        <v>36434</v>
      </c>
      <c r="Q52" s="291">
        <v>5.0000000000000001E-3</v>
      </c>
      <c r="S52" s="163">
        <v>36465</v>
      </c>
      <c r="T52" s="164">
        <v>1.3899999999999999E-2</v>
      </c>
      <c r="U52" s="159">
        <f t="shared" si="16"/>
        <v>36465</v>
      </c>
      <c r="V52" s="285">
        <f t="shared" si="17"/>
        <v>1.3899999999999999E-2</v>
      </c>
      <c r="X52" s="283"/>
      <c r="Y52" s="283"/>
      <c r="Z52" s="283"/>
      <c r="AA52" s="283"/>
      <c r="AB52" s="283"/>
      <c r="AC52" s="283"/>
      <c r="AD52" s="283"/>
      <c r="AE52" s="283"/>
      <c r="AF52" s="283"/>
      <c r="AG52" s="283"/>
      <c r="AH52" s="283"/>
      <c r="AI52" s="283"/>
      <c r="AJ52" s="283"/>
      <c r="AK52" s="283"/>
      <c r="AL52" s="283"/>
      <c r="AM52" s="283"/>
      <c r="AN52" s="283"/>
      <c r="AO52" s="283"/>
      <c r="AP52" s="283"/>
      <c r="AQ52" s="241" t="str">
        <f t="shared" si="18"/>
        <v/>
      </c>
      <c r="AR52" s="241" t="str">
        <f t="shared" si="19"/>
        <v/>
      </c>
      <c r="AS52" s="310" t="str">
        <f t="shared" si="20"/>
        <v/>
      </c>
      <c r="AT52" s="309" t="str">
        <f t="shared" si="21"/>
        <v/>
      </c>
      <c r="AU52" s="309" t="str">
        <f t="shared" si="22"/>
        <v/>
      </c>
      <c r="AV52" s="310" t="str">
        <f t="shared" si="23"/>
        <v/>
      </c>
      <c r="AW52" s="309" t="str">
        <f t="shared" si="24"/>
        <v/>
      </c>
      <c r="AX52" s="309" t="str">
        <f t="shared" si="25"/>
        <v/>
      </c>
      <c r="AY52" s="310" t="str">
        <f t="shared" si="26"/>
        <v/>
      </c>
      <c r="AZ52" s="309" t="str">
        <f t="shared" si="27"/>
        <v/>
      </c>
      <c r="BA52" s="309" t="str">
        <f t="shared" si="28"/>
        <v/>
      </c>
      <c r="BB52" s="310" t="str">
        <f t="shared" si="29"/>
        <v/>
      </c>
      <c r="BC52" s="309" t="str">
        <f t="shared" si="40"/>
        <v/>
      </c>
      <c r="BD52" s="309" t="str">
        <f t="shared" si="31"/>
        <v/>
      </c>
      <c r="BE52" s="310" t="str">
        <f t="shared" si="32"/>
        <v/>
      </c>
      <c r="BF52" s="309" t="str">
        <f t="shared" si="33"/>
        <v/>
      </c>
      <c r="BG52" s="309" t="str">
        <f t="shared" si="34"/>
        <v/>
      </c>
      <c r="BH52" s="309" t="str">
        <f t="shared" si="35"/>
        <v/>
      </c>
      <c r="BI52" s="159" t="str">
        <f t="shared" si="35"/>
        <v/>
      </c>
      <c r="BK52" s="325"/>
      <c r="BM52" s="160" t="s">
        <v>42</v>
      </c>
      <c r="BN52" s="355">
        <v>34700</v>
      </c>
      <c r="BO52" s="34">
        <v>0.67669999999999997</v>
      </c>
      <c r="BP52" s="278">
        <f t="shared" si="38"/>
        <v>0</v>
      </c>
      <c r="BQ52" s="312">
        <f t="shared" si="3"/>
        <v>1.427442650491167</v>
      </c>
      <c r="BS52" s="31" t="s">
        <v>44</v>
      </c>
      <c r="BT52" s="168">
        <v>34700</v>
      </c>
      <c r="BU52" s="32">
        <v>0.01</v>
      </c>
      <c r="BV52" s="311">
        <f t="shared" si="4"/>
        <v>4.1602999999999986</v>
      </c>
      <c r="BX52" s="169" t="s">
        <v>44</v>
      </c>
      <c r="BY52" s="290">
        <v>34700</v>
      </c>
      <c r="BZ52" s="33">
        <v>0.01</v>
      </c>
      <c r="CA52" s="162">
        <f t="shared" si="5"/>
        <v>3.4525419999999971</v>
      </c>
      <c r="CC52" s="168">
        <v>35004</v>
      </c>
      <c r="CD52" s="173">
        <v>0.79520000000000002</v>
      </c>
      <c r="CF52" s="31" t="s">
        <v>42</v>
      </c>
      <c r="CG52" s="168">
        <v>34700</v>
      </c>
      <c r="CH52" s="34">
        <v>0.67669999999999997</v>
      </c>
      <c r="CI52" s="361">
        <f t="shared" si="39"/>
        <v>0</v>
      </c>
      <c r="CJ52" s="312">
        <f t="shared" si="7"/>
        <v>1.2246194768730607</v>
      </c>
      <c r="CL52" s="325"/>
      <c r="CN52" s="315">
        <f t="shared" si="8"/>
        <v>34700</v>
      </c>
      <c r="CO52" s="312">
        <f t="shared" si="9"/>
        <v>1.2246194768730607</v>
      </c>
      <c r="CQ52" s="315">
        <f t="shared" si="10"/>
        <v>34700</v>
      </c>
      <c r="CR52" s="316">
        <f t="shared" si="11"/>
        <v>4.1602999999999986</v>
      </c>
      <c r="CT52" s="325"/>
      <c r="CW52"/>
      <c r="CX52" s="242" t="str">
        <f t="shared" si="37"/>
        <v/>
      </c>
    </row>
    <row r="53" spans="2:102" ht="15" customHeight="1">
      <c r="B53" s="163">
        <v>37956</v>
      </c>
      <c r="C53" s="165">
        <v>240</v>
      </c>
      <c r="D53" s="274">
        <f t="shared" si="12"/>
        <v>37956</v>
      </c>
      <c r="E53" s="275">
        <f t="shared" si="13"/>
        <v>240</v>
      </c>
      <c r="G53" s="163">
        <v>38322</v>
      </c>
      <c r="H53" s="163">
        <v>38353</v>
      </c>
      <c r="I53" s="164">
        <v>2.3999999999999998E-3</v>
      </c>
      <c r="J53" s="159">
        <f t="shared" si="14"/>
        <v>38353</v>
      </c>
      <c r="K53" s="278">
        <f t="shared" si="15"/>
        <v>2.3999999999999998E-3</v>
      </c>
      <c r="M53" s="290">
        <v>36465</v>
      </c>
      <c r="N53" s="290">
        <v>36495</v>
      </c>
      <c r="O53" s="291">
        <v>5.0000000000000001E-3</v>
      </c>
      <c r="P53" s="159">
        <f t="shared" si="0"/>
        <v>36465</v>
      </c>
      <c r="Q53" s="291">
        <v>5.0000000000000001E-3</v>
      </c>
      <c r="S53" s="163">
        <v>36495</v>
      </c>
      <c r="T53" s="164">
        <v>1.6E-2</v>
      </c>
      <c r="U53" s="159">
        <f t="shared" si="16"/>
        <v>36495</v>
      </c>
      <c r="V53" s="285">
        <f t="shared" si="17"/>
        <v>1.6E-2</v>
      </c>
      <c r="X53" s="283"/>
      <c r="Y53" s="283"/>
      <c r="Z53" s="283"/>
      <c r="AA53" s="283"/>
      <c r="AB53" s="283"/>
      <c r="AC53" s="283"/>
      <c r="AD53" s="283"/>
      <c r="AE53" s="283"/>
      <c r="AF53" s="283"/>
      <c r="AG53" s="283"/>
      <c r="AH53" s="283"/>
      <c r="AI53" s="283"/>
      <c r="AJ53" s="283"/>
      <c r="AK53" s="283"/>
      <c r="AL53" s="283"/>
      <c r="AM53" s="283"/>
      <c r="AN53" s="283"/>
      <c r="AO53" s="283"/>
      <c r="AP53" s="283"/>
      <c r="AQ53" s="241" t="str">
        <f t="shared" si="18"/>
        <v/>
      </c>
      <c r="AR53" s="241" t="str">
        <f t="shared" si="19"/>
        <v/>
      </c>
      <c r="AS53" s="310" t="str">
        <f t="shared" si="20"/>
        <v/>
      </c>
      <c r="AT53" s="309" t="str">
        <f t="shared" si="21"/>
        <v/>
      </c>
      <c r="AU53" s="309" t="str">
        <f t="shared" si="22"/>
        <v/>
      </c>
      <c r="AV53" s="310" t="str">
        <f t="shared" si="23"/>
        <v/>
      </c>
      <c r="AW53" s="309" t="str">
        <f t="shared" si="24"/>
        <v/>
      </c>
      <c r="AX53" s="309" t="str">
        <f t="shared" si="25"/>
        <v/>
      </c>
      <c r="AY53" s="310" t="str">
        <f t="shared" si="26"/>
        <v/>
      </c>
      <c r="AZ53" s="309" t="str">
        <f t="shared" si="27"/>
        <v/>
      </c>
      <c r="BA53" s="309" t="str">
        <f t="shared" si="28"/>
        <v/>
      </c>
      <c r="BB53" s="310" t="str">
        <f t="shared" si="29"/>
        <v/>
      </c>
      <c r="BC53" s="309" t="str">
        <f t="shared" si="40"/>
        <v/>
      </c>
      <c r="BD53" s="309" t="str">
        <f t="shared" si="31"/>
        <v/>
      </c>
      <c r="BE53" s="310" t="str">
        <f t="shared" si="32"/>
        <v/>
      </c>
      <c r="BF53" s="309" t="str">
        <f t="shared" si="33"/>
        <v/>
      </c>
      <c r="BG53" s="309" t="str">
        <f t="shared" si="34"/>
        <v/>
      </c>
      <c r="BH53" s="309" t="str">
        <f t="shared" si="35"/>
        <v/>
      </c>
      <c r="BI53" s="159" t="str">
        <f t="shared" si="35"/>
        <v/>
      </c>
      <c r="BK53" s="325"/>
      <c r="BM53" s="160" t="s">
        <v>42</v>
      </c>
      <c r="BN53" s="355">
        <v>34731</v>
      </c>
      <c r="BO53" s="34">
        <v>0.67669999999999997</v>
      </c>
      <c r="BP53" s="278">
        <f t="shared" si="38"/>
        <v>0</v>
      </c>
      <c r="BQ53" s="312">
        <f t="shared" si="3"/>
        <v>1.427442650491167</v>
      </c>
      <c r="BS53" s="31" t="s">
        <v>44</v>
      </c>
      <c r="BT53" s="168">
        <v>34731</v>
      </c>
      <c r="BU53" s="32">
        <v>0.01</v>
      </c>
      <c r="BV53" s="311">
        <f t="shared" si="4"/>
        <v>4.1502999999999988</v>
      </c>
      <c r="BX53" s="169" t="s">
        <v>44</v>
      </c>
      <c r="BY53" s="290">
        <v>34731</v>
      </c>
      <c r="BZ53" s="33">
        <v>0.01</v>
      </c>
      <c r="CA53" s="162">
        <f t="shared" si="5"/>
        <v>3.4425419999999973</v>
      </c>
      <c r="CC53" s="168">
        <v>35034</v>
      </c>
      <c r="CD53" s="173">
        <v>0.79520000000000002</v>
      </c>
      <c r="CF53" s="31" t="s">
        <v>42</v>
      </c>
      <c r="CG53" s="168">
        <v>34731</v>
      </c>
      <c r="CH53" s="34">
        <v>0.67669999999999997</v>
      </c>
      <c r="CI53" s="361">
        <f t="shared" si="39"/>
        <v>0</v>
      </c>
      <c r="CJ53" s="312">
        <f t="shared" si="7"/>
        <v>1.2246194768730607</v>
      </c>
      <c r="CL53" s="325"/>
      <c r="CN53" s="315">
        <f t="shared" si="8"/>
        <v>34731</v>
      </c>
      <c r="CO53" s="312">
        <f t="shared" si="9"/>
        <v>1.2246194768730607</v>
      </c>
      <c r="CQ53" s="315">
        <f t="shared" si="10"/>
        <v>34731</v>
      </c>
      <c r="CR53" s="316">
        <f t="shared" si="11"/>
        <v>4.1502999999999988</v>
      </c>
      <c r="CT53" s="325"/>
      <c r="CW53" s="652" t="s">
        <v>354</v>
      </c>
      <c r="CX53" s="242" t="str">
        <f t="shared" si="37"/>
        <v>texto branco sobre fundo azul-esverdeado</v>
      </c>
    </row>
    <row r="54" spans="2:102" ht="15" customHeight="1">
      <c r="B54" s="163">
        <v>37987</v>
      </c>
      <c r="C54" s="165">
        <v>240</v>
      </c>
      <c r="D54" s="274">
        <f t="shared" si="12"/>
        <v>37987</v>
      </c>
      <c r="E54" s="275">
        <f t="shared" si="13"/>
        <v>240</v>
      </c>
      <c r="G54" s="163">
        <v>38353</v>
      </c>
      <c r="H54" s="163">
        <v>38384</v>
      </c>
      <c r="I54" s="164">
        <v>1.8799999999999999E-3</v>
      </c>
      <c r="J54" s="159">
        <f t="shared" si="14"/>
        <v>38384</v>
      </c>
      <c r="K54" s="278">
        <f t="shared" si="15"/>
        <v>1.8799999999999999E-3</v>
      </c>
      <c r="M54" s="290">
        <v>36495</v>
      </c>
      <c r="N54" s="290">
        <v>36526</v>
      </c>
      <c r="O54" s="291">
        <v>5.0000000000000001E-3</v>
      </c>
      <c r="P54" s="159">
        <f t="shared" si="0"/>
        <v>36495</v>
      </c>
      <c r="Q54" s="291">
        <v>5.0000000000000001E-3</v>
      </c>
      <c r="S54" s="163">
        <v>36526</v>
      </c>
      <c r="T54" s="164">
        <v>1.46E-2</v>
      </c>
      <c r="U54" s="159">
        <f t="shared" si="16"/>
        <v>36526</v>
      </c>
      <c r="V54" s="285">
        <f t="shared" si="17"/>
        <v>1.46E-2</v>
      </c>
      <c r="X54" s="283"/>
      <c r="Y54" s="283"/>
      <c r="Z54" s="283"/>
      <c r="AA54" s="283"/>
      <c r="AB54" s="283"/>
      <c r="AC54" s="283"/>
      <c r="AD54" s="283"/>
      <c r="AE54" s="283"/>
      <c r="AF54" s="283"/>
      <c r="AG54" s="283"/>
      <c r="AH54" s="283"/>
      <c r="AI54" s="283"/>
      <c r="AJ54" s="283"/>
      <c r="AK54" s="283"/>
      <c r="AL54" s="283"/>
      <c r="AM54" s="283"/>
      <c r="AN54" s="283"/>
      <c r="AO54" s="283"/>
      <c r="AP54" s="283"/>
      <c r="AQ54" s="241" t="str">
        <f t="shared" si="18"/>
        <v/>
      </c>
      <c r="AR54" s="241" t="str">
        <f t="shared" si="19"/>
        <v/>
      </c>
      <c r="AS54" s="310" t="str">
        <f t="shared" si="20"/>
        <v/>
      </c>
      <c r="AT54" s="309" t="str">
        <f t="shared" si="21"/>
        <v/>
      </c>
      <c r="AU54" s="309" t="str">
        <f t="shared" si="22"/>
        <v/>
      </c>
      <c r="AV54" s="310" t="str">
        <f>IF(AC54="","",AC54)</f>
        <v/>
      </c>
      <c r="AW54" s="309" t="str">
        <f t="shared" si="24"/>
        <v/>
      </c>
      <c r="AX54" s="309" t="str">
        <f t="shared" si="25"/>
        <v/>
      </c>
      <c r="AY54" s="310" t="str">
        <f t="shared" si="26"/>
        <v/>
      </c>
      <c r="AZ54" s="309" t="str">
        <f t="shared" si="27"/>
        <v/>
      </c>
      <c r="BA54" s="309" t="str">
        <f t="shared" si="28"/>
        <v/>
      </c>
      <c r="BB54" s="310" t="str">
        <f t="shared" si="29"/>
        <v/>
      </c>
      <c r="BC54" s="309" t="str">
        <f t="shared" si="40"/>
        <v/>
      </c>
      <c r="BD54" s="309" t="str">
        <f t="shared" si="31"/>
        <v/>
      </c>
      <c r="BE54" s="310" t="str">
        <f t="shared" si="32"/>
        <v/>
      </c>
      <c r="BF54" s="309" t="str">
        <f t="shared" si="33"/>
        <v/>
      </c>
      <c r="BG54" s="309" t="str">
        <f t="shared" si="34"/>
        <v/>
      </c>
      <c r="BH54" s="309" t="str">
        <f t="shared" si="35"/>
        <v/>
      </c>
      <c r="BI54" s="159" t="str">
        <f t="shared" si="35"/>
        <v/>
      </c>
      <c r="BK54" s="325"/>
      <c r="BM54" s="160" t="s">
        <v>42</v>
      </c>
      <c r="BN54" s="355">
        <v>34759</v>
      </c>
      <c r="BO54" s="34">
        <v>0.67669999999999997</v>
      </c>
      <c r="BP54" s="278">
        <f t="shared" si="38"/>
        <v>4.3446135658341926E-2</v>
      </c>
      <c r="BQ54" s="312">
        <f t="shared" si="3"/>
        <v>1.427442650491167</v>
      </c>
      <c r="BS54" s="31" t="s">
        <v>44</v>
      </c>
      <c r="BT54" s="168">
        <v>34759</v>
      </c>
      <c r="BU54" s="32">
        <v>0.01</v>
      </c>
      <c r="BV54" s="311">
        <f t="shared" si="4"/>
        <v>4.140299999999999</v>
      </c>
      <c r="BX54" s="169" t="s">
        <v>44</v>
      </c>
      <c r="BY54" s="290">
        <v>34759</v>
      </c>
      <c r="BZ54" s="33">
        <v>0.01</v>
      </c>
      <c r="CA54" s="162">
        <f t="shared" si="5"/>
        <v>3.4325419999999975</v>
      </c>
      <c r="CC54" s="171">
        <v>35065</v>
      </c>
      <c r="CD54" s="172">
        <v>0.82869999999999999</v>
      </c>
      <c r="CF54" s="31" t="s">
        <v>42</v>
      </c>
      <c r="CG54" s="168">
        <v>34759</v>
      </c>
      <c r="CH54" s="34">
        <v>0.67669999999999997</v>
      </c>
      <c r="CI54" s="361">
        <f t="shared" si="39"/>
        <v>4.3446135658341926E-2</v>
      </c>
      <c r="CJ54" s="312">
        <f t="shared" si="7"/>
        <v>1.2246194768730607</v>
      </c>
      <c r="CL54" s="325"/>
      <c r="CN54" s="315">
        <f t="shared" si="8"/>
        <v>34759</v>
      </c>
      <c r="CO54" s="312">
        <f t="shared" si="9"/>
        <v>1.2246194768730607</v>
      </c>
      <c r="CQ54" s="315">
        <f t="shared" si="10"/>
        <v>34759</v>
      </c>
      <c r="CR54" s="316">
        <f t="shared" si="11"/>
        <v>4.140299999999999</v>
      </c>
      <c r="CT54" s="325"/>
      <c r="CW54" s="655" t="s">
        <v>355</v>
      </c>
      <c r="CX54" s="242" t="str">
        <f t="shared" si="37"/>
        <v>Primeiro atendimento (sem advogado)</v>
      </c>
    </row>
    <row r="55" spans="2:102" ht="15" customHeight="1">
      <c r="B55" s="163">
        <v>38018</v>
      </c>
      <c r="C55" s="165">
        <v>240</v>
      </c>
      <c r="D55" s="274">
        <f t="shared" si="12"/>
        <v>38018</v>
      </c>
      <c r="E55" s="275">
        <f t="shared" si="13"/>
        <v>240</v>
      </c>
      <c r="G55" s="163">
        <v>38384</v>
      </c>
      <c r="H55" s="163">
        <v>38412</v>
      </c>
      <c r="I55" s="164">
        <v>9.6199999999999996E-4</v>
      </c>
      <c r="J55" s="159">
        <f t="shared" si="14"/>
        <v>38412</v>
      </c>
      <c r="K55" s="278">
        <f t="shared" si="15"/>
        <v>9.6199999999999996E-4</v>
      </c>
      <c r="M55" s="290">
        <v>36526</v>
      </c>
      <c r="N55" s="290">
        <v>36557</v>
      </c>
      <c r="O55" s="291">
        <v>5.0000000000000001E-3</v>
      </c>
      <c r="P55" s="159">
        <f t="shared" si="0"/>
        <v>36526</v>
      </c>
      <c r="Q55" s="291">
        <v>5.0000000000000001E-3</v>
      </c>
      <c r="S55" s="163">
        <v>36557</v>
      </c>
      <c r="T55" s="164">
        <v>1.4500000000000001E-2</v>
      </c>
      <c r="U55" s="159">
        <f t="shared" si="16"/>
        <v>36557</v>
      </c>
      <c r="V55" s="285">
        <f t="shared" si="17"/>
        <v>1.4500000000000001E-2</v>
      </c>
      <c r="X55" s="283"/>
      <c r="Y55" s="283"/>
      <c r="Z55" s="283"/>
      <c r="AA55" s="283"/>
      <c r="AB55" s="283"/>
      <c r="AC55" s="283"/>
      <c r="AD55" s="283"/>
      <c r="AE55" s="283"/>
      <c r="AF55" s="283"/>
      <c r="AG55" s="283"/>
      <c r="AH55" s="283"/>
      <c r="AI55" s="283"/>
      <c r="AJ55" s="283"/>
      <c r="AK55" s="283"/>
      <c r="AL55" s="283"/>
      <c r="AM55" s="283"/>
      <c r="AN55" s="283"/>
      <c r="AO55" s="283"/>
      <c r="AP55" s="283"/>
      <c r="AQ55" s="241" t="str">
        <f t="shared" si="18"/>
        <v/>
      </c>
      <c r="AR55" s="241" t="str">
        <f t="shared" si="19"/>
        <v/>
      </c>
      <c r="AS55" s="310" t="str">
        <f t="shared" si="20"/>
        <v/>
      </c>
      <c r="AT55" s="309" t="str">
        <f t="shared" si="21"/>
        <v/>
      </c>
      <c r="AU55" s="309" t="str">
        <f t="shared" si="22"/>
        <v/>
      </c>
      <c r="AV55" s="310" t="str">
        <f t="shared" si="23"/>
        <v/>
      </c>
      <c r="AW55" s="309" t="str">
        <f t="shared" si="24"/>
        <v/>
      </c>
      <c r="AX55" s="309" t="str">
        <f t="shared" si="25"/>
        <v/>
      </c>
      <c r="AY55" s="310" t="str">
        <f t="shared" si="26"/>
        <v/>
      </c>
      <c r="AZ55" s="309" t="str">
        <f t="shared" si="27"/>
        <v/>
      </c>
      <c r="BA55" s="309" t="str">
        <f t="shared" si="28"/>
        <v/>
      </c>
      <c r="BB55" s="310" t="str">
        <f t="shared" si="29"/>
        <v/>
      </c>
      <c r="BC55" s="309" t="str">
        <f t="shared" si="40"/>
        <v/>
      </c>
      <c r="BD55" s="309" t="str">
        <f t="shared" si="31"/>
        <v/>
      </c>
      <c r="BE55" s="310" t="str">
        <f t="shared" si="32"/>
        <v/>
      </c>
      <c r="BF55" s="309" t="str">
        <f t="shared" si="33"/>
        <v/>
      </c>
      <c r="BG55" s="309" t="str">
        <f t="shared" si="34"/>
        <v/>
      </c>
      <c r="BH55" s="309" t="str">
        <f t="shared" si="35"/>
        <v/>
      </c>
      <c r="BI55" s="159" t="str">
        <f t="shared" si="35"/>
        <v/>
      </c>
      <c r="BK55" s="325"/>
      <c r="BM55" s="160" t="s">
        <v>42</v>
      </c>
      <c r="BN55" s="355">
        <v>34790</v>
      </c>
      <c r="BO55" s="34">
        <v>0.70609999999999995</v>
      </c>
      <c r="BP55" s="278">
        <f t="shared" si="38"/>
        <v>0</v>
      </c>
      <c r="BQ55" s="312">
        <f t="shared" si="3"/>
        <v>1.3680079897852608</v>
      </c>
      <c r="BS55" s="31" t="s">
        <v>44</v>
      </c>
      <c r="BT55" s="168">
        <v>34790</v>
      </c>
      <c r="BU55" s="32">
        <v>0.01</v>
      </c>
      <c r="BV55" s="311">
        <f t="shared" si="4"/>
        <v>4.1302999999999992</v>
      </c>
      <c r="BX55" s="169" t="s">
        <v>44</v>
      </c>
      <c r="BY55" s="290">
        <v>34790</v>
      </c>
      <c r="BZ55" s="33">
        <v>0.01</v>
      </c>
      <c r="CA55" s="162">
        <f t="shared" si="5"/>
        <v>3.4225419999999978</v>
      </c>
      <c r="CF55" s="31" t="s">
        <v>42</v>
      </c>
      <c r="CG55" s="168">
        <v>34790</v>
      </c>
      <c r="CH55" s="34">
        <v>0.70609999999999995</v>
      </c>
      <c r="CI55" s="361">
        <f t="shared" si="39"/>
        <v>0</v>
      </c>
      <c r="CJ55" s="312">
        <f t="shared" si="7"/>
        <v>1.1736297974791108</v>
      </c>
      <c r="CL55" s="325"/>
      <c r="CN55" s="315">
        <f t="shared" si="8"/>
        <v>34790</v>
      </c>
      <c r="CO55" s="312">
        <f t="shared" si="9"/>
        <v>1.1736297974791108</v>
      </c>
      <c r="CQ55" s="315">
        <f t="shared" si="10"/>
        <v>34790</v>
      </c>
      <c r="CR55" s="316">
        <f t="shared" si="11"/>
        <v>4.1302999999999992</v>
      </c>
      <c r="CT55" s="325"/>
      <c r="CW55"/>
      <c r="CX55" s="242" t="str">
        <f t="shared" si="37"/>
        <v/>
      </c>
    </row>
    <row r="56" spans="2:102" ht="15" customHeight="1">
      <c r="B56" s="163">
        <v>38047</v>
      </c>
      <c r="C56" s="165">
        <v>240</v>
      </c>
      <c r="D56" s="274">
        <f t="shared" si="12"/>
        <v>38047</v>
      </c>
      <c r="E56" s="275">
        <f t="shared" si="13"/>
        <v>240</v>
      </c>
      <c r="G56" s="163">
        <v>38412</v>
      </c>
      <c r="H56" s="163">
        <v>38443</v>
      </c>
      <c r="I56" s="164">
        <v>2.6350000000000002E-3</v>
      </c>
      <c r="J56" s="159">
        <f t="shared" si="14"/>
        <v>38443</v>
      </c>
      <c r="K56" s="278">
        <f t="shared" si="15"/>
        <v>2.6350000000000002E-3</v>
      </c>
      <c r="M56" s="290">
        <v>36557</v>
      </c>
      <c r="N56" s="290">
        <v>36586</v>
      </c>
      <c r="O56" s="291">
        <v>5.0000000000000001E-3</v>
      </c>
      <c r="P56" s="159">
        <f t="shared" si="0"/>
        <v>36557</v>
      </c>
      <c r="Q56" s="291">
        <v>5.0000000000000001E-3</v>
      </c>
      <c r="S56" s="163">
        <v>36586</v>
      </c>
      <c r="T56" s="164">
        <v>1.4500000000000001E-2</v>
      </c>
      <c r="U56" s="159">
        <f t="shared" si="16"/>
        <v>36586</v>
      </c>
      <c r="V56" s="285">
        <f t="shared" si="17"/>
        <v>1.4500000000000001E-2</v>
      </c>
      <c r="X56" s="283"/>
      <c r="Y56" s="283"/>
      <c r="Z56" s="283"/>
      <c r="AA56" s="283"/>
      <c r="AB56" s="283"/>
      <c r="AC56" s="283"/>
      <c r="AD56" s="283"/>
      <c r="AE56" s="283"/>
      <c r="AF56" s="283"/>
      <c r="AG56" s="283"/>
      <c r="AH56" s="283"/>
      <c r="AI56" s="283"/>
      <c r="AJ56" s="283"/>
      <c r="AK56" s="283"/>
      <c r="AL56" s="283"/>
      <c r="AM56" s="283"/>
      <c r="AN56" s="283"/>
      <c r="AO56" s="283"/>
      <c r="AP56" s="283"/>
      <c r="BK56" s="325"/>
      <c r="BM56" s="160" t="s">
        <v>42</v>
      </c>
      <c r="BN56" s="355">
        <v>34820</v>
      </c>
      <c r="BO56" s="34">
        <v>0.70609999999999995</v>
      </c>
      <c r="BP56" s="278">
        <f t="shared" si="38"/>
        <v>0</v>
      </c>
      <c r="BQ56" s="312">
        <f t="shared" si="3"/>
        <v>1.3680079897852608</v>
      </c>
      <c r="BS56" s="31" t="s">
        <v>44</v>
      </c>
      <c r="BT56" s="168">
        <v>34820</v>
      </c>
      <c r="BU56" s="32">
        <v>0.01</v>
      </c>
      <c r="BV56" s="311">
        <f t="shared" si="4"/>
        <v>4.1202999999999994</v>
      </c>
      <c r="BX56" s="169" t="s">
        <v>44</v>
      </c>
      <c r="BY56" s="290">
        <v>34820</v>
      </c>
      <c r="BZ56" s="33">
        <v>0.01</v>
      </c>
      <c r="CA56" s="162">
        <f t="shared" si="5"/>
        <v>3.412541999999998</v>
      </c>
      <c r="CF56" s="31" t="s">
        <v>42</v>
      </c>
      <c r="CG56" s="168">
        <v>34820</v>
      </c>
      <c r="CH56" s="34">
        <v>0.70609999999999995</v>
      </c>
      <c r="CI56" s="361">
        <f t="shared" si="39"/>
        <v>0</v>
      </c>
      <c r="CJ56" s="312">
        <f t="shared" si="7"/>
        <v>1.1736297974791108</v>
      </c>
      <c r="CL56" s="325"/>
      <c r="CN56" s="315">
        <f t="shared" si="8"/>
        <v>34820</v>
      </c>
      <c r="CO56" s="312">
        <f t="shared" si="9"/>
        <v>1.1736297974791108</v>
      </c>
      <c r="CQ56" s="315">
        <f t="shared" si="10"/>
        <v>34820</v>
      </c>
      <c r="CR56" s="316">
        <f t="shared" si="11"/>
        <v>4.1202999999999994</v>
      </c>
      <c r="CT56" s="325"/>
      <c r="CW56" s="652" t="s">
        <v>356</v>
      </c>
      <c r="CX56" s="242" t="str">
        <f t="shared" si="37"/>
        <v>texto branco sobre fundo cinza-muito-claro</v>
      </c>
    </row>
    <row r="57" spans="2:102" ht="15" customHeight="1">
      <c r="B57" s="163">
        <v>38078</v>
      </c>
      <c r="C57" s="165">
        <v>240</v>
      </c>
      <c r="D57" s="274">
        <f t="shared" si="12"/>
        <v>38078</v>
      </c>
      <c r="E57" s="275">
        <f t="shared" si="13"/>
        <v>240</v>
      </c>
      <c r="G57" s="163">
        <v>38443</v>
      </c>
      <c r="H57" s="163">
        <v>38473</v>
      </c>
      <c r="I57" s="164">
        <v>2.003E-3</v>
      </c>
      <c r="J57" s="159">
        <f t="shared" si="14"/>
        <v>38473</v>
      </c>
      <c r="K57" s="278">
        <f t="shared" si="15"/>
        <v>2.003E-3</v>
      </c>
      <c r="M57" s="290">
        <v>36586</v>
      </c>
      <c r="N57" s="290">
        <v>36617</v>
      </c>
      <c r="O57" s="291">
        <v>5.0000000000000001E-3</v>
      </c>
      <c r="P57" s="159">
        <f t="shared" si="0"/>
        <v>36586</v>
      </c>
      <c r="Q57" s="291">
        <v>5.0000000000000001E-3</v>
      </c>
      <c r="S57" s="163">
        <v>36617</v>
      </c>
      <c r="T57" s="164">
        <v>1.2999999999999999E-2</v>
      </c>
      <c r="U57" s="159">
        <f t="shared" si="16"/>
        <v>36617</v>
      </c>
      <c r="V57" s="285">
        <f t="shared" si="17"/>
        <v>1.2999999999999999E-2</v>
      </c>
      <c r="X57" s="283"/>
      <c r="Y57" s="283"/>
      <c r="Z57" s="283"/>
      <c r="AA57" s="283"/>
      <c r="AB57" s="283"/>
      <c r="AC57" s="283"/>
      <c r="AD57" s="283"/>
      <c r="AE57" s="283"/>
      <c r="AF57" s="283"/>
      <c r="AG57" s="283"/>
      <c r="AH57" s="283"/>
      <c r="AI57" s="283"/>
      <c r="AJ57" s="283"/>
      <c r="AK57" s="283"/>
      <c r="AL57" s="283"/>
      <c r="AM57" s="283"/>
      <c r="AN57" s="283"/>
      <c r="AO57" s="283"/>
      <c r="AP57" s="283"/>
      <c r="BK57" s="325"/>
      <c r="BM57" s="160" t="s">
        <v>42</v>
      </c>
      <c r="BN57" s="355">
        <v>34851</v>
      </c>
      <c r="BO57" s="34">
        <v>0.70609999999999995</v>
      </c>
      <c r="BP57" s="278">
        <f t="shared" si="38"/>
        <v>7.1236368786290916E-2</v>
      </c>
      <c r="BQ57" s="312">
        <f t="shared" si="3"/>
        <v>1.3680079897852608</v>
      </c>
      <c r="BS57" s="31" t="s">
        <v>44</v>
      </c>
      <c r="BT57" s="168">
        <v>34851</v>
      </c>
      <c r="BU57" s="32">
        <v>0.01</v>
      </c>
      <c r="BV57" s="311">
        <f t="shared" si="4"/>
        <v>4.1102999999999996</v>
      </c>
      <c r="BX57" s="169" t="s">
        <v>44</v>
      </c>
      <c r="BY57" s="290">
        <v>34851</v>
      </c>
      <c r="BZ57" s="33">
        <v>0.01</v>
      </c>
      <c r="CA57" s="162">
        <f t="shared" si="5"/>
        <v>3.4025419999999982</v>
      </c>
      <c r="CF57" s="31" t="s">
        <v>42</v>
      </c>
      <c r="CG57" s="168">
        <v>34851</v>
      </c>
      <c r="CH57" s="34">
        <v>0.70609999999999995</v>
      </c>
      <c r="CI57" s="361">
        <f t="shared" si="39"/>
        <v>7.1236368786290916E-2</v>
      </c>
      <c r="CJ57" s="312">
        <f t="shared" si="7"/>
        <v>1.1736297974791108</v>
      </c>
      <c r="CL57" s="325"/>
      <c r="CN57" s="315">
        <f t="shared" si="8"/>
        <v>34851</v>
      </c>
      <c r="CO57" s="312">
        <f t="shared" si="9"/>
        <v>1.1736297974791108</v>
      </c>
      <c r="CQ57" s="315">
        <f t="shared" si="10"/>
        <v>34851</v>
      </c>
      <c r="CR57" s="316">
        <f t="shared" si="11"/>
        <v>4.1102999999999996</v>
      </c>
      <c r="CT57" s="325"/>
      <c r="CW57" s="655" t="s">
        <v>357</v>
      </c>
      <c r="CX57" s="242" t="str">
        <f t="shared" si="37"/>
        <v>SIC - Serviço de informação ao cidadão</v>
      </c>
    </row>
    <row r="58" spans="2:102" ht="15" customHeight="1">
      <c r="B58" s="163">
        <v>38108</v>
      </c>
      <c r="C58" s="165">
        <v>260</v>
      </c>
      <c r="D58" s="274">
        <f t="shared" si="12"/>
        <v>38108</v>
      </c>
      <c r="E58" s="275">
        <f t="shared" si="13"/>
        <v>260</v>
      </c>
      <c r="G58" s="163">
        <v>38473</v>
      </c>
      <c r="H58" s="163">
        <v>38504</v>
      </c>
      <c r="I58" s="164">
        <v>2.5270000000000002E-3</v>
      </c>
      <c r="J58" s="159">
        <f t="shared" si="14"/>
        <v>38504</v>
      </c>
      <c r="K58" s="278">
        <f t="shared" si="15"/>
        <v>2.5270000000000002E-3</v>
      </c>
      <c r="M58" s="290">
        <v>36617</v>
      </c>
      <c r="N58" s="290">
        <v>36647</v>
      </c>
      <c r="O58" s="291">
        <v>5.0000000000000001E-3</v>
      </c>
      <c r="P58" s="159">
        <f t="shared" si="0"/>
        <v>36617</v>
      </c>
      <c r="Q58" s="291">
        <v>5.0000000000000001E-3</v>
      </c>
      <c r="S58" s="163">
        <v>36647</v>
      </c>
      <c r="T58" s="164">
        <v>1.49E-2</v>
      </c>
      <c r="U58" s="159">
        <f t="shared" si="16"/>
        <v>36647</v>
      </c>
      <c r="V58" s="285">
        <f t="shared" si="17"/>
        <v>1.49E-2</v>
      </c>
      <c r="X58" s="283"/>
      <c r="Y58" s="283"/>
      <c r="Z58" s="283"/>
      <c r="AA58" s="283"/>
      <c r="AB58" s="283"/>
      <c r="AC58" s="283"/>
      <c r="AD58" s="283"/>
      <c r="AE58" s="283"/>
      <c r="AF58" s="283"/>
      <c r="AG58" s="283"/>
      <c r="AH58" s="283"/>
      <c r="AI58" s="283"/>
      <c r="AJ58" s="283"/>
      <c r="AK58" s="283"/>
      <c r="AL58" s="283"/>
      <c r="AM58" s="283"/>
      <c r="AN58" s="283"/>
      <c r="AO58" s="283"/>
      <c r="AP58" s="283"/>
      <c r="BK58" s="325"/>
      <c r="BM58" s="160" t="s">
        <v>42</v>
      </c>
      <c r="BN58" s="355">
        <v>34881</v>
      </c>
      <c r="BO58" s="34">
        <v>0.75639999999999996</v>
      </c>
      <c r="BP58" s="278">
        <f t="shared" si="38"/>
        <v>0</v>
      </c>
      <c r="BQ58" s="312">
        <f t="shared" si="3"/>
        <v>1.2770365436110163</v>
      </c>
      <c r="BS58" s="31" t="s">
        <v>44</v>
      </c>
      <c r="BT58" s="168">
        <v>34881</v>
      </c>
      <c r="BU58" s="32">
        <v>0.01</v>
      </c>
      <c r="BV58" s="311">
        <f t="shared" si="4"/>
        <v>4.1002999999999998</v>
      </c>
      <c r="BX58" s="169" t="s">
        <v>44</v>
      </c>
      <c r="BY58" s="290">
        <v>34881</v>
      </c>
      <c r="BZ58" s="33">
        <v>0.01</v>
      </c>
      <c r="CA58" s="162">
        <f t="shared" si="5"/>
        <v>3.3925419999999984</v>
      </c>
      <c r="CF58" s="31" t="s">
        <v>42</v>
      </c>
      <c r="CG58" s="168">
        <v>34881</v>
      </c>
      <c r="CH58" s="34">
        <v>0.75639999999999996</v>
      </c>
      <c r="CI58" s="361">
        <f t="shared" si="39"/>
        <v>0</v>
      </c>
      <c r="CJ58" s="312">
        <f t="shared" si="7"/>
        <v>1.0955843469063988</v>
      </c>
      <c r="CL58" s="325"/>
      <c r="CN58" s="315">
        <f t="shared" si="8"/>
        <v>34881</v>
      </c>
      <c r="CO58" s="312">
        <f t="shared" si="9"/>
        <v>1.0955843469063988</v>
      </c>
      <c r="CQ58" s="315">
        <f t="shared" si="10"/>
        <v>34881</v>
      </c>
      <c r="CR58" s="316">
        <f t="shared" si="11"/>
        <v>4.1002999999999998</v>
      </c>
      <c r="CT58" s="325"/>
      <c r="CW58"/>
      <c r="CX58" s="242" t="str">
        <f t="shared" si="37"/>
        <v/>
      </c>
    </row>
    <row r="59" spans="2:102" ht="15" customHeight="1">
      <c r="B59" s="163">
        <v>38139</v>
      </c>
      <c r="C59" s="165">
        <v>260</v>
      </c>
      <c r="D59" s="274">
        <f t="shared" si="12"/>
        <v>38139</v>
      </c>
      <c r="E59" s="275">
        <f t="shared" si="13"/>
        <v>260</v>
      </c>
      <c r="G59" s="163">
        <v>38504</v>
      </c>
      <c r="H59" s="163">
        <v>38534</v>
      </c>
      <c r="I59" s="164">
        <v>2.993E-3</v>
      </c>
      <c r="J59" s="159">
        <f t="shared" si="14"/>
        <v>38534</v>
      </c>
      <c r="K59" s="278">
        <f t="shared" si="15"/>
        <v>2.993E-3</v>
      </c>
      <c r="M59" s="290">
        <v>36647</v>
      </c>
      <c r="N59" s="290">
        <v>36678</v>
      </c>
      <c r="O59" s="291">
        <v>5.0000000000000001E-3</v>
      </c>
      <c r="P59" s="159">
        <f t="shared" si="0"/>
        <v>36647</v>
      </c>
      <c r="Q59" s="291">
        <v>5.0000000000000001E-3</v>
      </c>
      <c r="S59" s="163">
        <v>36678</v>
      </c>
      <c r="T59" s="164">
        <v>1.3899999999999999E-2</v>
      </c>
      <c r="U59" s="159">
        <f t="shared" si="16"/>
        <v>36678</v>
      </c>
      <c r="V59" s="285">
        <f t="shared" si="17"/>
        <v>1.3899999999999999E-2</v>
      </c>
      <c r="X59" s="283"/>
      <c r="Y59" s="283"/>
      <c r="Z59" s="283"/>
      <c r="AA59" s="283"/>
      <c r="AB59" s="283"/>
      <c r="AC59" s="283"/>
      <c r="AD59" s="283"/>
      <c r="AE59" s="283"/>
      <c r="AF59" s="283"/>
      <c r="AG59" s="283"/>
      <c r="AH59" s="283"/>
      <c r="AI59" s="283"/>
      <c r="AJ59" s="283"/>
      <c r="AK59" s="283"/>
      <c r="AL59" s="283"/>
      <c r="AM59" s="283"/>
      <c r="AN59" s="283"/>
      <c r="AO59" s="283"/>
      <c r="AP59" s="283"/>
      <c r="BK59" s="325"/>
      <c r="BM59" s="160" t="s">
        <v>42</v>
      </c>
      <c r="BN59" s="355">
        <v>34912</v>
      </c>
      <c r="BO59" s="34">
        <v>0.75639999999999996</v>
      </c>
      <c r="BP59" s="278">
        <f t="shared" si="38"/>
        <v>0</v>
      </c>
      <c r="BQ59" s="312">
        <f t="shared" si="3"/>
        <v>1.2770365436110163</v>
      </c>
      <c r="BS59" s="31" t="s">
        <v>44</v>
      </c>
      <c r="BT59" s="168">
        <v>34912</v>
      </c>
      <c r="BU59" s="32">
        <v>0.01</v>
      </c>
      <c r="BV59" s="311">
        <f t="shared" si="4"/>
        <v>4.0903</v>
      </c>
      <c r="BX59" s="169" t="s">
        <v>44</v>
      </c>
      <c r="BY59" s="290">
        <v>34912</v>
      </c>
      <c r="BZ59" s="33">
        <v>0.01</v>
      </c>
      <c r="CA59" s="162">
        <f t="shared" si="5"/>
        <v>3.3825419999999986</v>
      </c>
      <c r="CF59" s="31" t="s">
        <v>42</v>
      </c>
      <c r="CG59" s="168">
        <v>34912</v>
      </c>
      <c r="CH59" s="34">
        <v>0.75639999999999996</v>
      </c>
      <c r="CI59" s="361">
        <f t="shared" si="39"/>
        <v>0</v>
      </c>
      <c r="CJ59" s="312">
        <f t="shared" si="7"/>
        <v>1.0955843469063988</v>
      </c>
      <c r="CL59" s="325"/>
      <c r="CN59" s="315">
        <f t="shared" si="8"/>
        <v>34912</v>
      </c>
      <c r="CO59" s="312">
        <f t="shared" si="9"/>
        <v>1.0955843469063988</v>
      </c>
      <c r="CQ59" s="315">
        <f t="shared" si="10"/>
        <v>34912</v>
      </c>
      <c r="CR59" s="316">
        <f t="shared" si="11"/>
        <v>4.0903</v>
      </c>
      <c r="CT59" s="325"/>
      <c r="CW59" s="652" t="s">
        <v>358</v>
      </c>
      <c r="CX59" s="242" t="str">
        <f t="shared" si="37"/>
        <v>texto azul escuro sobre fundo cinza-muito-claro</v>
      </c>
    </row>
    <row r="60" spans="2:102" ht="15" customHeight="1">
      <c r="B60" s="163">
        <v>38169</v>
      </c>
      <c r="C60" s="165">
        <v>260</v>
      </c>
      <c r="D60" s="274">
        <f t="shared" si="12"/>
        <v>38169</v>
      </c>
      <c r="E60" s="275">
        <f t="shared" si="13"/>
        <v>260</v>
      </c>
      <c r="G60" s="163">
        <v>38534</v>
      </c>
      <c r="H60" s="163">
        <v>38565</v>
      </c>
      <c r="I60" s="164">
        <v>2.575E-3</v>
      </c>
      <c r="J60" s="159">
        <f t="shared" si="14"/>
        <v>38565</v>
      </c>
      <c r="K60" s="278">
        <f t="shared" si="15"/>
        <v>2.575E-3</v>
      </c>
      <c r="M60" s="290">
        <v>36678</v>
      </c>
      <c r="N60" s="290">
        <v>36708</v>
      </c>
      <c r="O60" s="291">
        <v>5.0000000000000001E-3</v>
      </c>
      <c r="P60" s="159">
        <f t="shared" si="0"/>
        <v>36678</v>
      </c>
      <c r="Q60" s="291">
        <v>5.0000000000000001E-3</v>
      </c>
      <c r="S60" s="163">
        <v>36708</v>
      </c>
      <c r="T60" s="164">
        <v>1.3100000000000001E-2</v>
      </c>
      <c r="U60" s="159">
        <f t="shared" si="16"/>
        <v>36708</v>
      </c>
      <c r="V60" s="285">
        <f t="shared" si="17"/>
        <v>1.3100000000000001E-2</v>
      </c>
      <c r="X60" s="283"/>
      <c r="Y60" s="283"/>
      <c r="Z60" s="283"/>
      <c r="AA60" s="283"/>
      <c r="AB60" s="283"/>
      <c r="AC60" s="283"/>
      <c r="AD60" s="283"/>
      <c r="AE60" s="283"/>
      <c r="AF60" s="283"/>
      <c r="AG60" s="283"/>
      <c r="AH60" s="283"/>
      <c r="AI60" s="283"/>
      <c r="AJ60" s="283"/>
      <c r="AK60" s="283"/>
      <c r="AL60" s="283"/>
      <c r="AM60" s="283"/>
      <c r="AN60" s="283"/>
      <c r="AO60" s="283"/>
      <c r="AP60" s="283"/>
      <c r="BK60" s="325"/>
      <c r="BM60" s="160" t="s">
        <v>42</v>
      </c>
      <c r="BN60" s="355">
        <v>34943</v>
      </c>
      <c r="BO60" s="34">
        <v>0.75639999999999996</v>
      </c>
      <c r="BP60" s="278">
        <f t="shared" si="38"/>
        <v>5.1295610787942966E-2</v>
      </c>
      <c r="BQ60" s="312">
        <f t="shared" si="3"/>
        <v>1.2770365436110163</v>
      </c>
      <c r="BS60" s="31" t="s">
        <v>44</v>
      </c>
      <c r="BT60" s="168">
        <v>34943</v>
      </c>
      <c r="BU60" s="32">
        <v>0.01</v>
      </c>
      <c r="BV60" s="311">
        <f t="shared" si="4"/>
        <v>4.0803000000000003</v>
      </c>
      <c r="BX60" s="169" t="s">
        <v>44</v>
      </c>
      <c r="BY60" s="290">
        <v>34943</v>
      </c>
      <c r="BZ60" s="33">
        <v>0.01</v>
      </c>
      <c r="CA60" s="162">
        <f t="shared" si="5"/>
        <v>3.3725419999999988</v>
      </c>
      <c r="CF60" s="31" t="s">
        <v>42</v>
      </c>
      <c r="CG60" s="168">
        <v>34943</v>
      </c>
      <c r="CH60" s="34">
        <v>0.75639999999999996</v>
      </c>
      <c r="CI60" s="361">
        <f t="shared" si="39"/>
        <v>5.1295610787942966E-2</v>
      </c>
      <c r="CJ60" s="312">
        <f t="shared" si="7"/>
        <v>1.0955843469063988</v>
      </c>
      <c r="CL60" s="325"/>
      <c r="CN60" s="315">
        <f t="shared" si="8"/>
        <v>34943</v>
      </c>
      <c r="CO60" s="312">
        <f t="shared" si="9"/>
        <v>1.0955843469063988</v>
      </c>
      <c r="CQ60" s="315">
        <f t="shared" si="10"/>
        <v>34943</v>
      </c>
      <c r="CR60" s="316">
        <f t="shared" si="11"/>
        <v>4.0803000000000003</v>
      </c>
      <c r="CT60" s="325"/>
      <c r="CW60" s="655" t="s">
        <v>359</v>
      </c>
      <c r="CX60" s="242" t="str">
        <f t="shared" si="37"/>
        <v>Carta de serviços</v>
      </c>
    </row>
    <row r="61" spans="2:102" ht="15" customHeight="1">
      <c r="B61" s="163">
        <v>38200</v>
      </c>
      <c r="C61" s="165">
        <v>260</v>
      </c>
      <c r="D61" s="274">
        <f t="shared" si="12"/>
        <v>38200</v>
      </c>
      <c r="E61" s="275">
        <f t="shared" si="13"/>
        <v>260</v>
      </c>
      <c r="G61" s="163">
        <v>38565</v>
      </c>
      <c r="H61" s="163">
        <v>38596</v>
      </c>
      <c r="I61" s="164">
        <v>3.4659999999999999E-3</v>
      </c>
      <c r="J61" s="159">
        <f t="shared" si="14"/>
        <v>38596</v>
      </c>
      <c r="K61" s="278">
        <f t="shared" si="15"/>
        <v>3.4659999999999999E-3</v>
      </c>
      <c r="M61" s="290">
        <v>36708</v>
      </c>
      <c r="N61" s="290">
        <v>36739</v>
      </c>
      <c r="O61" s="291">
        <v>5.0000000000000001E-3</v>
      </c>
      <c r="P61" s="159">
        <f t="shared" si="0"/>
        <v>36708</v>
      </c>
      <c r="Q61" s="291">
        <v>5.0000000000000001E-3</v>
      </c>
      <c r="S61" s="163">
        <v>36739</v>
      </c>
      <c r="T61" s="164">
        <v>1.41E-2</v>
      </c>
      <c r="U61" s="159">
        <f t="shared" si="16"/>
        <v>36739</v>
      </c>
      <c r="V61" s="285">
        <f t="shared" si="17"/>
        <v>1.41E-2</v>
      </c>
      <c r="X61" s="283"/>
      <c r="Y61" s="283"/>
      <c r="Z61" s="283"/>
      <c r="AA61" s="283"/>
      <c r="AB61" s="283"/>
      <c r="AC61" s="283"/>
      <c r="AD61" s="283"/>
      <c r="AE61" s="283"/>
      <c r="AF61" s="283"/>
      <c r="AG61" s="283"/>
      <c r="AH61" s="283"/>
      <c r="AI61" s="283"/>
      <c r="AJ61" s="283"/>
      <c r="AK61" s="283"/>
      <c r="AL61" s="283"/>
      <c r="AM61" s="283"/>
      <c r="AN61" s="283"/>
      <c r="AO61" s="283"/>
      <c r="AP61" s="283"/>
      <c r="BK61" s="325"/>
      <c r="BM61" s="160" t="s">
        <v>42</v>
      </c>
      <c r="BN61" s="355">
        <v>34973</v>
      </c>
      <c r="BO61" s="34">
        <v>0.79520000000000002</v>
      </c>
      <c r="BP61" s="278">
        <f t="shared" si="38"/>
        <v>0</v>
      </c>
      <c r="BQ61" s="312">
        <f t="shared" si="3"/>
        <v>1.2147264104468971</v>
      </c>
      <c r="BS61" s="31" t="s">
        <v>44</v>
      </c>
      <c r="BT61" s="168">
        <v>34973</v>
      </c>
      <c r="BU61" s="32">
        <v>0.01</v>
      </c>
      <c r="BV61" s="311">
        <f t="shared" si="4"/>
        <v>4.0703000000000005</v>
      </c>
      <c r="BX61" s="169" t="s">
        <v>44</v>
      </c>
      <c r="BY61" s="290">
        <v>34973</v>
      </c>
      <c r="BZ61" s="33">
        <v>0.01</v>
      </c>
      <c r="CA61" s="162">
        <f t="shared" si="5"/>
        <v>3.362541999999999</v>
      </c>
      <c r="CF61" s="31" t="s">
        <v>42</v>
      </c>
      <c r="CG61" s="168">
        <v>34973</v>
      </c>
      <c r="CH61" s="34">
        <v>0.79520000000000002</v>
      </c>
      <c r="CI61" s="361">
        <f t="shared" si="39"/>
        <v>0</v>
      </c>
      <c r="CJ61" s="312">
        <f t="shared" si="7"/>
        <v>1.0421277665995976</v>
      </c>
      <c r="CL61" s="325"/>
      <c r="CN61" s="315">
        <f t="shared" si="8"/>
        <v>34973</v>
      </c>
      <c r="CO61" s="312">
        <f t="shared" si="9"/>
        <v>1.0421277665995976</v>
      </c>
      <c r="CQ61" s="315">
        <f t="shared" si="10"/>
        <v>34973</v>
      </c>
      <c r="CR61" s="316">
        <f t="shared" si="11"/>
        <v>4.0703000000000005</v>
      </c>
      <c r="CT61" s="325"/>
      <c r="CW61"/>
      <c r="CX61" s="242" t="str">
        <f t="shared" si="37"/>
        <v/>
      </c>
    </row>
    <row r="62" spans="2:102" ht="15" customHeight="1">
      <c r="B62" s="163">
        <v>38231</v>
      </c>
      <c r="C62" s="165">
        <v>260</v>
      </c>
      <c r="D62" s="274">
        <f t="shared" si="12"/>
        <v>38231</v>
      </c>
      <c r="E62" s="275">
        <f t="shared" si="13"/>
        <v>260</v>
      </c>
      <c r="G62" s="163">
        <v>38596</v>
      </c>
      <c r="H62" s="163">
        <v>38626</v>
      </c>
      <c r="I62" s="164">
        <v>2.637E-3</v>
      </c>
      <c r="J62" s="159">
        <f t="shared" si="14"/>
        <v>38626</v>
      </c>
      <c r="K62" s="278">
        <f t="shared" si="15"/>
        <v>2.637E-3</v>
      </c>
      <c r="M62" s="290">
        <v>36739</v>
      </c>
      <c r="N62" s="290">
        <v>36770</v>
      </c>
      <c r="O62" s="291">
        <v>5.0000000000000001E-3</v>
      </c>
      <c r="P62" s="159">
        <f t="shared" si="0"/>
        <v>36739</v>
      </c>
      <c r="Q62" s="291">
        <v>5.0000000000000001E-3</v>
      </c>
      <c r="S62" s="163">
        <v>36770</v>
      </c>
      <c r="T62" s="164">
        <v>1.2200000000000001E-2</v>
      </c>
      <c r="U62" s="159">
        <f t="shared" si="16"/>
        <v>36770</v>
      </c>
      <c r="V62" s="285">
        <f t="shared" si="17"/>
        <v>1.2200000000000001E-2</v>
      </c>
      <c r="X62" s="283"/>
      <c r="Y62" s="283"/>
      <c r="Z62" s="283"/>
      <c r="AA62" s="283"/>
      <c r="AB62" s="283"/>
      <c r="AC62" s="283"/>
      <c r="AD62" s="283"/>
      <c r="AE62" s="283"/>
      <c r="AF62" s="283"/>
      <c r="AG62" s="283"/>
      <c r="AH62" s="283"/>
      <c r="AI62" s="283"/>
      <c r="AJ62" s="283"/>
      <c r="AK62" s="283"/>
      <c r="AL62" s="283"/>
      <c r="AM62" s="283"/>
      <c r="AN62" s="283"/>
      <c r="AO62" s="283"/>
      <c r="AP62" s="283"/>
      <c r="BK62" s="325"/>
      <c r="BM62" s="160" t="s">
        <v>42</v>
      </c>
      <c r="BN62" s="355">
        <v>35004</v>
      </c>
      <c r="BO62" s="34">
        <v>0.79520000000000002</v>
      </c>
      <c r="BP62" s="278">
        <f t="shared" si="38"/>
        <v>0</v>
      </c>
      <c r="BQ62" s="312">
        <f t="shared" si="3"/>
        <v>1.2147264104468971</v>
      </c>
      <c r="BS62" s="31" t="s">
        <v>44</v>
      </c>
      <c r="BT62" s="168">
        <v>35004</v>
      </c>
      <c r="BU62" s="32">
        <v>0.01</v>
      </c>
      <c r="BV62" s="311">
        <f t="shared" si="4"/>
        <v>4.0603000000000007</v>
      </c>
      <c r="BX62" s="169" t="s">
        <v>44</v>
      </c>
      <c r="BY62" s="290">
        <v>35004</v>
      </c>
      <c r="BZ62" s="33">
        <v>0.01</v>
      </c>
      <c r="CA62" s="162">
        <f t="shared" si="5"/>
        <v>3.3525419999999992</v>
      </c>
      <c r="CF62" s="31" t="s">
        <v>42</v>
      </c>
      <c r="CG62" s="168">
        <v>35004</v>
      </c>
      <c r="CH62" s="34">
        <v>0.79520000000000002</v>
      </c>
      <c r="CI62" s="361">
        <f t="shared" si="39"/>
        <v>0</v>
      </c>
      <c r="CJ62" s="312">
        <f t="shared" si="7"/>
        <v>1.0421277665995976</v>
      </c>
      <c r="CL62" s="325"/>
      <c r="CN62" s="315">
        <f t="shared" si="8"/>
        <v>35004</v>
      </c>
      <c r="CO62" s="312">
        <f t="shared" si="9"/>
        <v>1.0421277665995976</v>
      </c>
      <c r="CQ62" s="315">
        <f t="shared" si="10"/>
        <v>35004</v>
      </c>
      <c r="CR62" s="316">
        <f t="shared" si="11"/>
        <v>4.0603000000000007</v>
      </c>
      <c r="CT62" s="325"/>
      <c r="CW62" s="652" t="s">
        <v>356</v>
      </c>
      <c r="CX62" s="242" t="str">
        <f t="shared" si="37"/>
        <v>texto branco sobre fundo cinza-muito-claro</v>
      </c>
    </row>
    <row r="63" spans="2:102" ht="15" customHeight="1">
      <c r="B63" s="163">
        <v>38261</v>
      </c>
      <c r="C63" s="165">
        <v>260</v>
      </c>
      <c r="D63" s="274">
        <f t="shared" si="12"/>
        <v>38261</v>
      </c>
      <c r="E63" s="275">
        <f t="shared" si="13"/>
        <v>260</v>
      </c>
      <c r="G63" s="163">
        <v>38626</v>
      </c>
      <c r="H63" s="163">
        <v>38657</v>
      </c>
      <c r="I63" s="164">
        <v>2.0999999999999999E-3</v>
      </c>
      <c r="J63" s="159">
        <f t="shared" si="14"/>
        <v>38657</v>
      </c>
      <c r="K63" s="278">
        <f t="shared" si="15"/>
        <v>2.0999999999999999E-3</v>
      </c>
      <c r="M63" s="290">
        <v>36770</v>
      </c>
      <c r="N63" s="290">
        <v>36800</v>
      </c>
      <c r="O63" s="291">
        <v>5.0000000000000001E-3</v>
      </c>
      <c r="P63" s="159">
        <f t="shared" si="0"/>
        <v>36770</v>
      </c>
      <c r="Q63" s="291">
        <v>5.0000000000000001E-3</v>
      </c>
      <c r="S63" s="163">
        <v>36800</v>
      </c>
      <c r="T63" s="164">
        <v>1.29E-2</v>
      </c>
      <c r="U63" s="159">
        <f t="shared" si="16"/>
        <v>36800</v>
      </c>
      <c r="V63" s="285">
        <f t="shared" si="17"/>
        <v>1.29E-2</v>
      </c>
      <c r="X63" s="283"/>
      <c r="Y63" s="283"/>
      <c r="Z63" s="283"/>
      <c r="AA63" s="283"/>
      <c r="AB63" s="283"/>
      <c r="AC63" s="283"/>
      <c r="AD63" s="283"/>
      <c r="AE63" s="283"/>
      <c r="AF63" s="283"/>
      <c r="AG63" s="283"/>
      <c r="AH63" s="283"/>
      <c r="AI63" s="283"/>
      <c r="AJ63" s="283"/>
      <c r="AK63" s="283"/>
      <c r="AL63" s="283"/>
      <c r="AM63" s="283"/>
      <c r="AN63" s="283"/>
      <c r="AO63" s="283"/>
      <c r="AP63" s="283"/>
      <c r="BK63" s="325"/>
      <c r="BM63" s="160" t="s">
        <v>42</v>
      </c>
      <c r="BN63" s="355">
        <v>35034</v>
      </c>
      <c r="BO63" s="34">
        <v>0.79520000000000002</v>
      </c>
      <c r="BP63" s="278">
        <f t="shared" si="38"/>
        <v>4.2127766599597549E-2</v>
      </c>
      <c r="BQ63" s="312">
        <f t="shared" si="3"/>
        <v>1.2147264104468971</v>
      </c>
      <c r="BS63" s="31" t="s">
        <v>44</v>
      </c>
      <c r="BT63" s="168">
        <v>35034</v>
      </c>
      <c r="BU63" s="32">
        <v>0.01</v>
      </c>
      <c r="BV63" s="311">
        <f t="shared" si="4"/>
        <v>4.0503000000000009</v>
      </c>
      <c r="BX63" s="169" t="s">
        <v>44</v>
      </c>
      <c r="BY63" s="290">
        <v>35034</v>
      </c>
      <c r="BZ63" s="33">
        <v>0.01</v>
      </c>
      <c r="CA63" s="162">
        <f t="shared" si="5"/>
        <v>3.3425419999999995</v>
      </c>
      <c r="CF63" s="31" t="s">
        <v>42</v>
      </c>
      <c r="CG63" s="168">
        <v>35034</v>
      </c>
      <c r="CH63" s="34">
        <v>0.79520000000000002</v>
      </c>
      <c r="CI63" s="361">
        <f>+((CH64-CH63)/CH63)</f>
        <v>4.2127766599597549E-2</v>
      </c>
      <c r="CJ63" s="312">
        <f t="shared" si="7"/>
        <v>1.0421277665995976</v>
      </c>
      <c r="CL63" s="325"/>
      <c r="CN63" s="315">
        <f t="shared" si="8"/>
        <v>35034</v>
      </c>
      <c r="CO63" s="312">
        <f t="shared" si="9"/>
        <v>1.0421277665995976</v>
      </c>
      <c r="CQ63" s="315">
        <f t="shared" si="10"/>
        <v>35034</v>
      </c>
      <c r="CR63" s="316">
        <f t="shared" si="11"/>
        <v>4.0503000000000009</v>
      </c>
      <c r="CT63" s="325"/>
      <c r="CW63" s="655" t="s">
        <v>360</v>
      </c>
      <c r="CX63" s="242" t="str">
        <f t="shared" si="37"/>
        <v>Autenticidade de documentos</v>
      </c>
    </row>
    <row r="64" spans="2:102" ht="15" customHeight="1">
      <c r="B64" s="163">
        <v>38292</v>
      </c>
      <c r="C64" s="165">
        <v>260</v>
      </c>
      <c r="D64" s="274">
        <f t="shared" si="12"/>
        <v>38292</v>
      </c>
      <c r="E64" s="275">
        <f t="shared" si="13"/>
        <v>260</v>
      </c>
      <c r="G64" s="163">
        <v>38657</v>
      </c>
      <c r="H64" s="163">
        <v>38687</v>
      </c>
      <c r="I64" s="164">
        <v>1.9289999999999999E-3</v>
      </c>
      <c r="J64" s="159">
        <f t="shared" si="14"/>
        <v>38687</v>
      </c>
      <c r="K64" s="278">
        <f t="shared" si="15"/>
        <v>1.9289999999999999E-3</v>
      </c>
      <c r="M64" s="290">
        <v>36800</v>
      </c>
      <c r="N64" s="290">
        <v>36831</v>
      </c>
      <c r="O64" s="291">
        <v>5.0000000000000001E-3</v>
      </c>
      <c r="P64" s="159">
        <f t="shared" si="0"/>
        <v>36800</v>
      </c>
      <c r="Q64" s="291">
        <v>5.0000000000000001E-3</v>
      </c>
      <c r="S64" s="163">
        <v>36831</v>
      </c>
      <c r="T64" s="164">
        <v>1.2200000000000001E-2</v>
      </c>
      <c r="U64" s="159">
        <f t="shared" si="16"/>
        <v>36831</v>
      </c>
      <c r="V64" s="285">
        <f t="shared" si="17"/>
        <v>1.2200000000000001E-2</v>
      </c>
      <c r="X64" s="283"/>
      <c r="Y64" s="283"/>
      <c r="Z64" s="283"/>
      <c r="AA64" s="283"/>
      <c r="AB64" s="283"/>
      <c r="AC64" s="283"/>
      <c r="AD64" s="283"/>
      <c r="AE64" s="283"/>
      <c r="AF64" s="283"/>
      <c r="AG64" s="283"/>
      <c r="AH64" s="283"/>
      <c r="AI64" s="283"/>
      <c r="AJ64" s="283"/>
      <c r="AK64" s="283"/>
      <c r="AL64" s="283"/>
      <c r="AM64" s="283"/>
      <c r="AN64" s="283"/>
      <c r="AO64" s="283"/>
      <c r="AP64" s="283"/>
      <c r="BK64" s="325"/>
      <c r="BM64" s="161" t="s">
        <v>42</v>
      </c>
      <c r="BN64" s="356">
        <v>35065</v>
      </c>
      <c r="BO64" s="36">
        <v>0.82869999999999999</v>
      </c>
      <c r="BP64" s="37">
        <v>0</v>
      </c>
      <c r="BQ64" s="312">
        <f t="shared" si="3"/>
        <v>1.1656213848043593</v>
      </c>
      <c r="BS64" s="166" t="s">
        <v>43</v>
      </c>
      <c r="BT64" s="159">
        <f>U6</f>
        <v>35065</v>
      </c>
      <c r="BU64" s="162">
        <f>V6</f>
        <v>2.58E-2</v>
      </c>
      <c r="BV64" s="311">
        <f t="shared" si="4"/>
        <v>4.0403000000000011</v>
      </c>
      <c r="BX64" s="170" t="s">
        <v>43</v>
      </c>
      <c r="BY64" s="159">
        <f>BT64</f>
        <v>35065</v>
      </c>
      <c r="BZ64" s="162">
        <f>BU64</f>
        <v>2.58E-2</v>
      </c>
      <c r="CA64" s="162">
        <f t="shared" si="5"/>
        <v>3.3325419999999997</v>
      </c>
      <c r="CF64" s="35" t="s">
        <v>42</v>
      </c>
      <c r="CG64" s="331">
        <v>35065</v>
      </c>
      <c r="CH64" s="36">
        <v>0.82869999999999999</v>
      </c>
      <c r="CI64" s="314">
        <v>0</v>
      </c>
      <c r="CJ64" s="312">
        <f t="shared" si="7"/>
        <v>1</v>
      </c>
      <c r="CL64" s="325"/>
      <c r="CN64" s="315">
        <f t="shared" si="8"/>
        <v>35065</v>
      </c>
      <c r="CO64" s="312">
        <f t="shared" si="9"/>
        <v>1</v>
      </c>
      <c r="CQ64" s="315">
        <f t="shared" si="10"/>
        <v>35065</v>
      </c>
      <c r="CR64" s="316">
        <f t="shared" si="11"/>
        <v>4.0403000000000011</v>
      </c>
      <c r="CT64" s="325"/>
      <c r="CW64"/>
      <c r="CX64" s="242" t="str">
        <f t="shared" si="37"/>
        <v/>
      </c>
    </row>
    <row r="65" spans="2:102" ht="15" customHeight="1">
      <c r="B65" s="163">
        <v>38322</v>
      </c>
      <c r="C65" s="165">
        <v>260</v>
      </c>
      <c r="D65" s="274">
        <f t="shared" si="12"/>
        <v>38322</v>
      </c>
      <c r="E65" s="275">
        <f t="shared" si="13"/>
        <v>260</v>
      </c>
      <c r="G65" s="163">
        <v>38687</v>
      </c>
      <c r="H65" s="163">
        <v>38718</v>
      </c>
      <c r="I65" s="164">
        <v>2.2690000000000002E-3</v>
      </c>
      <c r="J65" s="159">
        <f t="shared" si="14"/>
        <v>38718</v>
      </c>
      <c r="K65" s="278">
        <f t="shared" si="15"/>
        <v>2.2690000000000002E-3</v>
      </c>
      <c r="M65" s="290">
        <v>36831</v>
      </c>
      <c r="N65" s="290">
        <v>36861</v>
      </c>
      <c r="O65" s="291">
        <v>5.0000000000000001E-3</v>
      </c>
      <c r="P65" s="159">
        <f t="shared" si="0"/>
        <v>36831</v>
      </c>
      <c r="Q65" s="291">
        <v>5.0000000000000001E-3</v>
      </c>
      <c r="S65" s="163">
        <v>36861</v>
      </c>
      <c r="T65" s="164">
        <v>1.2E-2</v>
      </c>
      <c r="U65" s="159">
        <f t="shared" si="16"/>
        <v>36861</v>
      </c>
      <c r="V65" s="285">
        <f t="shared" si="17"/>
        <v>1.2E-2</v>
      </c>
      <c r="X65" s="283"/>
      <c r="Y65" s="283"/>
      <c r="Z65" s="283"/>
      <c r="AA65" s="283"/>
      <c r="AB65" s="283"/>
      <c r="AC65" s="283"/>
      <c r="AD65" s="283"/>
      <c r="AE65" s="283"/>
      <c r="AF65" s="283"/>
      <c r="AG65" s="283"/>
      <c r="AH65" s="283"/>
      <c r="AI65" s="283"/>
      <c r="AJ65" s="283"/>
      <c r="AK65" s="283"/>
      <c r="AL65" s="283"/>
      <c r="AM65" s="283"/>
      <c r="AN65" s="283"/>
      <c r="AO65" s="283"/>
      <c r="AP65" s="283"/>
      <c r="BK65" s="325"/>
      <c r="BM65" s="160" t="s">
        <v>197</v>
      </c>
      <c r="BN65" s="355">
        <f>+EDATE(BN64,1)</f>
        <v>35096</v>
      </c>
      <c r="BO65" s="37">
        <v>0</v>
      </c>
      <c r="BP65" s="278">
        <f t="shared" ref="BP65:BP128" si="42">+BO65</f>
        <v>0</v>
      </c>
      <c r="BQ65" s="312">
        <f t="shared" si="3"/>
        <v>1.1656213848043593</v>
      </c>
      <c r="BS65" s="31" t="s">
        <v>43</v>
      </c>
      <c r="BT65" s="159">
        <f t="shared" ref="BT65:BT88" si="43">U7</f>
        <v>35096</v>
      </c>
      <c r="BU65" s="162">
        <f t="shared" ref="BU65:BU88" si="44">V7</f>
        <v>2.35E-2</v>
      </c>
      <c r="BV65" s="311">
        <f t="shared" si="4"/>
        <v>4.0145000000000008</v>
      </c>
      <c r="BX65" s="170" t="s">
        <v>43</v>
      </c>
      <c r="BY65" s="159">
        <f t="shared" ref="BY65:BY128" si="45">BT65</f>
        <v>35096</v>
      </c>
      <c r="BZ65" s="162">
        <f t="shared" ref="BZ65:BZ128" si="46">BU65</f>
        <v>2.35E-2</v>
      </c>
      <c r="CA65" s="162">
        <f t="shared" si="5"/>
        <v>3.3067419999999998</v>
      </c>
      <c r="CF65" s="31" t="s">
        <v>197</v>
      </c>
      <c r="CG65" s="168">
        <f>+EDATE(CG64,1)</f>
        <v>35096</v>
      </c>
      <c r="CH65" s="37">
        <v>0</v>
      </c>
      <c r="CI65" s="314">
        <f t="shared" ref="CI65:CI128" si="47">+CH65</f>
        <v>0</v>
      </c>
      <c r="CJ65" s="312">
        <f t="shared" si="7"/>
        <v>1</v>
      </c>
      <c r="CL65" s="325"/>
      <c r="CN65" s="315">
        <f t="shared" si="8"/>
        <v>35096</v>
      </c>
      <c r="CO65" s="312">
        <f t="shared" si="9"/>
        <v>1</v>
      </c>
      <c r="CQ65" s="315">
        <f t="shared" si="10"/>
        <v>35096</v>
      </c>
      <c r="CR65" s="316">
        <f t="shared" si="11"/>
        <v>4.0145000000000008</v>
      </c>
      <c r="CT65" s="325"/>
      <c r="CW65" s="652" t="s">
        <v>356</v>
      </c>
      <c r="CX65" s="242" t="str">
        <f t="shared" si="37"/>
        <v>texto branco sobre fundo cinza-muito-claro</v>
      </c>
    </row>
    <row r="66" spans="2:102" ht="15" customHeight="1">
      <c r="B66" s="163">
        <v>38353</v>
      </c>
      <c r="C66" s="165">
        <v>260</v>
      </c>
      <c r="D66" s="274">
        <f t="shared" si="12"/>
        <v>38353</v>
      </c>
      <c r="E66" s="275">
        <f t="shared" si="13"/>
        <v>260</v>
      </c>
      <c r="G66" s="163">
        <v>38718</v>
      </c>
      <c r="H66" s="163">
        <v>38749</v>
      </c>
      <c r="I66" s="164">
        <v>2.3259999999999999E-3</v>
      </c>
      <c r="J66" s="159">
        <f t="shared" si="14"/>
        <v>38749</v>
      </c>
      <c r="K66" s="278">
        <f t="shared" si="15"/>
        <v>2.3259999999999999E-3</v>
      </c>
      <c r="M66" s="290">
        <v>36861</v>
      </c>
      <c r="N66" s="290">
        <v>36892</v>
      </c>
      <c r="O66" s="291">
        <v>5.0000000000000001E-3</v>
      </c>
      <c r="P66" s="159">
        <f t="shared" si="0"/>
        <v>36861</v>
      </c>
      <c r="Q66" s="291">
        <v>5.0000000000000001E-3</v>
      </c>
      <c r="S66" s="163">
        <v>36892</v>
      </c>
      <c r="T66" s="164">
        <v>1.2699999999999999E-2</v>
      </c>
      <c r="U66" s="159">
        <f t="shared" si="16"/>
        <v>36892</v>
      </c>
      <c r="V66" s="285">
        <f t="shared" si="17"/>
        <v>1.2699999999999999E-2</v>
      </c>
      <c r="X66" s="283"/>
      <c r="Y66" s="283"/>
      <c r="Z66" s="283"/>
      <c r="AA66" s="283"/>
      <c r="AB66" s="283"/>
      <c r="AC66" s="283"/>
      <c r="AD66" s="283"/>
      <c r="AE66" s="283"/>
      <c r="AF66" s="283"/>
      <c r="AG66" s="283"/>
      <c r="AH66" s="283"/>
      <c r="AI66" s="283"/>
      <c r="AJ66" s="283"/>
      <c r="AK66" s="283"/>
      <c r="AL66" s="283"/>
      <c r="AM66" s="283"/>
      <c r="AN66" s="283"/>
      <c r="AO66" s="283"/>
      <c r="AP66" s="283"/>
      <c r="BK66" s="325"/>
      <c r="BM66" s="160" t="s">
        <v>197</v>
      </c>
      <c r="BN66" s="355">
        <f>+EDATE(BN65,1)</f>
        <v>35125</v>
      </c>
      <c r="BO66" s="37">
        <v>0</v>
      </c>
      <c r="BP66" s="278">
        <f t="shared" si="42"/>
        <v>0</v>
      </c>
      <c r="BQ66" s="312">
        <f t="shared" si="3"/>
        <v>1.1656213848043593</v>
      </c>
      <c r="BS66" s="31" t="s">
        <v>43</v>
      </c>
      <c r="BT66" s="159">
        <f t="shared" si="43"/>
        <v>35125</v>
      </c>
      <c r="BU66" s="162">
        <f t="shared" si="44"/>
        <v>2.2200000000000001E-2</v>
      </c>
      <c r="BV66" s="311">
        <f t="shared" si="4"/>
        <v>3.991000000000001</v>
      </c>
      <c r="BX66" s="170" t="s">
        <v>43</v>
      </c>
      <c r="BY66" s="159">
        <f t="shared" si="45"/>
        <v>35125</v>
      </c>
      <c r="BZ66" s="162">
        <f t="shared" si="46"/>
        <v>2.2200000000000001E-2</v>
      </c>
      <c r="CA66" s="162">
        <f t="shared" si="5"/>
        <v>3.283242</v>
      </c>
      <c r="CF66" s="31" t="s">
        <v>197</v>
      </c>
      <c r="CG66" s="168">
        <f>+EDATE(CG65,1)</f>
        <v>35125</v>
      </c>
      <c r="CH66" s="37">
        <v>0</v>
      </c>
      <c r="CI66" s="314">
        <f t="shared" si="47"/>
        <v>0</v>
      </c>
      <c r="CJ66" s="312">
        <f t="shared" si="7"/>
        <v>1</v>
      </c>
      <c r="CL66" s="325"/>
      <c r="CN66" s="315">
        <f t="shared" si="8"/>
        <v>35125</v>
      </c>
      <c r="CO66" s="312">
        <f t="shared" si="9"/>
        <v>1</v>
      </c>
      <c r="CQ66" s="315">
        <f t="shared" si="10"/>
        <v>35125</v>
      </c>
      <c r="CR66" s="316">
        <f t="shared" si="11"/>
        <v>3.991000000000001</v>
      </c>
      <c r="CT66" s="325"/>
      <c r="CW66" s="655" t="s">
        <v>361</v>
      </c>
      <c r="CX66" s="242" t="str">
        <f t="shared" si="37"/>
        <v>Biblioteca</v>
      </c>
    </row>
    <row r="67" spans="2:102" ht="15" customHeight="1">
      <c r="B67" s="163">
        <v>38384</v>
      </c>
      <c r="C67" s="165">
        <v>260</v>
      </c>
      <c r="D67" s="274">
        <f t="shared" si="12"/>
        <v>38384</v>
      </c>
      <c r="E67" s="275">
        <f t="shared" si="13"/>
        <v>260</v>
      </c>
      <c r="G67" s="163">
        <v>38749</v>
      </c>
      <c r="H67" s="163">
        <v>38777</v>
      </c>
      <c r="I67" s="164">
        <v>7.2499999999999995E-4</v>
      </c>
      <c r="J67" s="159">
        <f t="shared" si="14"/>
        <v>38777</v>
      </c>
      <c r="K67" s="278">
        <f t="shared" si="15"/>
        <v>7.2499999999999995E-4</v>
      </c>
      <c r="M67" s="163">
        <v>36892</v>
      </c>
      <c r="N67" s="163">
        <v>36923</v>
      </c>
      <c r="O67" s="164">
        <v>5.0000000000000001E-3</v>
      </c>
      <c r="P67" s="159">
        <f t="shared" si="0"/>
        <v>36892</v>
      </c>
      <c r="Q67" s="292">
        <f t="shared" ref="Q67:Q130" si="48">IF(AND(P67&lt;&gt;"",P68=""),0,IF(TRIM(O67)="","",IF(AND(P67&gt;=vdt_ec113,VOP_EC113="SIM"),0,O67)))</f>
        <v>5.0000000000000001E-3</v>
      </c>
      <c r="S67" s="163">
        <v>36923</v>
      </c>
      <c r="T67" s="164">
        <v>1.0200000000000001E-2</v>
      </c>
      <c r="U67" s="159">
        <f t="shared" si="16"/>
        <v>36923</v>
      </c>
      <c r="V67" s="285">
        <f t="shared" si="17"/>
        <v>1.0200000000000001E-2</v>
      </c>
      <c r="X67" s="283"/>
      <c r="Y67" s="283"/>
      <c r="Z67" s="283"/>
      <c r="AA67" s="283"/>
      <c r="AB67" s="283"/>
      <c r="AC67" s="283"/>
      <c r="AD67" s="283"/>
      <c r="AE67" s="283"/>
      <c r="AF67" s="283"/>
      <c r="AG67" s="283"/>
      <c r="AH67" s="283"/>
      <c r="AI67" s="283"/>
      <c r="AJ67" s="283"/>
      <c r="AK67" s="283"/>
      <c r="AL67" s="283"/>
      <c r="AM67" s="283"/>
      <c r="AN67" s="283"/>
      <c r="AO67" s="283"/>
      <c r="AP67" s="283"/>
      <c r="BK67" s="325"/>
      <c r="BM67" s="160" t="s">
        <v>197</v>
      </c>
      <c r="BN67" s="355">
        <f t="shared" ref="BN67:BN130" si="49">+EDATE(BN66,1)</f>
        <v>35156</v>
      </c>
      <c r="BO67" s="37">
        <v>0</v>
      </c>
      <c r="BP67" s="278">
        <f t="shared" si="42"/>
        <v>0</v>
      </c>
      <c r="BQ67" s="312">
        <f t="shared" si="3"/>
        <v>1.1656213848043593</v>
      </c>
      <c r="BS67" s="31" t="s">
        <v>43</v>
      </c>
      <c r="BT67" s="159">
        <f t="shared" si="43"/>
        <v>35156</v>
      </c>
      <c r="BU67" s="162">
        <f t="shared" si="44"/>
        <v>2.07E-2</v>
      </c>
      <c r="BV67" s="311">
        <f t="shared" si="4"/>
        <v>3.9688000000000008</v>
      </c>
      <c r="BX67" s="170" t="s">
        <v>43</v>
      </c>
      <c r="BY67" s="159">
        <f t="shared" si="45"/>
        <v>35156</v>
      </c>
      <c r="BZ67" s="162">
        <f t="shared" si="46"/>
        <v>2.07E-2</v>
      </c>
      <c r="CA67" s="162">
        <f t="shared" si="5"/>
        <v>3.2610419999999998</v>
      </c>
      <c r="CF67" s="31" t="s">
        <v>197</v>
      </c>
      <c r="CG67" s="168">
        <f t="shared" ref="CG67:CG130" si="50">+EDATE(CG66,1)</f>
        <v>35156</v>
      </c>
      <c r="CH67" s="37">
        <v>0</v>
      </c>
      <c r="CI67" s="314">
        <f t="shared" si="47"/>
        <v>0</v>
      </c>
      <c r="CJ67" s="312">
        <f t="shared" si="7"/>
        <v>1</v>
      </c>
      <c r="CL67" s="325"/>
      <c r="CN67" s="315">
        <f t="shared" si="8"/>
        <v>35156</v>
      </c>
      <c r="CO67" s="312">
        <f t="shared" si="9"/>
        <v>1</v>
      </c>
      <c r="CQ67" s="315">
        <f t="shared" si="10"/>
        <v>35156</v>
      </c>
      <c r="CR67" s="316">
        <f t="shared" si="11"/>
        <v>3.9688000000000008</v>
      </c>
      <c r="CT67" s="325"/>
      <c r="CW67"/>
      <c r="CX67" s="242" t="str">
        <f t="shared" si="37"/>
        <v/>
      </c>
    </row>
    <row r="68" spans="2:102" ht="15" customHeight="1">
      <c r="B68" s="163">
        <v>38412</v>
      </c>
      <c r="C68" s="165">
        <v>260</v>
      </c>
      <c r="D68" s="274">
        <f t="shared" si="12"/>
        <v>38412</v>
      </c>
      <c r="E68" s="275">
        <f t="shared" si="13"/>
        <v>260</v>
      </c>
      <c r="G68" s="163">
        <v>38777</v>
      </c>
      <c r="H68" s="163">
        <v>38808</v>
      </c>
      <c r="I68" s="164">
        <v>2.0730000000000002E-3</v>
      </c>
      <c r="J68" s="159">
        <f t="shared" si="14"/>
        <v>38808</v>
      </c>
      <c r="K68" s="278">
        <f t="shared" si="15"/>
        <v>2.0730000000000002E-3</v>
      </c>
      <c r="M68" s="163">
        <v>36923</v>
      </c>
      <c r="N68" s="163">
        <v>36951</v>
      </c>
      <c r="O68" s="164">
        <v>5.0000000000000001E-3</v>
      </c>
      <c r="P68" s="159">
        <f t="shared" ref="P68:P131" si="51">IF(AND(TRIM(M68)="",TRIM(M67)&lt;&gt;""),EDATE(P67,1),IF(TRIM(M68)="","",TRUNC(M68,0)))</f>
        <v>36923</v>
      </c>
      <c r="Q68" s="292">
        <f t="shared" si="48"/>
        <v>5.0000000000000001E-3</v>
      </c>
      <c r="S68" s="163">
        <v>36951</v>
      </c>
      <c r="T68" s="164">
        <v>1.26E-2</v>
      </c>
      <c r="U68" s="159">
        <f t="shared" si="16"/>
        <v>36951</v>
      </c>
      <c r="V68" s="285">
        <f t="shared" si="17"/>
        <v>1.26E-2</v>
      </c>
      <c r="X68" s="283"/>
      <c r="Y68" s="283"/>
      <c r="Z68" s="283"/>
      <c r="AA68" s="283"/>
      <c r="AB68" s="283"/>
      <c r="AC68" s="283"/>
      <c r="AD68" s="283"/>
      <c r="AE68" s="283"/>
      <c r="AF68" s="283"/>
      <c r="AG68" s="283"/>
      <c r="AH68" s="283"/>
      <c r="AI68" s="283"/>
      <c r="AJ68" s="283"/>
      <c r="AK68" s="283"/>
      <c r="AL68" s="283"/>
      <c r="AM68" s="283"/>
      <c r="AN68" s="283"/>
      <c r="AO68" s="283"/>
      <c r="AP68" s="283"/>
      <c r="BK68" s="325"/>
      <c r="BM68" s="160" t="s">
        <v>197</v>
      </c>
      <c r="BN68" s="355">
        <f t="shared" si="49"/>
        <v>35186</v>
      </c>
      <c r="BO68" s="37">
        <v>0</v>
      </c>
      <c r="BP68" s="278">
        <f t="shared" si="42"/>
        <v>0</v>
      </c>
      <c r="BQ68" s="312">
        <f t="shared" si="3"/>
        <v>1.1656213848043593</v>
      </c>
      <c r="BS68" s="31" t="s">
        <v>43</v>
      </c>
      <c r="BT68" s="159">
        <f t="shared" si="43"/>
        <v>35186</v>
      </c>
      <c r="BU68" s="162">
        <f t="shared" si="44"/>
        <v>2.01E-2</v>
      </c>
      <c r="BV68" s="311">
        <f t="shared" si="4"/>
        <v>3.9481000000000006</v>
      </c>
      <c r="BX68" s="170" t="s">
        <v>43</v>
      </c>
      <c r="BY68" s="159">
        <f t="shared" si="45"/>
        <v>35186</v>
      </c>
      <c r="BZ68" s="162">
        <f t="shared" si="46"/>
        <v>2.01E-2</v>
      </c>
      <c r="CA68" s="162">
        <f t="shared" si="5"/>
        <v>3.2403419999999996</v>
      </c>
      <c r="CF68" s="31" t="s">
        <v>197</v>
      </c>
      <c r="CG68" s="168">
        <f t="shared" si="50"/>
        <v>35186</v>
      </c>
      <c r="CH68" s="37">
        <v>0</v>
      </c>
      <c r="CI68" s="314">
        <f t="shared" si="47"/>
        <v>0</v>
      </c>
      <c r="CJ68" s="312">
        <f t="shared" si="7"/>
        <v>1</v>
      </c>
      <c r="CL68" s="325"/>
      <c r="CN68" s="315">
        <f t="shared" si="8"/>
        <v>35186</v>
      </c>
      <c r="CO68" s="312">
        <f t="shared" si="9"/>
        <v>1</v>
      </c>
      <c r="CQ68" s="315">
        <f t="shared" si="10"/>
        <v>35186</v>
      </c>
      <c r="CR68" s="316">
        <f t="shared" si="11"/>
        <v>3.9481000000000006</v>
      </c>
      <c r="CT68" s="325"/>
      <c r="CW68" s="652" t="s">
        <v>356</v>
      </c>
      <c r="CX68" s="242" t="str">
        <f t="shared" si="37"/>
        <v>texto branco sobre fundo cinza-muito-claro</v>
      </c>
    </row>
    <row r="69" spans="2:102" ht="15" customHeight="1">
      <c r="B69" s="163">
        <v>38443</v>
      </c>
      <c r="C69" s="165">
        <v>260</v>
      </c>
      <c r="D69" s="274">
        <f t="shared" si="12"/>
        <v>38443</v>
      </c>
      <c r="E69" s="275">
        <f t="shared" si="13"/>
        <v>260</v>
      </c>
      <c r="G69" s="163">
        <v>38808</v>
      </c>
      <c r="H69" s="163">
        <v>38838</v>
      </c>
      <c r="I69" s="164">
        <v>8.5499999999999997E-4</v>
      </c>
      <c r="J69" s="159">
        <f t="shared" si="14"/>
        <v>38838</v>
      </c>
      <c r="K69" s="278">
        <f t="shared" si="15"/>
        <v>8.5499999999999997E-4</v>
      </c>
      <c r="M69" s="163">
        <v>36951</v>
      </c>
      <c r="N69" s="163">
        <v>36982</v>
      </c>
      <c r="O69" s="164">
        <v>5.0000000000000001E-3</v>
      </c>
      <c r="P69" s="159">
        <f t="shared" si="51"/>
        <v>36951</v>
      </c>
      <c r="Q69" s="292">
        <f t="shared" si="48"/>
        <v>5.0000000000000001E-3</v>
      </c>
      <c r="S69" s="163">
        <v>36982</v>
      </c>
      <c r="T69" s="164">
        <v>1.1900000000000001E-2</v>
      </c>
      <c r="U69" s="159">
        <f t="shared" si="16"/>
        <v>36982</v>
      </c>
      <c r="V69" s="285">
        <f t="shared" si="17"/>
        <v>1.1900000000000001E-2</v>
      </c>
      <c r="X69" s="283"/>
      <c r="Y69" s="283"/>
      <c r="Z69" s="283"/>
      <c r="AA69" s="283"/>
      <c r="AB69" s="283"/>
      <c r="AC69" s="283"/>
      <c r="AD69" s="283"/>
      <c r="AE69" s="283"/>
      <c r="AF69" s="283"/>
      <c r="AG69" s="283"/>
      <c r="AH69" s="283"/>
      <c r="AI69" s="283"/>
      <c r="AJ69" s="283"/>
      <c r="AK69" s="283"/>
      <c r="AL69" s="283"/>
      <c r="AM69" s="283"/>
      <c r="AN69" s="283"/>
      <c r="AO69" s="283"/>
      <c r="AP69" s="283"/>
      <c r="BK69" s="325"/>
      <c r="BM69" s="160" t="s">
        <v>197</v>
      </c>
      <c r="BN69" s="355">
        <f t="shared" si="49"/>
        <v>35217</v>
      </c>
      <c r="BO69" s="37">
        <v>0</v>
      </c>
      <c r="BP69" s="278">
        <f t="shared" si="42"/>
        <v>0</v>
      </c>
      <c r="BQ69" s="312">
        <f t="shared" si="3"/>
        <v>1.1656213848043593</v>
      </c>
      <c r="BS69" s="31" t="s">
        <v>43</v>
      </c>
      <c r="BT69" s="159">
        <f t="shared" si="43"/>
        <v>35217</v>
      </c>
      <c r="BU69" s="162">
        <f t="shared" si="44"/>
        <v>1.9800000000000002E-2</v>
      </c>
      <c r="BV69" s="311">
        <f t="shared" si="4"/>
        <v>3.9280000000000008</v>
      </c>
      <c r="BX69" s="170" t="s">
        <v>43</v>
      </c>
      <c r="BY69" s="159">
        <f t="shared" si="45"/>
        <v>35217</v>
      </c>
      <c r="BZ69" s="162">
        <f t="shared" si="46"/>
        <v>1.9800000000000002E-2</v>
      </c>
      <c r="CA69" s="162">
        <f t="shared" si="5"/>
        <v>3.2202419999999998</v>
      </c>
      <c r="CF69" s="31" t="s">
        <v>197</v>
      </c>
      <c r="CG69" s="168">
        <f t="shared" si="50"/>
        <v>35217</v>
      </c>
      <c r="CH69" s="37">
        <v>0</v>
      </c>
      <c r="CI69" s="314">
        <f t="shared" si="47"/>
        <v>0</v>
      </c>
      <c r="CJ69" s="312">
        <f t="shared" si="7"/>
        <v>1</v>
      </c>
      <c r="CL69" s="325"/>
      <c r="CN69" s="315">
        <f t="shared" si="8"/>
        <v>35217</v>
      </c>
      <c r="CO69" s="312">
        <f t="shared" si="9"/>
        <v>1</v>
      </c>
      <c r="CQ69" s="315">
        <f t="shared" si="10"/>
        <v>35217</v>
      </c>
      <c r="CR69" s="316">
        <f t="shared" si="11"/>
        <v>3.9280000000000008</v>
      </c>
      <c r="CT69" s="325"/>
      <c r="CW69" s="655" t="s">
        <v>362</v>
      </c>
      <c r="CX69" s="242" t="str">
        <f t="shared" si="37"/>
        <v>Cálculos judiciais</v>
      </c>
    </row>
    <row r="70" spans="2:102" ht="15" customHeight="1">
      <c r="B70" s="163">
        <v>38473</v>
      </c>
      <c r="C70" s="165">
        <v>300</v>
      </c>
      <c r="D70" s="274">
        <f t="shared" si="12"/>
        <v>38473</v>
      </c>
      <c r="E70" s="275">
        <f t="shared" si="13"/>
        <v>300</v>
      </c>
      <c r="G70" s="163">
        <v>38838</v>
      </c>
      <c r="H70" s="163">
        <v>38869</v>
      </c>
      <c r="I70" s="164">
        <v>1.8879999999999999E-3</v>
      </c>
      <c r="J70" s="159">
        <f t="shared" si="14"/>
        <v>38869</v>
      </c>
      <c r="K70" s="278">
        <f t="shared" si="15"/>
        <v>1.8879999999999999E-3</v>
      </c>
      <c r="M70" s="163">
        <v>36982</v>
      </c>
      <c r="N70" s="163">
        <v>37012</v>
      </c>
      <c r="O70" s="164">
        <v>5.0000000000000001E-3</v>
      </c>
      <c r="P70" s="159">
        <f t="shared" si="51"/>
        <v>36982</v>
      </c>
      <c r="Q70" s="292">
        <f t="shared" si="48"/>
        <v>5.0000000000000001E-3</v>
      </c>
      <c r="S70" s="163">
        <v>37012</v>
      </c>
      <c r="T70" s="164">
        <v>1.34E-2</v>
      </c>
      <c r="U70" s="159">
        <f t="shared" si="16"/>
        <v>37012</v>
      </c>
      <c r="V70" s="285">
        <f t="shared" si="17"/>
        <v>1.34E-2</v>
      </c>
      <c r="X70" s="283"/>
      <c r="Y70" s="283"/>
      <c r="Z70" s="283"/>
      <c r="AA70" s="283"/>
      <c r="AB70" s="283"/>
      <c r="AC70" s="283"/>
      <c r="AD70" s="283"/>
      <c r="AE70" s="283"/>
      <c r="AF70" s="283"/>
      <c r="AG70" s="283"/>
      <c r="AH70" s="283"/>
      <c r="AI70" s="283"/>
      <c r="AJ70" s="283"/>
      <c r="AK70" s="283"/>
      <c r="AL70" s="283"/>
      <c r="AM70" s="283"/>
      <c r="AN70" s="283"/>
      <c r="AO70" s="283"/>
      <c r="AP70" s="283"/>
      <c r="BK70" s="325"/>
      <c r="BM70" s="160" t="s">
        <v>197</v>
      </c>
      <c r="BN70" s="355">
        <f t="shared" si="49"/>
        <v>35247</v>
      </c>
      <c r="BO70" s="37">
        <v>0</v>
      </c>
      <c r="BP70" s="278">
        <f t="shared" si="42"/>
        <v>0</v>
      </c>
      <c r="BQ70" s="312">
        <f t="shared" ref="BQ70:BQ133" si="52">+IF(BN70="","",IF(BQ71="",1,BQ71)*(1+BP70))</f>
        <v>1.1656213848043593</v>
      </c>
      <c r="BS70" s="31" t="s">
        <v>43</v>
      </c>
      <c r="BT70" s="159">
        <f t="shared" si="43"/>
        <v>35247</v>
      </c>
      <c r="BU70" s="162">
        <f t="shared" si="44"/>
        <v>1.9300000000000001E-2</v>
      </c>
      <c r="BV70" s="311">
        <f t="shared" ref="BV70:BV133" si="53">+IF(BU70="","",IF(AND(BU70&lt;&gt;"",BU71=""),BU70,BU70+BV71))</f>
        <v>3.9082000000000008</v>
      </c>
      <c r="BX70" s="170" t="s">
        <v>43</v>
      </c>
      <c r="BY70" s="159">
        <f t="shared" si="45"/>
        <v>35247</v>
      </c>
      <c r="BZ70" s="162">
        <f t="shared" si="46"/>
        <v>1.9300000000000001E-2</v>
      </c>
      <c r="CA70" s="162">
        <f t="shared" ref="CA70:CA133" si="54">+IF(BZ70="","",BZ70+IF(CA71="",0,CA71))</f>
        <v>3.2004419999999998</v>
      </c>
      <c r="CF70" s="31" t="s">
        <v>197</v>
      </c>
      <c r="CG70" s="168">
        <f t="shared" si="50"/>
        <v>35247</v>
      </c>
      <c r="CH70" s="37">
        <v>0</v>
      </c>
      <c r="CI70" s="314">
        <f t="shared" si="47"/>
        <v>0</v>
      </c>
      <c r="CJ70" s="312">
        <f t="shared" ref="CJ70:CJ133" si="55">+IF(BQ70="","",IF(CJ71="",1,CJ71)*(1+CI70))</f>
        <v>1</v>
      </c>
      <c r="CL70" s="325"/>
      <c r="CN70" s="315">
        <f t="shared" ref="CN70:CN133" si="56">+IF(BN70="","",BN70)</f>
        <v>35247</v>
      </c>
      <c r="CO70" s="312">
        <f t="shared" ref="CO70:CO133" si="57">+IF(CN70="","",IF(COD_JCM=3,1,IF(COD_JCM=1,CJ70,BQ70)))</f>
        <v>1</v>
      </c>
      <c r="CQ70" s="315">
        <f t="shared" ref="CQ70:CQ133" si="58">+IF(BT70="","",BT70)</f>
        <v>35247</v>
      </c>
      <c r="CR70" s="316">
        <f t="shared" ref="CR70:CR133" si="59">+IF(CQ70="","",IF(COD_JCM=3,0,IF(COD_JCM=1,BV70,CA70)))</f>
        <v>3.9082000000000008</v>
      </c>
      <c r="CT70" s="325"/>
      <c r="CW70"/>
      <c r="CX70" s="242" t="str">
        <f t="shared" si="37"/>
        <v/>
      </c>
    </row>
    <row r="71" spans="2:102" ht="15" customHeight="1">
      <c r="B71" s="163">
        <v>38504</v>
      </c>
      <c r="C71" s="165">
        <v>300</v>
      </c>
      <c r="D71" s="274">
        <f t="shared" ref="D71:D134" si="60">+IF(TRIM(B71)="","",TRUNC(B71,0))</f>
        <v>38504</v>
      </c>
      <c r="E71" s="275">
        <f t="shared" ref="E71:E134" si="61">+IF(TRIM(C71)="","",C71)</f>
        <v>300</v>
      </c>
      <c r="G71" s="163">
        <v>38869</v>
      </c>
      <c r="H71" s="163">
        <v>38899</v>
      </c>
      <c r="I71" s="164">
        <v>1.9369999999999999E-3</v>
      </c>
      <c r="J71" s="159">
        <f t="shared" ref="J71:J134" si="62">+IF(AND(TRIM(H71)="",TRIM(H70)&lt;&gt;""),EDATE(J70,1),IF(TRIM(H71)="","",TRUNC(H71,0)))</f>
        <v>38899</v>
      </c>
      <c r="K71" s="278">
        <f t="shared" ref="K71:K134" si="63">+IF(AND(I71="",I70&lt;&gt;""),0,IF(TRIM(I71)="","",IF(AND(J71&gt;=vdt_ec113,VOP_EC113="SIM"),0,I71)))</f>
        <v>1.9369999999999999E-3</v>
      </c>
      <c r="M71" s="163">
        <v>37012</v>
      </c>
      <c r="N71" s="163">
        <v>37043</v>
      </c>
      <c r="O71" s="164">
        <v>5.0000000000000001E-3</v>
      </c>
      <c r="P71" s="159">
        <f t="shared" si="51"/>
        <v>37012</v>
      </c>
      <c r="Q71" s="292">
        <f t="shared" si="48"/>
        <v>5.0000000000000001E-3</v>
      </c>
      <c r="S71" s="163">
        <v>37043</v>
      </c>
      <c r="T71" s="164">
        <v>1.2699999999999999E-2</v>
      </c>
      <c r="U71" s="159">
        <f t="shared" ref="U71:U134" si="64">+IF(AND(TRIM(S71)="",TRIM(S70)&lt;&gt;""),EDATE(U70,1),IF(TRIM(S71)="","",TRUNC(S71,0)))</f>
        <v>37043</v>
      </c>
      <c r="V71" s="285">
        <f t="shared" ref="V71:V134" si="65">+IF(AND(T71="",T70&lt;&gt;""),0,IF(TRIM(T71)="","",IF(AND(U71&gt;=vdt_ec113,VOP_EC113="SIM"),0,T71)))</f>
        <v>1.2699999999999999E-2</v>
      </c>
      <c r="X71" s="283"/>
      <c r="Y71" s="283"/>
      <c r="Z71" s="283"/>
      <c r="AA71" s="283"/>
      <c r="AB71" s="283"/>
      <c r="AC71" s="283"/>
      <c r="AD71" s="283"/>
      <c r="AE71" s="283"/>
      <c r="AF71" s="283"/>
      <c r="AG71" s="283"/>
      <c r="AH71" s="283"/>
      <c r="AI71" s="283"/>
      <c r="AJ71" s="283"/>
      <c r="AK71" s="283"/>
      <c r="AL71" s="283"/>
      <c r="AM71" s="283"/>
      <c r="AN71" s="283"/>
      <c r="AO71" s="283"/>
      <c r="AP71" s="283"/>
      <c r="BK71" s="325"/>
      <c r="BM71" s="160" t="s">
        <v>197</v>
      </c>
      <c r="BN71" s="355">
        <f t="shared" si="49"/>
        <v>35278</v>
      </c>
      <c r="BO71" s="37">
        <v>0</v>
      </c>
      <c r="BP71" s="278">
        <f t="shared" si="42"/>
        <v>0</v>
      </c>
      <c r="BQ71" s="312">
        <f t="shared" si="52"/>
        <v>1.1656213848043593</v>
      </c>
      <c r="BS71" s="31" t="s">
        <v>43</v>
      </c>
      <c r="BT71" s="159">
        <f t="shared" si="43"/>
        <v>35278</v>
      </c>
      <c r="BU71" s="162">
        <f t="shared" si="44"/>
        <v>1.9699999999999999E-2</v>
      </c>
      <c r="BV71" s="311">
        <f t="shared" si="53"/>
        <v>3.8889000000000009</v>
      </c>
      <c r="BX71" s="170" t="s">
        <v>43</v>
      </c>
      <c r="BY71" s="159">
        <f t="shared" si="45"/>
        <v>35278</v>
      </c>
      <c r="BZ71" s="162">
        <f t="shared" si="46"/>
        <v>1.9699999999999999E-2</v>
      </c>
      <c r="CA71" s="162">
        <f t="shared" si="54"/>
        <v>3.1811419999999999</v>
      </c>
      <c r="CF71" s="31" t="s">
        <v>197</v>
      </c>
      <c r="CG71" s="168">
        <f t="shared" si="50"/>
        <v>35278</v>
      </c>
      <c r="CH71" s="37">
        <v>0</v>
      </c>
      <c r="CI71" s="314">
        <f t="shared" si="47"/>
        <v>0</v>
      </c>
      <c r="CJ71" s="312">
        <f t="shared" si="55"/>
        <v>1</v>
      </c>
      <c r="CL71" s="325"/>
      <c r="CN71" s="315">
        <f t="shared" si="56"/>
        <v>35278</v>
      </c>
      <c r="CO71" s="312">
        <f t="shared" si="57"/>
        <v>1</v>
      </c>
      <c r="CQ71" s="315">
        <f t="shared" si="58"/>
        <v>35278</v>
      </c>
      <c r="CR71" s="316">
        <f t="shared" si="59"/>
        <v>3.8889000000000009</v>
      </c>
      <c r="CT71" s="325"/>
      <c r="CW71" s="652" t="s">
        <v>356</v>
      </c>
      <c r="CX71" s="242" t="str">
        <f t="shared" si="37"/>
        <v>texto branco sobre fundo cinza-muito-claro</v>
      </c>
    </row>
    <row r="72" spans="2:102" ht="15" customHeight="1">
      <c r="B72" s="163">
        <v>38534</v>
      </c>
      <c r="C72" s="165">
        <v>300</v>
      </c>
      <c r="D72" s="274">
        <f t="shared" si="60"/>
        <v>38534</v>
      </c>
      <c r="E72" s="275">
        <f t="shared" si="61"/>
        <v>300</v>
      </c>
      <c r="G72" s="163">
        <v>38899</v>
      </c>
      <c r="H72" s="163">
        <v>38930</v>
      </c>
      <c r="I72" s="164">
        <v>1.751E-3</v>
      </c>
      <c r="J72" s="159">
        <f t="shared" si="62"/>
        <v>38930</v>
      </c>
      <c r="K72" s="278">
        <f t="shared" si="63"/>
        <v>1.751E-3</v>
      </c>
      <c r="M72" s="163">
        <v>37043</v>
      </c>
      <c r="N72" s="163">
        <v>37073</v>
      </c>
      <c r="O72" s="164">
        <v>5.0000000000000001E-3</v>
      </c>
      <c r="P72" s="159">
        <f t="shared" si="51"/>
        <v>37043</v>
      </c>
      <c r="Q72" s="292">
        <f t="shared" si="48"/>
        <v>5.0000000000000001E-3</v>
      </c>
      <c r="S72" s="163">
        <v>37073</v>
      </c>
      <c r="T72" s="164">
        <v>1.4999999999999999E-2</v>
      </c>
      <c r="U72" s="159">
        <f t="shared" si="64"/>
        <v>37073</v>
      </c>
      <c r="V72" s="285">
        <f t="shared" si="65"/>
        <v>1.4999999999999999E-2</v>
      </c>
      <c r="X72" s="283"/>
      <c r="Y72" s="283"/>
      <c r="Z72" s="283"/>
      <c r="AA72" s="283"/>
      <c r="AB72" s="283"/>
      <c r="AC72" s="283"/>
      <c r="AD72" s="283"/>
      <c r="AE72" s="283"/>
      <c r="AF72" s="283"/>
      <c r="AG72" s="283"/>
      <c r="AH72" s="283"/>
      <c r="AI72" s="283"/>
      <c r="AJ72" s="283"/>
      <c r="AK72" s="283"/>
      <c r="AL72" s="283"/>
      <c r="AM72" s="283"/>
      <c r="AN72" s="283"/>
      <c r="AO72" s="283"/>
      <c r="AP72" s="283"/>
      <c r="BK72" s="325"/>
      <c r="BM72" s="160" t="s">
        <v>197</v>
      </c>
      <c r="BN72" s="355">
        <f t="shared" si="49"/>
        <v>35309</v>
      </c>
      <c r="BO72" s="37">
        <v>0</v>
      </c>
      <c r="BP72" s="278">
        <f t="shared" si="42"/>
        <v>0</v>
      </c>
      <c r="BQ72" s="312">
        <f t="shared" si="52"/>
        <v>1.1656213848043593</v>
      </c>
      <c r="BS72" s="31" t="s">
        <v>43</v>
      </c>
      <c r="BT72" s="159">
        <f t="shared" si="43"/>
        <v>35309</v>
      </c>
      <c r="BU72" s="162">
        <f t="shared" si="44"/>
        <v>1.9E-2</v>
      </c>
      <c r="BV72" s="311">
        <f t="shared" si="53"/>
        <v>3.8692000000000011</v>
      </c>
      <c r="BX72" s="170" t="s">
        <v>43</v>
      </c>
      <c r="BY72" s="159">
        <f t="shared" si="45"/>
        <v>35309</v>
      </c>
      <c r="BZ72" s="162">
        <f t="shared" si="46"/>
        <v>1.9E-2</v>
      </c>
      <c r="CA72" s="162">
        <f t="shared" si="54"/>
        <v>3.1614420000000001</v>
      </c>
      <c r="CF72" s="31" t="s">
        <v>197</v>
      </c>
      <c r="CG72" s="168">
        <f t="shared" si="50"/>
        <v>35309</v>
      </c>
      <c r="CH72" s="37">
        <v>0</v>
      </c>
      <c r="CI72" s="314">
        <f t="shared" si="47"/>
        <v>0</v>
      </c>
      <c r="CJ72" s="312">
        <f t="shared" si="55"/>
        <v>1</v>
      </c>
      <c r="CL72" s="325"/>
      <c r="CN72" s="315">
        <f t="shared" si="56"/>
        <v>35309</v>
      </c>
      <c r="CO72" s="312">
        <f t="shared" si="57"/>
        <v>1</v>
      </c>
      <c r="CQ72" s="315">
        <f t="shared" si="58"/>
        <v>35309</v>
      </c>
      <c r="CR72" s="316">
        <f t="shared" si="59"/>
        <v>3.8692000000000011</v>
      </c>
      <c r="CT72" s="325"/>
      <c r="CW72" s="655" t="s">
        <v>363</v>
      </c>
      <c r="CX72" s="242" t="str">
        <f t="shared" si="37"/>
        <v>Canais de Denúncia</v>
      </c>
    </row>
    <row r="73" spans="2:102" ht="15" customHeight="1">
      <c r="B73" s="163">
        <v>38565</v>
      </c>
      <c r="C73" s="165">
        <v>300</v>
      </c>
      <c r="D73" s="274">
        <f t="shared" si="60"/>
        <v>38565</v>
      </c>
      <c r="E73" s="275">
        <f t="shared" si="61"/>
        <v>300</v>
      </c>
      <c r="G73" s="163">
        <v>38930</v>
      </c>
      <c r="H73" s="163">
        <v>38961</v>
      </c>
      <c r="I73" s="164">
        <v>2.4359999999999998E-3</v>
      </c>
      <c r="J73" s="159">
        <f t="shared" si="62"/>
        <v>38961</v>
      </c>
      <c r="K73" s="278">
        <f t="shared" si="63"/>
        <v>2.4359999999999998E-3</v>
      </c>
      <c r="M73" s="163">
        <v>37073</v>
      </c>
      <c r="N73" s="163">
        <v>37104</v>
      </c>
      <c r="O73" s="164">
        <v>5.0000000000000001E-3</v>
      </c>
      <c r="P73" s="159">
        <f t="shared" si="51"/>
        <v>37073</v>
      </c>
      <c r="Q73" s="292">
        <f t="shared" si="48"/>
        <v>5.0000000000000001E-3</v>
      </c>
      <c r="S73" s="163">
        <v>37104</v>
      </c>
      <c r="T73" s="164">
        <v>1.6E-2</v>
      </c>
      <c r="U73" s="159">
        <f t="shared" si="64"/>
        <v>37104</v>
      </c>
      <c r="V73" s="285">
        <f t="shared" si="65"/>
        <v>1.6E-2</v>
      </c>
      <c r="BK73" s="325"/>
      <c r="BM73" s="160" t="s">
        <v>197</v>
      </c>
      <c r="BN73" s="355">
        <f t="shared" si="49"/>
        <v>35339</v>
      </c>
      <c r="BO73" s="37">
        <v>0</v>
      </c>
      <c r="BP73" s="278">
        <f t="shared" si="42"/>
        <v>0</v>
      </c>
      <c r="BQ73" s="312">
        <f t="shared" si="52"/>
        <v>1.1656213848043593</v>
      </c>
      <c r="BS73" s="31" t="s">
        <v>43</v>
      </c>
      <c r="BT73" s="159">
        <f t="shared" si="43"/>
        <v>35339</v>
      </c>
      <c r="BU73" s="162">
        <f t="shared" si="44"/>
        <v>1.8599999999999998E-2</v>
      </c>
      <c r="BV73" s="311">
        <f t="shared" si="53"/>
        <v>3.850200000000001</v>
      </c>
      <c r="BX73" s="170" t="s">
        <v>43</v>
      </c>
      <c r="BY73" s="159">
        <f t="shared" si="45"/>
        <v>35339</v>
      </c>
      <c r="BZ73" s="162">
        <f t="shared" si="46"/>
        <v>1.8599999999999998E-2</v>
      </c>
      <c r="CA73" s="162">
        <f t="shared" si="54"/>
        <v>3.142442</v>
      </c>
      <c r="CF73" s="31" t="s">
        <v>197</v>
      </c>
      <c r="CG73" s="168">
        <f t="shared" si="50"/>
        <v>35339</v>
      </c>
      <c r="CH73" s="37">
        <v>0</v>
      </c>
      <c r="CI73" s="314">
        <f t="shared" si="47"/>
        <v>0</v>
      </c>
      <c r="CJ73" s="312">
        <f t="shared" si="55"/>
        <v>1</v>
      </c>
      <c r="CL73" s="325"/>
      <c r="CN73" s="315">
        <f t="shared" si="56"/>
        <v>35339</v>
      </c>
      <c r="CO73" s="312">
        <f t="shared" si="57"/>
        <v>1</v>
      </c>
      <c r="CQ73" s="315">
        <f t="shared" si="58"/>
        <v>35339</v>
      </c>
      <c r="CR73" s="316">
        <f t="shared" si="59"/>
        <v>3.850200000000001</v>
      </c>
      <c r="CT73" s="325"/>
      <c r="CW73"/>
      <c r="CX73" s="242" t="str">
        <f t="shared" si="37"/>
        <v/>
      </c>
    </row>
    <row r="74" spans="2:102" ht="15" customHeight="1">
      <c r="B74" s="163">
        <v>38596</v>
      </c>
      <c r="C74" s="165">
        <v>300</v>
      </c>
      <c r="D74" s="274">
        <f t="shared" si="60"/>
        <v>38596</v>
      </c>
      <c r="E74" s="275">
        <f t="shared" si="61"/>
        <v>300</v>
      </c>
      <c r="G74" s="163">
        <v>38961</v>
      </c>
      <c r="H74" s="163">
        <v>38991</v>
      </c>
      <c r="I74" s="164">
        <v>1.521E-3</v>
      </c>
      <c r="J74" s="159">
        <f t="shared" si="62"/>
        <v>38991</v>
      </c>
      <c r="K74" s="278">
        <f t="shared" si="63"/>
        <v>1.521E-3</v>
      </c>
      <c r="M74" s="163">
        <v>37104</v>
      </c>
      <c r="N74" s="163">
        <v>37135</v>
      </c>
      <c r="O74" s="164">
        <v>5.0000000000000001E-3</v>
      </c>
      <c r="P74" s="159">
        <f t="shared" si="51"/>
        <v>37104</v>
      </c>
      <c r="Q74" s="292">
        <f t="shared" si="48"/>
        <v>5.0000000000000001E-3</v>
      </c>
      <c r="S74" s="163">
        <v>37135</v>
      </c>
      <c r="T74" s="164">
        <v>1.32E-2</v>
      </c>
      <c r="U74" s="159">
        <f t="shared" si="64"/>
        <v>37135</v>
      </c>
      <c r="V74" s="285">
        <f t="shared" si="65"/>
        <v>1.32E-2</v>
      </c>
      <c r="BK74" s="325"/>
      <c r="BM74" s="160" t="s">
        <v>197</v>
      </c>
      <c r="BN74" s="355">
        <f t="shared" si="49"/>
        <v>35370</v>
      </c>
      <c r="BO74" s="37">
        <v>0</v>
      </c>
      <c r="BP74" s="278">
        <f t="shared" si="42"/>
        <v>0</v>
      </c>
      <c r="BQ74" s="312">
        <f t="shared" si="52"/>
        <v>1.1656213848043593</v>
      </c>
      <c r="BS74" s="31" t="s">
        <v>43</v>
      </c>
      <c r="BT74" s="159">
        <f t="shared" si="43"/>
        <v>35370</v>
      </c>
      <c r="BU74" s="162">
        <f t="shared" si="44"/>
        <v>1.7999999999999999E-2</v>
      </c>
      <c r="BV74" s="311">
        <f t="shared" si="53"/>
        <v>3.8316000000000008</v>
      </c>
      <c r="BX74" s="170" t="s">
        <v>43</v>
      </c>
      <c r="BY74" s="159">
        <f t="shared" si="45"/>
        <v>35370</v>
      </c>
      <c r="BZ74" s="162">
        <f t="shared" si="46"/>
        <v>1.7999999999999999E-2</v>
      </c>
      <c r="CA74" s="162">
        <f t="shared" si="54"/>
        <v>3.1238419999999998</v>
      </c>
      <c r="CF74" s="31" t="s">
        <v>197</v>
      </c>
      <c r="CG74" s="168">
        <f t="shared" si="50"/>
        <v>35370</v>
      </c>
      <c r="CH74" s="37">
        <v>0</v>
      </c>
      <c r="CI74" s="314">
        <f t="shared" si="47"/>
        <v>0</v>
      </c>
      <c r="CJ74" s="312">
        <f t="shared" si="55"/>
        <v>1</v>
      </c>
      <c r="CL74" s="325"/>
      <c r="CN74" s="315">
        <f t="shared" si="56"/>
        <v>35370</v>
      </c>
      <c r="CO74" s="312">
        <f t="shared" si="57"/>
        <v>1</v>
      </c>
      <c r="CQ74" s="315">
        <f t="shared" si="58"/>
        <v>35370</v>
      </c>
      <c r="CR74" s="316">
        <f t="shared" si="59"/>
        <v>3.8316000000000008</v>
      </c>
      <c r="CT74" s="325"/>
      <c r="CW74" s="652" t="s">
        <v>358</v>
      </c>
      <c r="CX74" s="242" t="str">
        <f t="shared" si="37"/>
        <v>texto azul escuro sobre fundo cinza-muito-claro</v>
      </c>
    </row>
    <row r="75" spans="2:102" ht="15" customHeight="1">
      <c r="B75" s="163">
        <v>38626</v>
      </c>
      <c r="C75" s="165">
        <v>300</v>
      </c>
      <c r="D75" s="274">
        <f t="shared" si="60"/>
        <v>38626</v>
      </c>
      <c r="E75" s="275">
        <f t="shared" si="61"/>
        <v>300</v>
      </c>
      <c r="G75" s="163">
        <v>38991</v>
      </c>
      <c r="H75" s="163">
        <v>39022</v>
      </c>
      <c r="I75" s="164">
        <v>1.8749999999999999E-3</v>
      </c>
      <c r="J75" s="159">
        <f t="shared" si="62"/>
        <v>39022</v>
      </c>
      <c r="K75" s="278">
        <f t="shared" si="63"/>
        <v>1.8749999999999999E-3</v>
      </c>
      <c r="M75" s="163">
        <v>37135</v>
      </c>
      <c r="N75" s="163">
        <v>37165</v>
      </c>
      <c r="O75" s="164">
        <v>5.0000000000000001E-3</v>
      </c>
      <c r="P75" s="159">
        <f t="shared" si="51"/>
        <v>37135</v>
      </c>
      <c r="Q75" s="292">
        <f t="shared" si="48"/>
        <v>5.0000000000000001E-3</v>
      </c>
      <c r="S75" s="163">
        <v>37165</v>
      </c>
      <c r="T75" s="164">
        <v>1.5299999999999999E-2</v>
      </c>
      <c r="U75" s="159">
        <f t="shared" si="64"/>
        <v>37165</v>
      </c>
      <c r="V75" s="285">
        <f t="shared" si="65"/>
        <v>1.5299999999999999E-2</v>
      </c>
      <c r="BK75" s="325"/>
      <c r="BM75" s="160" t="s">
        <v>197</v>
      </c>
      <c r="BN75" s="355">
        <f t="shared" si="49"/>
        <v>35400</v>
      </c>
      <c r="BO75" s="37">
        <v>0</v>
      </c>
      <c r="BP75" s="278">
        <f t="shared" si="42"/>
        <v>0</v>
      </c>
      <c r="BQ75" s="312">
        <f t="shared" si="52"/>
        <v>1.1656213848043593</v>
      </c>
      <c r="BS75" s="31" t="s">
        <v>43</v>
      </c>
      <c r="BT75" s="159">
        <f t="shared" si="43"/>
        <v>35400</v>
      </c>
      <c r="BU75" s="162">
        <f t="shared" si="44"/>
        <v>1.7999999999999999E-2</v>
      </c>
      <c r="BV75" s="311">
        <f t="shared" si="53"/>
        <v>3.813600000000001</v>
      </c>
      <c r="BX75" s="170" t="s">
        <v>43</v>
      </c>
      <c r="BY75" s="159">
        <f t="shared" si="45"/>
        <v>35400</v>
      </c>
      <c r="BZ75" s="162">
        <f t="shared" si="46"/>
        <v>1.7999999999999999E-2</v>
      </c>
      <c r="CA75" s="162">
        <f t="shared" si="54"/>
        <v>3.105842</v>
      </c>
      <c r="CF75" s="31" t="s">
        <v>197</v>
      </c>
      <c r="CG75" s="168">
        <f t="shared" si="50"/>
        <v>35400</v>
      </c>
      <c r="CH75" s="37">
        <v>0</v>
      </c>
      <c r="CI75" s="314">
        <f t="shared" si="47"/>
        <v>0</v>
      </c>
      <c r="CJ75" s="312">
        <f t="shared" si="55"/>
        <v>1</v>
      </c>
      <c r="CL75" s="325"/>
      <c r="CN75" s="315">
        <f t="shared" si="56"/>
        <v>35400</v>
      </c>
      <c r="CO75" s="312">
        <f t="shared" si="57"/>
        <v>1</v>
      </c>
      <c r="CQ75" s="315">
        <f t="shared" si="58"/>
        <v>35400</v>
      </c>
      <c r="CR75" s="316">
        <f t="shared" si="59"/>
        <v>3.813600000000001</v>
      </c>
      <c r="CT75" s="325"/>
      <c r="CW75" s="655" t="s">
        <v>364</v>
      </c>
      <c r="CX75" s="242" t="str">
        <f t="shared" ref="CX75:CX138" si="66">+IF(CW75="","",TRIM(CW75))</f>
        <v>Certidões Judiciais</v>
      </c>
    </row>
    <row r="76" spans="2:102" ht="15" customHeight="1">
      <c r="B76" s="163">
        <v>38657</v>
      </c>
      <c r="C76" s="165">
        <v>300</v>
      </c>
      <c r="D76" s="274">
        <f t="shared" si="60"/>
        <v>38657</v>
      </c>
      <c r="E76" s="275">
        <f t="shared" si="61"/>
        <v>300</v>
      </c>
      <c r="G76" s="163">
        <v>39022</v>
      </c>
      <c r="H76" s="163">
        <v>39052</v>
      </c>
      <c r="I76" s="164">
        <v>1.2819999999999999E-3</v>
      </c>
      <c r="J76" s="159">
        <f t="shared" si="62"/>
        <v>39052</v>
      </c>
      <c r="K76" s="278">
        <f t="shared" si="63"/>
        <v>1.2819999999999999E-3</v>
      </c>
      <c r="M76" s="163">
        <v>37165</v>
      </c>
      <c r="N76" s="163">
        <v>37196</v>
      </c>
      <c r="O76" s="164">
        <v>5.0000000000000001E-3</v>
      </c>
      <c r="P76" s="159">
        <f t="shared" si="51"/>
        <v>37165</v>
      </c>
      <c r="Q76" s="292">
        <f t="shared" si="48"/>
        <v>5.0000000000000001E-3</v>
      </c>
      <c r="S76" s="163">
        <v>37196</v>
      </c>
      <c r="T76" s="164">
        <v>1.3899999999999999E-2</v>
      </c>
      <c r="U76" s="159">
        <f t="shared" si="64"/>
        <v>37196</v>
      </c>
      <c r="V76" s="285">
        <f t="shared" si="65"/>
        <v>1.3899999999999999E-2</v>
      </c>
      <c r="BK76" s="325"/>
      <c r="BM76" s="160" t="s">
        <v>197</v>
      </c>
      <c r="BN76" s="355">
        <f t="shared" si="49"/>
        <v>35431</v>
      </c>
      <c r="BO76" s="37">
        <v>0</v>
      </c>
      <c r="BP76" s="278">
        <f t="shared" si="42"/>
        <v>0</v>
      </c>
      <c r="BQ76" s="312">
        <f t="shared" si="52"/>
        <v>1.1656213848043593</v>
      </c>
      <c r="BS76" s="31" t="s">
        <v>43</v>
      </c>
      <c r="BT76" s="159">
        <f t="shared" si="43"/>
        <v>35431</v>
      </c>
      <c r="BU76" s="162">
        <f t="shared" si="44"/>
        <v>1.7299999999999999E-2</v>
      </c>
      <c r="BV76" s="311">
        <f t="shared" si="53"/>
        <v>3.7956000000000012</v>
      </c>
      <c r="BX76" s="170" t="s">
        <v>43</v>
      </c>
      <c r="BY76" s="159">
        <f t="shared" si="45"/>
        <v>35431</v>
      </c>
      <c r="BZ76" s="162">
        <f t="shared" si="46"/>
        <v>1.7299999999999999E-2</v>
      </c>
      <c r="CA76" s="162">
        <f t="shared" si="54"/>
        <v>3.0878420000000002</v>
      </c>
      <c r="CF76" s="31" t="s">
        <v>197</v>
      </c>
      <c r="CG76" s="168">
        <f t="shared" si="50"/>
        <v>35431</v>
      </c>
      <c r="CH76" s="37">
        <v>0</v>
      </c>
      <c r="CI76" s="314">
        <f t="shared" si="47"/>
        <v>0</v>
      </c>
      <c r="CJ76" s="312">
        <f t="shared" si="55"/>
        <v>1</v>
      </c>
      <c r="CL76" s="325"/>
      <c r="CN76" s="315">
        <f t="shared" si="56"/>
        <v>35431</v>
      </c>
      <c r="CO76" s="312">
        <f t="shared" si="57"/>
        <v>1</v>
      </c>
      <c r="CQ76" s="315">
        <f t="shared" si="58"/>
        <v>35431</v>
      </c>
      <c r="CR76" s="316">
        <f t="shared" si="59"/>
        <v>3.7956000000000012</v>
      </c>
      <c r="CT76" s="325"/>
      <c r="CW76"/>
      <c r="CX76" s="242" t="str">
        <f t="shared" si="66"/>
        <v/>
      </c>
    </row>
    <row r="77" spans="2:102" ht="15" customHeight="1">
      <c r="B77" s="163">
        <v>38687</v>
      </c>
      <c r="C77" s="165">
        <v>300</v>
      </c>
      <c r="D77" s="274">
        <f t="shared" si="60"/>
        <v>38687</v>
      </c>
      <c r="E77" s="275">
        <f t="shared" si="61"/>
        <v>300</v>
      </c>
      <c r="G77" s="163">
        <v>39052</v>
      </c>
      <c r="H77" s="163">
        <v>39083</v>
      </c>
      <c r="I77" s="164">
        <v>1.5219999999999999E-3</v>
      </c>
      <c r="J77" s="159">
        <f t="shared" si="62"/>
        <v>39083</v>
      </c>
      <c r="K77" s="278">
        <f t="shared" si="63"/>
        <v>1.5219999999999999E-3</v>
      </c>
      <c r="M77" s="163">
        <v>37196</v>
      </c>
      <c r="N77" s="163">
        <v>37226</v>
      </c>
      <c r="O77" s="164">
        <v>5.0000000000000001E-3</v>
      </c>
      <c r="P77" s="159">
        <f t="shared" si="51"/>
        <v>37196</v>
      </c>
      <c r="Q77" s="292">
        <f t="shared" si="48"/>
        <v>5.0000000000000001E-3</v>
      </c>
      <c r="S77" s="163">
        <v>37226</v>
      </c>
      <c r="T77" s="164">
        <v>1.3899999999999999E-2</v>
      </c>
      <c r="U77" s="159">
        <f t="shared" si="64"/>
        <v>37226</v>
      </c>
      <c r="V77" s="285">
        <f t="shared" si="65"/>
        <v>1.3899999999999999E-2</v>
      </c>
      <c r="BK77" s="325"/>
      <c r="BM77" s="160" t="s">
        <v>197</v>
      </c>
      <c r="BN77" s="355">
        <f t="shared" si="49"/>
        <v>35462</v>
      </c>
      <c r="BO77" s="37">
        <v>0</v>
      </c>
      <c r="BP77" s="278">
        <f t="shared" si="42"/>
        <v>0</v>
      </c>
      <c r="BQ77" s="312">
        <f t="shared" si="52"/>
        <v>1.1656213848043593</v>
      </c>
      <c r="BS77" s="31" t="s">
        <v>43</v>
      </c>
      <c r="BT77" s="159">
        <f t="shared" si="43"/>
        <v>35462</v>
      </c>
      <c r="BU77" s="162">
        <f t="shared" si="44"/>
        <v>1.67E-2</v>
      </c>
      <c r="BV77" s="311">
        <f t="shared" si="53"/>
        <v>3.7783000000000011</v>
      </c>
      <c r="BX77" s="170" t="s">
        <v>43</v>
      </c>
      <c r="BY77" s="159">
        <f t="shared" si="45"/>
        <v>35462</v>
      </c>
      <c r="BZ77" s="162">
        <f t="shared" si="46"/>
        <v>1.67E-2</v>
      </c>
      <c r="CA77" s="162">
        <f t="shared" si="54"/>
        <v>3.0705420000000001</v>
      </c>
      <c r="CF77" s="31" t="s">
        <v>197</v>
      </c>
      <c r="CG77" s="168">
        <f t="shared" si="50"/>
        <v>35462</v>
      </c>
      <c r="CH77" s="37">
        <v>0</v>
      </c>
      <c r="CI77" s="314">
        <f t="shared" si="47"/>
        <v>0</v>
      </c>
      <c r="CJ77" s="312">
        <f t="shared" si="55"/>
        <v>1</v>
      </c>
      <c r="CL77" s="325"/>
      <c r="CN77" s="315">
        <f t="shared" si="56"/>
        <v>35462</v>
      </c>
      <c r="CO77" s="312">
        <f t="shared" si="57"/>
        <v>1</v>
      </c>
      <c r="CQ77" s="315">
        <f t="shared" si="58"/>
        <v>35462</v>
      </c>
      <c r="CR77" s="316">
        <f t="shared" si="59"/>
        <v>3.7783000000000011</v>
      </c>
      <c r="CT77" s="325"/>
      <c r="CW77" s="652" t="s">
        <v>356</v>
      </c>
      <c r="CX77" s="242" t="str">
        <f t="shared" si="66"/>
        <v>texto branco sobre fundo cinza-muito-claro</v>
      </c>
    </row>
    <row r="78" spans="2:102" ht="15" customHeight="1">
      <c r="B78" s="163">
        <v>38718</v>
      </c>
      <c r="C78" s="165">
        <v>300</v>
      </c>
      <c r="D78" s="274">
        <f t="shared" si="60"/>
        <v>38718</v>
      </c>
      <c r="E78" s="275">
        <f t="shared" si="61"/>
        <v>300</v>
      </c>
      <c r="G78" s="163">
        <v>39083</v>
      </c>
      <c r="H78" s="163">
        <v>39114</v>
      </c>
      <c r="I78" s="164">
        <v>2.189E-3</v>
      </c>
      <c r="J78" s="159">
        <f t="shared" si="62"/>
        <v>39114</v>
      </c>
      <c r="K78" s="278">
        <f t="shared" si="63"/>
        <v>2.189E-3</v>
      </c>
      <c r="M78" s="163">
        <v>37226</v>
      </c>
      <c r="N78" s="163">
        <v>37257</v>
      </c>
      <c r="O78" s="164">
        <v>5.0000000000000001E-3</v>
      </c>
      <c r="P78" s="159">
        <f t="shared" si="51"/>
        <v>37226</v>
      </c>
      <c r="Q78" s="292">
        <f t="shared" si="48"/>
        <v>5.0000000000000001E-3</v>
      </c>
      <c r="S78" s="163">
        <v>37257</v>
      </c>
      <c r="T78" s="164">
        <v>1.5299999999999999E-2</v>
      </c>
      <c r="U78" s="159">
        <f t="shared" si="64"/>
        <v>37257</v>
      </c>
      <c r="V78" s="285">
        <f t="shared" si="65"/>
        <v>1.5299999999999999E-2</v>
      </c>
      <c r="BK78" s="325"/>
      <c r="BM78" s="160" t="s">
        <v>197</v>
      </c>
      <c r="BN78" s="355">
        <f t="shared" si="49"/>
        <v>35490</v>
      </c>
      <c r="BO78" s="37">
        <v>0</v>
      </c>
      <c r="BP78" s="278">
        <f t="shared" si="42"/>
        <v>0</v>
      </c>
      <c r="BQ78" s="312">
        <f t="shared" si="52"/>
        <v>1.1656213848043593</v>
      </c>
      <c r="BS78" s="31" t="s">
        <v>43</v>
      </c>
      <c r="BT78" s="159">
        <f t="shared" si="43"/>
        <v>35490</v>
      </c>
      <c r="BU78" s="162">
        <f t="shared" si="44"/>
        <v>1.6400000000000001E-2</v>
      </c>
      <c r="BV78" s="311">
        <f t="shared" si="53"/>
        <v>3.7616000000000009</v>
      </c>
      <c r="BX78" s="170" t="s">
        <v>43</v>
      </c>
      <c r="BY78" s="159">
        <f t="shared" si="45"/>
        <v>35490</v>
      </c>
      <c r="BZ78" s="162">
        <f t="shared" si="46"/>
        <v>1.6400000000000001E-2</v>
      </c>
      <c r="CA78" s="162">
        <f t="shared" si="54"/>
        <v>3.0538419999999999</v>
      </c>
      <c r="CF78" s="31" t="s">
        <v>197</v>
      </c>
      <c r="CG78" s="168">
        <f t="shared" si="50"/>
        <v>35490</v>
      </c>
      <c r="CH78" s="37">
        <v>0</v>
      </c>
      <c r="CI78" s="314">
        <f t="shared" si="47"/>
        <v>0</v>
      </c>
      <c r="CJ78" s="312">
        <f t="shared" si="55"/>
        <v>1</v>
      </c>
      <c r="CL78" s="325"/>
      <c r="CN78" s="315">
        <f t="shared" si="56"/>
        <v>35490</v>
      </c>
      <c r="CO78" s="312">
        <f t="shared" si="57"/>
        <v>1</v>
      </c>
      <c r="CQ78" s="315">
        <f t="shared" si="58"/>
        <v>35490</v>
      </c>
      <c r="CR78" s="316">
        <f t="shared" si="59"/>
        <v>3.7616000000000009</v>
      </c>
      <c r="CT78" s="325"/>
      <c r="CW78" s="655" t="s">
        <v>365</v>
      </c>
      <c r="CX78" s="242" t="str">
        <f t="shared" si="66"/>
        <v>Competência da Justiça Federal</v>
      </c>
    </row>
    <row r="79" spans="2:102" ht="15" customHeight="1">
      <c r="B79" s="163">
        <v>38749</v>
      </c>
      <c r="C79" s="165">
        <v>300</v>
      </c>
      <c r="D79" s="274">
        <f t="shared" si="60"/>
        <v>38749</v>
      </c>
      <c r="E79" s="275">
        <f t="shared" si="61"/>
        <v>300</v>
      </c>
      <c r="G79" s="163">
        <v>39114</v>
      </c>
      <c r="H79" s="163">
        <v>39142</v>
      </c>
      <c r="I79" s="164">
        <v>7.2099999999999996E-4</v>
      </c>
      <c r="J79" s="159">
        <f t="shared" si="62"/>
        <v>39142</v>
      </c>
      <c r="K79" s="278">
        <f t="shared" si="63"/>
        <v>7.2099999999999996E-4</v>
      </c>
      <c r="M79" s="163">
        <v>37257</v>
      </c>
      <c r="N79" s="163">
        <v>37288</v>
      </c>
      <c r="O79" s="164">
        <v>5.0000000000000001E-3</v>
      </c>
      <c r="P79" s="159">
        <f t="shared" si="51"/>
        <v>37257</v>
      </c>
      <c r="Q79" s="292">
        <f t="shared" si="48"/>
        <v>5.0000000000000001E-3</v>
      </c>
      <c r="S79" s="163">
        <v>37288</v>
      </c>
      <c r="T79" s="164">
        <v>1.2500000000000001E-2</v>
      </c>
      <c r="U79" s="159">
        <f t="shared" si="64"/>
        <v>37288</v>
      </c>
      <c r="V79" s="285">
        <f t="shared" si="65"/>
        <v>1.2500000000000001E-2</v>
      </c>
      <c r="BK79" s="325"/>
      <c r="BM79" s="160" t="s">
        <v>197</v>
      </c>
      <c r="BN79" s="355">
        <f t="shared" si="49"/>
        <v>35521</v>
      </c>
      <c r="BO79" s="37">
        <v>0</v>
      </c>
      <c r="BP79" s="278">
        <f t="shared" si="42"/>
        <v>0</v>
      </c>
      <c r="BQ79" s="312">
        <f t="shared" si="52"/>
        <v>1.1656213848043593</v>
      </c>
      <c r="BS79" s="31" t="s">
        <v>43</v>
      </c>
      <c r="BT79" s="159">
        <f t="shared" si="43"/>
        <v>35521</v>
      </c>
      <c r="BU79" s="162">
        <f t="shared" si="44"/>
        <v>1.66E-2</v>
      </c>
      <c r="BV79" s="311">
        <f t="shared" si="53"/>
        <v>3.745200000000001</v>
      </c>
      <c r="BX79" s="170" t="s">
        <v>43</v>
      </c>
      <c r="BY79" s="159">
        <f t="shared" si="45"/>
        <v>35521</v>
      </c>
      <c r="BZ79" s="162">
        <f t="shared" si="46"/>
        <v>1.66E-2</v>
      </c>
      <c r="CA79" s="162">
        <f t="shared" si="54"/>
        <v>3.037442</v>
      </c>
      <c r="CF79" s="31" t="s">
        <v>197</v>
      </c>
      <c r="CG79" s="168">
        <f t="shared" si="50"/>
        <v>35521</v>
      </c>
      <c r="CH79" s="37">
        <v>0</v>
      </c>
      <c r="CI79" s="314">
        <f t="shared" si="47"/>
        <v>0</v>
      </c>
      <c r="CJ79" s="312">
        <f t="shared" si="55"/>
        <v>1</v>
      </c>
      <c r="CL79" s="325"/>
      <c r="CN79" s="315">
        <f t="shared" si="56"/>
        <v>35521</v>
      </c>
      <c r="CO79" s="312">
        <f t="shared" si="57"/>
        <v>1</v>
      </c>
      <c r="CQ79" s="315">
        <f t="shared" si="58"/>
        <v>35521</v>
      </c>
      <c r="CR79" s="316">
        <f t="shared" si="59"/>
        <v>3.745200000000001</v>
      </c>
      <c r="CT79" s="325"/>
      <c r="CW79"/>
      <c r="CX79" s="242" t="str">
        <f t="shared" si="66"/>
        <v/>
      </c>
    </row>
    <row r="80" spans="2:102" ht="15" customHeight="1">
      <c r="B80" s="163">
        <v>38777</v>
      </c>
      <c r="C80" s="165">
        <v>300</v>
      </c>
      <c r="D80" s="274">
        <f t="shared" si="60"/>
        <v>38777</v>
      </c>
      <c r="E80" s="275">
        <f t="shared" si="61"/>
        <v>300</v>
      </c>
      <c r="G80" s="163">
        <v>39142</v>
      </c>
      <c r="H80" s="163">
        <v>39173</v>
      </c>
      <c r="I80" s="164">
        <v>1.8760000000000001E-3</v>
      </c>
      <c r="J80" s="159">
        <f t="shared" si="62"/>
        <v>39173</v>
      </c>
      <c r="K80" s="278">
        <f t="shared" si="63"/>
        <v>1.8760000000000001E-3</v>
      </c>
      <c r="M80" s="163">
        <v>37288</v>
      </c>
      <c r="N80" s="163">
        <v>37316</v>
      </c>
      <c r="O80" s="164">
        <v>5.0000000000000001E-3</v>
      </c>
      <c r="P80" s="159">
        <f t="shared" si="51"/>
        <v>37288</v>
      </c>
      <c r="Q80" s="292">
        <f t="shared" si="48"/>
        <v>5.0000000000000001E-3</v>
      </c>
      <c r="S80" s="163">
        <v>37316</v>
      </c>
      <c r="T80" s="164">
        <v>1.37E-2</v>
      </c>
      <c r="U80" s="159">
        <f t="shared" si="64"/>
        <v>37316</v>
      </c>
      <c r="V80" s="285">
        <f t="shared" si="65"/>
        <v>1.37E-2</v>
      </c>
      <c r="BK80" s="325"/>
      <c r="BM80" s="160" t="s">
        <v>197</v>
      </c>
      <c r="BN80" s="355">
        <f t="shared" si="49"/>
        <v>35551</v>
      </c>
      <c r="BO80" s="37">
        <v>0</v>
      </c>
      <c r="BP80" s="278">
        <f t="shared" si="42"/>
        <v>0</v>
      </c>
      <c r="BQ80" s="312">
        <f t="shared" si="52"/>
        <v>1.1656213848043593</v>
      </c>
      <c r="BS80" s="31" t="s">
        <v>43</v>
      </c>
      <c r="BT80" s="159">
        <f t="shared" si="43"/>
        <v>35551</v>
      </c>
      <c r="BU80" s="162">
        <f t="shared" si="44"/>
        <v>1.5800000000000002E-2</v>
      </c>
      <c r="BV80" s="311">
        <f t="shared" si="53"/>
        <v>3.728600000000001</v>
      </c>
      <c r="BX80" s="170" t="s">
        <v>43</v>
      </c>
      <c r="BY80" s="159">
        <f t="shared" si="45"/>
        <v>35551</v>
      </c>
      <c r="BZ80" s="162">
        <f t="shared" si="46"/>
        <v>1.5800000000000002E-2</v>
      </c>
      <c r="CA80" s="162">
        <f t="shared" si="54"/>
        <v>3.020842</v>
      </c>
      <c r="CF80" s="31" t="s">
        <v>197</v>
      </c>
      <c r="CG80" s="168">
        <f t="shared" si="50"/>
        <v>35551</v>
      </c>
      <c r="CH80" s="37">
        <v>0</v>
      </c>
      <c r="CI80" s="314">
        <f t="shared" si="47"/>
        <v>0</v>
      </c>
      <c r="CJ80" s="312">
        <f t="shared" si="55"/>
        <v>1</v>
      </c>
      <c r="CL80" s="325"/>
      <c r="CN80" s="315">
        <f t="shared" si="56"/>
        <v>35551</v>
      </c>
      <c r="CO80" s="312">
        <f t="shared" si="57"/>
        <v>1</v>
      </c>
      <c r="CQ80" s="315">
        <f t="shared" si="58"/>
        <v>35551</v>
      </c>
      <c r="CR80" s="316">
        <f t="shared" si="59"/>
        <v>3.728600000000001</v>
      </c>
      <c r="CT80" s="325"/>
      <c r="CW80" s="652" t="s">
        <v>356</v>
      </c>
      <c r="CX80" s="242" t="str">
        <f t="shared" si="66"/>
        <v>texto branco sobre fundo cinza-muito-claro</v>
      </c>
    </row>
    <row r="81" spans="2:102" ht="15" customHeight="1">
      <c r="B81" s="163">
        <v>38808</v>
      </c>
      <c r="C81" s="165">
        <v>350</v>
      </c>
      <c r="D81" s="274">
        <f t="shared" si="60"/>
        <v>38808</v>
      </c>
      <c r="E81" s="275">
        <f t="shared" si="61"/>
        <v>350</v>
      </c>
      <c r="G81" s="163">
        <v>39173</v>
      </c>
      <c r="H81" s="163">
        <v>39203</v>
      </c>
      <c r="I81" s="164">
        <v>1.2719999999999999E-3</v>
      </c>
      <c r="J81" s="159">
        <f t="shared" si="62"/>
        <v>39203</v>
      </c>
      <c r="K81" s="278">
        <f t="shared" si="63"/>
        <v>1.2719999999999999E-3</v>
      </c>
      <c r="M81" s="163">
        <v>37316</v>
      </c>
      <c r="N81" s="163">
        <v>37347</v>
      </c>
      <c r="O81" s="164">
        <v>5.0000000000000001E-3</v>
      </c>
      <c r="P81" s="159">
        <f t="shared" si="51"/>
        <v>37316</v>
      </c>
      <c r="Q81" s="292">
        <f t="shared" si="48"/>
        <v>5.0000000000000001E-3</v>
      </c>
      <c r="S81" s="163">
        <v>37347</v>
      </c>
      <c r="T81" s="164">
        <v>1.4800000000000001E-2</v>
      </c>
      <c r="U81" s="159">
        <f t="shared" si="64"/>
        <v>37347</v>
      </c>
      <c r="V81" s="285">
        <f t="shared" si="65"/>
        <v>1.4800000000000001E-2</v>
      </c>
      <c r="BK81" s="325"/>
      <c r="BM81" s="160" t="s">
        <v>197</v>
      </c>
      <c r="BN81" s="355">
        <f t="shared" si="49"/>
        <v>35582</v>
      </c>
      <c r="BO81" s="37">
        <v>0</v>
      </c>
      <c r="BP81" s="278">
        <f t="shared" si="42"/>
        <v>0</v>
      </c>
      <c r="BQ81" s="312">
        <f t="shared" si="52"/>
        <v>1.1656213848043593</v>
      </c>
      <c r="BS81" s="31" t="s">
        <v>43</v>
      </c>
      <c r="BT81" s="159">
        <f t="shared" si="43"/>
        <v>35582</v>
      </c>
      <c r="BU81" s="162">
        <f t="shared" si="44"/>
        <v>1.61E-2</v>
      </c>
      <c r="BV81" s="311">
        <f t="shared" si="53"/>
        <v>3.712800000000001</v>
      </c>
      <c r="BX81" s="170" t="s">
        <v>43</v>
      </c>
      <c r="BY81" s="159">
        <f t="shared" si="45"/>
        <v>35582</v>
      </c>
      <c r="BZ81" s="162">
        <f t="shared" si="46"/>
        <v>1.61E-2</v>
      </c>
      <c r="CA81" s="162">
        <f t="shared" si="54"/>
        <v>3.005042</v>
      </c>
      <c r="CF81" s="31" t="s">
        <v>197</v>
      </c>
      <c r="CG81" s="168">
        <f t="shared" si="50"/>
        <v>35582</v>
      </c>
      <c r="CH81" s="37">
        <v>0</v>
      </c>
      <c r="CI81" s="314">
        <f t="shared" si="47"/>
        <v>0</v>
      </c>
      <c r="CJ81" s="312">
        <f t="shared" si="55"/>
        <v>1</v>
      </c>
      <c r="CL81" s="325"/>
      <c r="CN81" s="315">
        <f t="shared" si="56"/>
        <v>35582</v>
      </c>
      <c r="CO81" s="312">
        <f t="shared" si="57"/>
        <v>1</v>
      </c>
      <c r="CQ81" s="315">
        <f t="shared" si="58"/>
        <v>35582</v>
      </c>
      <c r="CR81" s="316">
        <f t="shared" si="59"/>
        <v>3.712800000000001</v>
      </c>
      <c r="CT81" s="325"/>
      <c r="CW81" s="655" t="s">
        <v>366</v>
      </c>
      <c r="CX81" s="242" t="str">
        <f t="shared" si="66"/>
        <v>Concursos e estágios</v>
      </c>
    </row>
    <row r="82" spans="2:102" ht="15" customHeight="1">
      <c r="B82" s="163">
        <v>38838</v>
      </c>
      <c r="C82" s="165">
        <v>350</v>
      </c>
      <c r="D82" s="274">
        <f t="shared" si="60"/>
        <v>38838</v>
      </c>
      <c r="E82" s="275">
        <f t="shared" si="61"/>
        <v>350</v>
      </c>
      <c r="G82" s="163">
        <v>39203</v>
      </c>
      <c r="H82" s="163">
        <v>39234</v>
      </c>
      <c r="I82" s="164">
        <v>1.689E-3</v>
      </c>
      <c r="J82" s="159">
        <f t="shared" si="62"/>
        <v>39234</v>
      </c>
      <c r="K82" s="278">
        <f t="shared" si="63"/>
        <v>1.689E-3</v>
      </c>
      <c r="M82" s="163">
        <v>37347</v>
      </c>
      <c r="N82" s="163">
        <v>37377</v>
      </c>
      <c r="O82" s="164">
        <v>5.0000000000000001E-3</v>
      </c>
      <c r="P82" s="159">
        <f t="shared" si="51"/>
        <v>37347</v>
      </c>
      <c r="Q82" s="292">
        <f t="shared" si="48"/>
        <v>5.0000000000000001E-3</v>
      </c>
      <c r="S82" s="163">
        <v>37377</v>
      </c>
      <c r="T82" s="164">
        <v>1.41E-2</v>
      </c>
      <c r="U82" s="159">
        <f t="shared" si="64"/>
        <v>37377</v>
      </c>
      <c r="V82" s="285">
        <f t="shared" si="65"/>
        <v>1.41E-2</v>
      </c>
      <c r="BK82" s="325"/>
      <c r="BM82" s="160" t="s">
        <v>197</v>
      </c>
      <c r="BN82" s="355">
        <f t="shared" si="49"/>
        <v>35612</v>
      </c>
      <c r="BO82" s="37">
        <v>0</v>
      </c>
      <c r="BP82" s="278">
        <f t="shared" si="42"/>
        <v>0</v>
      </c>
      <c r="BQ82" s="312">
        <f t="shared" si="52"/>
        <v>1.1656213848043593</v>
      </c>
      <c r="BS82" s="31" t="s">
        <v>43</v>
      </c>
      <c r="BT82" s="159">
        <f t="shared" si="43"/>
        <v>35612</v>
      </c>
      <c r="BU82" s="162">
        <f t="shared" si="44"/>
        <v>1.6E-2</v>
      </c>
      <c r="BV82" s="311">
        <f t="shared" si="53"/>
        <v>3.6967000000000012</v>
      </c>
      <c r="BX82" s="170" t="s">
        <v>43</v>
      </c>
      <c r="BY82" s="159">
        <f t="shared" si="45"/>
        <v>35612</v>
      </c>
      <c r="BZ82" s="162">
        <f t="shared" si="46"/>
        <v>1.6E-2</v>
      </c>
      <c r="CA82" s="162">
        <f t="shared" si="54"/>
        <v>2.9889420000000002</v>
      </c>
      <c r="CF82" s="31" t="s">
        <v>197</v>
      </c>
      <c r="CG82" s="168">
        <f t="shared" si="50"/>
        <v>35612</v>
      </c>
      <c r="CH82" s="37">
        <v>0</v>
      </c>
      <c r="CI82" s="314">
        <f t="shared" si="47"/>
        <v>0</v>
      </c>
      <c r="CJ82" s="312">
        <f t="shared" si="55"/>
        <v>1</v>
      </c>
      <c r="CL82" s="325"/>
      <c r="CN82" s="315">
        <f t="shared" si="56"/>
        <v>35612</v>
      </c>
      <c r="CO82" s="312">
        <f t="shared" si="57"/>
        <v>1</v>
      </c>
      <c r="CQ82" s="315">
        <f t="shared" si="58"/>
        <v>35612</v>
      </c>
      <c r="CR82" s="316">
        <f t="shared" si="59"/>
        <v>3.6967000000000012</v>
      </c>
      <c r="CT82" s="325"/>
      <c r="CW82"/>
      <c r="CX82" s="242" t="str">
        <f t="shared" si="66"/>
        <v/>
      </c>
    </row>
    <row r="83" spans="2:102" ht="15" customHeight="1">
      <c r="B83" s="163">
        <v>38869</v>
      </c>
      <c r="C83" s="165">
        <v>350</v>
      </c>
      <c r="D83" s="274">
        <f t="shared" si="60"/>
        <v>38869</v>
      </c>
      <c r="E83" s="275">
        <f t="shared" si="61"/>
        <v>350</v>
      </c>
      <c r="G83" s="163">
        <v>39234</v>
      </c>
      <c r="H83" s="163">
        <v>39264</v>
      </c>
      <c r="I83" s="164">
        <v>9.5399999999999999E-4</v>
      </c>
      <c r="J83" s="159">
        <f t="shared" si="62"/>
        <v>39264</v>
      </c>
      <c r="K83" s="278">
        <f t="shared" si="63"/>
        <v>9.5399999999999999E-4</v>
      </c>
      <c r="M83" s="163">
        <v>37377</v>
      </c>
      <c r="N83" s="163">
        <v>37408</v>
      </c>
      <c r="O83" s="164">
        <v>5.0000000000000001E-3</v>
      </c>
      <c r="P83" s="159">
        <f t="shared" si="51"/>
        <v>37377</v>
      </c>
      <c r="Q83" s="292">
        <f t="shared" si="48"/>
        <v>5.0000000000000001E-3</v>
      </c>
      <c r="S83" s="163">
        <v>37408</v>
      </c>
      <c r="T83" s="164">
        <v>1.3299999999999999E-2</v>
      </c>
      <c r="U83" s="159">
        <f t="shared" si="64"/>
        <v>37408</v>
      </c>
      <c r="V83" s="285">
        <f t="shared" si="65"/>
        <v>1.3299999999999999E-2</v>
      </c>
      <c r="BK83" s="325"/>
      <c r="BM83" s="160" t="s">
        <v>197</v>
      </c>
      <c r="BN83" s="355">
        <f t="shared" si="49"/>
        <v>35643</v>
      </c>
      <c r="BO83" s="37">
        <v>0</v>
      </c>
      <c r="BP83" s="278">
        <f t="shared" si="42"/>
        <v>0</v>
      </c>
      <c r="BQ83" s="312">
        <f t="shared" si="52"/>
        <v>1.1656213848043593</v>
      </c>
      <c r="BS83" s="31" t="s">
        <v>43</v>
      </c>
      <c r="BT83" s="159">
        <f t="shared" si="43"/>
        <v>35643</v>
      </c>
      <c r="BU83" s="162">
        <f t="shared" si="44"/>
        <v>1.5900000000000001E-2</v>
      </c>
      <c r="BV83" s="311">
        <f t="shared" si="53"/>
        <v>3.6807000000000012</v>
      </c>
      <c r="BX83" s="170" t="s">
        <v>43</v>
      </c>
      <c r="BY83" s="159">
        <f t="shared" si="45"/>
        <v>35643</v>
      </c>
      <c r="BZ83" s="162">
        <f t="shared" si="46"/>
        <v>1.5900000000000001E-2</v>
      </c>
      <c r="CA83" s="162">
        <f t="shared" si="54"/>
        <v>2.9729420000000002</v>
      </c>
      <c r="CF83" s="31" t="s">
        <v>197</v>
      </c>
      <c r="CG83" s="168">
        <f t="shared" si="50"/>
        <v>35643</v>
      </c>
      <c r="CH83" s="37">
        <v>0</v>
      </c>
      <c r="CI83" s="314">
        <f t="shared" si="47"/>
        <v>0</v>
      </c>
      <c r="CJ83" s="312">
        <f t="shared" si="55"/>
        <v>1</v>
      </c>
      <c r="CL83" s="325"/>
      <c r="CN83" s="315">
        <f t="shared" si="56"/>
        <v>35643</v>
      </c>
      <c r="CO83" s="312">
        <f t="shared" si="57"/>
        <v>1</v>
      </c>
      <c r="CQ83" s="315">
        <f t="shared" si="58"/>
        <v>35643</v>
      </c>
      <c r="CR83" s="316">
        <f t="shared" si="59"/>
        <v>3.6807000000000012</v>
      </c>
      <c r="CT83" s="325"/>
      <c r="CW83" s="652" t="s">
        <v>356</v>
      </c>
      <c r="CX83" s="242" t="str">
        <f t="shared" si="66"/>
        <v>texto branco sobre fundo cinza-muito-claro</v>
      </c>
    </row>
    <row r="84" spans="2:102" ht="15" customHeight="1">
      <c r="B84" s="163">
        <v>38899</v>
      </c>
      <c r="C84" s="165">
        <v>350</v>
      </c>
      <c r="D84" s="274">
        <f t="shared" si="60"/>
        <v>38899</v>
      </c>
      <c r="E84" s="275">
        <f t="shared" si="61"/>
        <v>350</v>
      </c>
      <c r="G84" s="163">
        <v>39264</v>
      </c>
      <c r="H84" s="163">
        <v>39295</v>
      </c>
      <c r="I84" s="164">
        <v>1.469E-3</v>
      </c>
      <c r="J84" s="159">
        <f t="shared" si="62"/>
        <v>39295</v>
      </c>
      <c r="K84" s="278">
        <f t="shared" si="63"/>
        <v>1.469E-3</v>
      </c>
      <c r="M84" s="163">
        <v>37408</v>
      </c>
      <c r="N84" s="163">
        <v>37438</v>
      </c>
      <c r="O84" s="164">
        <v>5.0000000000000001E-3</v>
      </c>
      <c r="P84" s="159">
        <f t="shared" si="51"/>
        <v>37408</v>
      </c>
      <c r="Q84" s="292">
        <f t="shared" si="48"/>
        <v>5.0000000000000001E-3</v>
      </c>
      <c r="S84" s="163">
        <v>37438</v>
      </c>
      <c r="T84" s="164">
        <v>1.54E-2</v>
      </c>
      <c r="U84" s="159">
        <f t="shared" si="64"/>
        <v>37438</v>
      </c>
      <c r="V84" s="285">
        <f t="shared" si="65"/>
        <v>1.54E-2</v>
      </c>
      <c r="BM84" s="160" t="s">
        <v>197</v>
      </c>
      <c r="BN84" s="355">
        <f t="shared" si="49"/>
        <v>35674</v>
      </c>
      <c r="BO84" s="37">
        <v>0</v>
      </c>
      <c r="BP84" s="278">
        <f t="shared" si="42"/>
        <v>0</v>
      </c>
      <c r="BQ84" s="312">
        <f t="shared" si="52"/>
        <v>1.1656213848043593</v>
      </c>
      <c r="BS84" s="31" t="s">
        <v>43</v>
      </c>
      <c r="BT84" s="159">
        <f t="shared" si="43"/>
        <v>35674</v>
      </c>
      <c r="BU84" s="162">
        <f t="shared" si="44"/>
        <v>1.5900000000000001E-2</v>
      </c>
      <c r="BV84" s="311">
        <f t="shared" si="53"/>
        <v>3.6648000000000014</v>
      </c>
      <c r="BX84" s="170" t="s">
        <v>43</v>
      </c>
      <c r="BY84" s="159">
        <f t="shared" si="45"/>
        <v>35674</v>
      </c>
      <c r="BZ84" s="162">
        <f t="shared" si="46"/>
        <v>1.5900000000000001E-2</v>
      </c>
      <c r="CA84" s="162">
        <f t="shared" si="54"/>
        <v>2.9570420000000004</v>
      </c>
      <c r="CF84" s="31" t="s">
        <v>197</v>
      </c>
      <c r="CG84" s="168">
        <f t="shared" si="50"/>
        <v>35674</v>
      </c>
      <c r="CH84" s="37">
        <v>0</v>
      </c>
      <c r="CI84" s="314">
        <f t="shared" si="47"/>
        <v>0</v>
      </c>
      <c r="CJ84" s="312">
        <f t="shared" si="55"/>
        <v>1</v>
      </c>
      <c r="CN84" s="315">
        <f t="shared" si="56"/>
        <v>35674</v>
      </c>
      <c r="CO84" s="312">
        <f t="shared" si="57"/>
        <v>1</v>
      </c>
      <c r="CQ84" s="315">
        <f t="shared" si="58"/>
        <v>35674</v>
      </c>
      <c r="CR84" s="316">
        <f t="shared" si="59"/>
        <v>3.6648000000000014</v>
      </c>
      <c r="CW84" s="655" t="s">
        <v>367</v>
      </c>
      <c r="CX84" s="242" t="str">
        <f t="shared" si="66"/>
        <v>Diário eletrônico</v>
      </c>
    </row>
    <row r="85" spans="2:102" ht="15" customHeight="1">
      <c r="B85" s="163">
        <v>38930</v>
      </c>
      <c r="C85" s="165">
        <v>350</v>
      </c>
      <c r="D85" s="274">
        <f t="shared" si="60"/>
        <v>38930</v>
      </c>
      <c r="E85" s="275">
        <f t="shared" si="61"/>
        <v>350</v>
      </c>
      <c r="G85" s="163">
        <v>39295</v>
      </c>
      <c r="H85" s="163">
        <v>39326</v>
      </c>
      <c r="I85" s="164">
        <v>1.4660000000000001E-3</v>
      </c>
      <c r="J85" s="159">
        <f t="shared" si="62"/>
        <v>39326</v>
      </c>
      <c r="K85" s="278">
        <f t="shared" si="63"/>
        <v>1.4660000000000001E-3</v>
      </c>
      <c r="M85" s="163">
        <v>37438</v>
      </c>
      <c r="N85" s="163">
        <v>37469</v>
      </c>
      <c r="O85" s="164">
        <v>5.0000000000000001E-3</v>
      </c>
      <c r="P85" s="159">
        <f t="shared" si="51"/>
        <v>37438</v>
      </c>
      <c r="Q85" s="292">
        <f t="shared" si="48"/>
        <v>5.0000000000000001E-3</v>
      </c>
      <c r="S85" s="163">
        <v>37469</v>
      </c>
      <c r="T85" s="164">
        <v>1.44E-2</v>
      </c>
      <c r="U85" s="159">
        <f t="shared" si="64"/>
        <v>37469</v>
      </c>
      <c r="V85" s="285">
        <f t="shared" si="65"/>
        <v>1.44E-2</v>
      </c>
      <c r="BM85" s="160" t="s">
        <v>197</v>
      </c>
      <c r="BN85" s="355">
        <f t="shared" si="49"/>
        <v>35704</v>
      </c>
      <c r="BO85" s="37">
        <v>0</v>
      </c>
      <c r="BP85" s="278">
        <f t="shared" si="42"/>
        <v>0</v>
      </c>
      <c r="BQ85" s="312">
        <f t="shared" si="52"/>
        <v>1.1656213848043593</v>
      </c>
      <c r="BS85" s="31" t="s">
        <v>43</v>
      </c>
      <c r="BT85" s="159">
        <f t="shared" si="43"/>
        <v>35704</v>
      </c>
      <c r="BU85" s="162">
        <f t="shared" si="44"/>
        <v>1.67E-2</v>
      </c>
      <c r="BV85" s="311">
        <f t="shared" si="53"/>
        <v>3.6489000000000016</v>
      </c>
      <c r="BX85" s="170" t="s">
        <v>43</v>
      </c>
      <c r="BY85" s="159">
        <f t="shared" si="45"/>
        <v>35704</v>
      </c>
      <c r="BZ85" s="162">
        <f t="shared" si="46"/>
        <v>1.67E-2</v>
      </c>
      <c r="CA85" s="162">
        <f t="shared" si="54"/>
        <v>2.9411420000000006</v>
      </c>
      <c r="CF85" s="31" t="s">
        <v>197</v>
      </c>
      <c r="CG85" s="168">
        <f t="shared" si="50"/>
        <v>35704</v>
      </c>
      <c r="CH85" s="37">
        <v>0</v>
      </c>
      <c r="CI85" s="314">
        <f t="shared" si="47"/>
        <v>0</v>
      </c>
      <c r="CJ85" s="312">
        <f t="shared" si="55"/>
        <v>1</v>
      </c>
      <c r="CN85" s="315">
        <f t="shared" si="56"/>
        <v>35704</v>
      </c>
      <c r="CO85" s="312">
        <f t="shared" si="57"/>
        <v>1</v>
      </c>
      <c r="CQ85" s="315">
        <f t="shared" si="58"/>
        <v>35704</v>
      </c>
      <c r="CR85" s="316">
        <f t="shared" si="59"/>
        <v>3.6489000000000016</v>
      </c>
      <c r="CW85"/>
      <c r="CX85" s="242" t="str">
        <f t="shared" si="66"/>
        <v/>
      </c>
    </row>
    <row r="86" spans="2:102" ht="15" customHeight="1">
      <c r="B86" s="163">
        <v>38961</v>
      </c>
      <c r="C86" s="165">
        <v>350</v>
      </c>
      <c r="D86" s="274">
        <f t="shared" si="60"/>
        <v>38961</v>
      </c>
      <c r="E86" s="275">
        <f t="shared" si="61"/>
        <v>350</v>
      </c>
      <c r="G86" s="163">
        <v>39326</v>
      </c>
      <c r="H86" s="163">
        <v>39356</v>
      </c>
      <c r="I86" s="164">
        <v>3.5199999999999999E-4</v>
      </c>
      <c r="J86" s="159">
        <f t="shared" si="62"/>
        <v>39356</v>
      </c>
      <c r="K86" s="278">
        <f t="shared" si="63"/>
        <v>3.5199999999999999E-4</v>
      </c>
      <c r="M86" s="163">
        <v>37469</v>
      </c>
      <c r="N86" s="163">
        <v>37500</v>
      </c>
      <c r="O86" s="164">
        <v>5.0000000000000001E-3</v>
      </c>
      <c r="P86" s="159">
        <f t="shared" si="51"/>
        <v>37469</v>
      </c>
      <c r="Q86" s="292">
        <f t="shared" si="48"/>
        <v>5.0000000000000001E-3</v>
      </c>
      <c r="S86" s="163">
        <v>37500</v>
      </c>
      <c r="T86" s="164">
        <v>1.38E-2</v>
      </c>
      <c r="U86" s="159">
        <f t="shared" si="64"/>
        <v>37500</v>
      </c>
      <c r="V86" s="285">
        <f t="shared" si="65"/>
        <v>1.38E-2</v>
      </c>
      <c r="BM86" s="160" t="s">
        <v>197</v>
      </c>
      <c r="BN86" s="355">
        <f t="shared" si="49"/>
        <v>35735</v>
      </c>
      <c r="BO86" s="37">
        <v>0</v>
      </c>
      <c r="BP86" s="278">
        <f t="shared" si="42"/>
        <v>0</v>
      </c>
      <c r="BQ86" s="312">
        <f t="shared" si="52"/>
        <v>1.1656213848043593</v>
      </c>
      <c r="BS86" s="31" t="s">
        <v>43</v>
      </c>
      <c r="BT86" s="159">
        <f t="shared" si="43"/>
        <v>35735</v>
      </c>
      <c r="BU86" s="162">
        <f t="shared" si="44"/>
        <v>3.04E-2</v>
      </c>
      <c r="BV86" s="311">
        <f t="shared" si="53"/>
        <v>3.6322000000000014</v>
      </c>
      <c r="BX86" s="170" t="s">
        <v>43</v>
      </c>
      <c r="BY86" s="159">
        <f t="shared" si="45"/>
        <v>35735</v>
      </c>
      <c r="BZ86" s="162">
        <f t="shared" si="46"/>
        <v>3.04E-2</v>
      </c>
      <c r="CA86" s="162">
        <f t="shared" si="54"/>
        <v>2.9244420000000004</v>
      </c>
      <c r="CF86" s="31" t="s">
        <v>197</v>
      </c>
      <c r="CG86" s="168">
        <f t="shared" si="50"/>
        <v>35735</v>
      </c>
      <c r="CH86" s="37">
        <v>0</v>
      </c>
      <c r="CI86" s="314">
        <f t="shared" si="47"/>
        <v>0</v>
      </c>
      <c r="CJ86" s="312">
        <f t="shared" si="55"/>
        <v>1</v>
      </c>
      <c r="CN86" s="315">
        <f t="shared" si="56"/>
        <v>35735</v>
      </c>
      <c r="CO86" s="312">
        <f t="shared" si="57"/>
        <v>1</v>
      </c>
      <c r="CQ86" s="315">
        <f t="shared" si="58"/>
        <v>35735</v>
      </c>
      <c r="CR86" s="316">
        <f t="shared" si="59"/>
        <v>3.6322000000000014</v>
      </c>
      <c r="CW86" s="652" t="s">
        <v>358</v>
      </c>
      <c r="CX86" s="242" t="str">
        <f t="shared" si="66"/>
        <v>texto azul escuro sobre fundo cinza-muito-claro</v>
      </c>
    </row>
    <row r="87" spans="2:102" ht="15" customHeight="1">
      <c r="B87" s="163">
        <v>38991</v>
      </c>
      <c r="C87" s="165">
        <v>350</v>
      </c>
      <c r="D87" s="274">
        <f t="shared" si="60"/>
        <v>38991</v>
      </c>
      <c r="E87" s="275">
        <f t="shared" si="61"/>
        <v>350</v>
      </c>
      <c r="G87" s="163">
        <v>39356</v>
      </c>
      <c r="H87" s="163">
        <v>39387</v>
      </c>
      <c r="I87" s="164">
        <v>1.142E-3</v>
      </c>
      <c r="J87" s="159">
        <f t="shared" si="62"/>
        <v>39387</v>
      </c>
      <c r="K87" s="278">
        <f t="shared" si="63"/>
        <v>1.142E-3</v>
      </c>
      <c r="M87" s="163">
        <v>37500</v>
      </c>
      <c r="N87" s="163">
        <v>37530</v>
      </c>
      <c r="O87" s="164">
        <v>5.0000000000000001E-3</v>
      </c>
      <c r="P87" s="159">
        <f t="shared" si="51"/>
        <v>37500</v>
      </c>
      <c r="Q87" s="292">
        <f t="shared" si="48"/>
        <v>5.0000000000000001E-3</v>
      </c>
      <c r="S87" s="163">
        <v>37530</v>
      </c>
      <c r="T87" s="164">
        <v>1.6500000000000001E-2</v>
      </c>
      <c r="U87" s="159">
        <f t="shared" si="64"/>
        <v>37530</v>
      </c>
      <c r="V87" s="285">
        <f t="shared" si="65"/>
        <v>1.6500000000000001E-2</v>
      </c>
      <c r="BM87" s="160" t="s">
        <v>197</v>
      </c>
      <c r="BN87" s="355">
        <f t="shared" si="49"/>
        <v>35765</v>
      </c>
      <c r="BO87" s="37">
        <v>0</v>
      </c>
      <c r="BP87" s="278">
        <f t="shared" si="42"/>
        <v>0</v>
      </c>
      <c r="BQ87" s="312">
        <f t="shared" si="52"/>
        <v>1.1656213848043593</v>
      </c>
      <c r="BS87" s="31" t="s">
        <v>43</v>
      </c>
      <c r="BT87" s="159">
        <f t="shared" si="43"/>
        <v>35765</v>
      </c>
      <c r="BU87" s="162">
        <f t="shared" si="44"/>
        <v>2.9700000000000001E-2</v>
      </c>
      <c r="BV87" s="311">
        <f t="shared" si="53"/>
        <v>3.6018000000000012</v>
      </c>
      <c r="BX87" s="170" t="s">
        <v>43</v>
      </c>
      <c r="BY87" s="159">
        <f t="shared" si="45"/>
        <v>35765</v>
      </c>
      <c r="BZ87" s="162">
        <f t="shared" si="46"/>
        <v>2.9700000000000001E-2</v>
      </c>
      <c r="CA87" s="162">
        <f t="shared" si="54"/>
        <v>2.8940420000000002</v>
      </c>
      <c r="CF87" s="31" t="s">
        <v>197</v>
      </c>
      <c r="CG87" s="168">
        <f t="shared" si="50"/>
        <v>35765</v>
      </c>
      <c r="CH87" s="37">
        <v>0</v>
      </c>
      <c r="CI87" s="314">
        <f t="shared" si="47"/>
        <v>0</v>
      </c>
      <c r="CJ87" s="312">
        <f t="shared" si="55"/>
        <v>1</v>
      </c>
      <c r="CN87" s="315">
        <f t="shared" si="56"/>
        <v>35765</v>
      </c>
      <c r="CO87" s="312">
        <f t="shared" si="57"/>
        <v>1</v>
      </c>
      <c r="CQ87" s="315">
        <f t="shared" si="58"/>
        <v>35765</v>
      </c>
      <c r="CR87" s="316">
        <f t="shared" si="59"/>
        <v>3.6018000000000012</v>
      </c>
      <c r="CW87" s="655" t="s">
        <v>368</v>
      </c>
      <c r="CX87" s="242" t="str">
        <f t="shared" si="66"/>
        <v>Dúvidas frequentes</v>
      </c>
    </row>
    <row r="88" spans="2:102" ht="15" customHeight="1">
      <c r="B88" s="163">
        <v>39022</v>
      </c>
      <c r="C88" s="165">
        <v>350</v>
      </c>
      <c r="D88" s="274">
        <f t="shared" si="60"/>
        <v>39022</v>
      </c>
      <c r="E88" s="275">
        <f t="shared" si="61"/>
        <v>350</v>
      </c>
      <c r="G88" s="163">
        <v>39387</v>
      </c>
      <c r="H88" s="163">
        <v>39417</v>
      </c>
      <c r="I88" s="164">
        <v>5.9000000000000003E-4</v>
      </c>
      <c r="J88" s="159">
        <f t="shared" si="62"/>
        <v>39417</v>
      </c>
      <c r="K88" s="278">
        <f t="shared" si="63"/>
        <v>5.9000000000000003E-4</v>
      </c>
      <c r="M88" s="163">
        <v>37530</v>
      </c>
      <c r="N88" s="163">
        <v>37561</v>
      </c>
      <c r="O88" s="164">
        <v>5.0000000000000001E-3</v>
      </c>
      <c r="P88" s="159">
        <f t="shared" si="51"/>
        <v>37530</v>
      </c>
      <c r="Q88" s="292">
        <f t="shared" si="48"/>
        <v>5.0000000000000001E-3</v>
      </c>
      <c r="S88" s="163">
        <v>37561</v>
      </c>
      <c r="T88" s="164">
        <v>1.54E-2</v>
      </c>
      <c r="U88" s="159">
        <f t="shared" si="64"/>
        <v>37561</v>
      </c>
      <c r="V88" s="285">
        <f t="shared" si="65"/>
        <v>1.54E-2</v>
      </c>
      <c r="BM88" s="160" t="s">
        <v>197</v>
      </c>
      <c r="BN88" s="355">
        <f t="shared" si="49"/>
        <v>35796</v>
      </c>
      <c r="BO88" s="37">
        <v>0</v>
      </c>
      <c r="BP88" s="278">
        <f t="shared" si="42"/>
        <v>0</v>
      </c>
      <c r="BQ88" s="312">
        <f t="shared" si="52"/>
        <v>1.1656213848043593</v>
      </c>
      <c r="BS88" s="31" t="s">
        <v>43</v>
      </c>
      <c r="BT88" s="159">
        <f t="shared" si="43"/>
        <v>35796</v>
      </c>
      <c r="BU88" s="162">
        <f t="shared" si="44"/>
        <v>2.6700000000000002E-2</v>
      </c>
      <c r="BV88" s="311">
        <f t="shared" si="53"/>
        <v>3.5721000000000012</v>
      </c>
      <c r="BX88" s="170" t="s">
        <v>43</v>
      </c>
      <c r="BY88" s="159">
        <f t="shared" si="45"/>
        <v>35796</v>
      </c>
      <c r="BZ88" s="162">
        <f t="shared" si="46"/>
        <v>2.6700000000000002E-2</v>
      </c>
      <c r="CA88" s="162">
        <f t="shared" si="54"/>
        <v>2.8643420000000002</v>
      </c>
      <c r="CF88" s="31" t="s">
        <v>197</v>
      </c>
      <c r="CG88" s="168">
        <f t="shared" si="50"/>
        <v>35796</v>
      </c>
      <c r="CH88" s="37">
        <v>0</v>
      </c>
      <c r="CI88" s="314">
        <f t="shared" si="47"/>
        <v>0</v>
      </c>
      <c r="CJ88" s="312">
        <f t="shared" si="55"/>
        <v>1</v>
      </c>
      <c r="CN88" s="315">
        <f t="shared" si="56"/>
        <v>35796</v>
      </c>
      <c r="CO88" s="312">
        <f t="shared" si="57"/>
        <v>1</v>
      </c>
      <c r="CQ88" s="315">
        <f t="shared" si="58"/>
        <v>35796</v>
      </c>
      <c r="CR88" s="316">
        <f t="shared" si="59"/>
        <v>3.5721000000000012</v>
      </c>
      <c r="CW88"/>
      <c r="CX88" s="242" t="str">
        <f t="shared" si="66"/>
        <v/>
      </c>
    </row>
    <row r="89" spans="2:102" ht="15" customHeight="1">
      <c r="B89" s="163">
        <v>39052</v>
      </c>
      <c r="C89" s="165">
        <v>350</v>
      </c>
      <c r="D89" s="274">
        <f t="shared" si="60"/>
        <v>39052</v>
      </c>
      <c r="E89" s="275">
        <f t="shared" si="61"/>
        <v>350</v>
      </c>
      <c r="G89" s="163">
        <v>39417</v>
      </c>
      <c r="H89" s="163">
        <v>39448</v>
      </c>
      <c r="I89" s="164">
        <v>6.4000000000000005E-4</v>
      </c>
      <c r="J89" s="159">
        <f t="shared" si="62"/>
        <v>39448</v>
      </c>
      <c r="K89" s="278">
        <f t="shared" si="63"/>
        <v>6.4000000000000005E-4</v>
      </c>
      <c r="M89" s="163">
        <v>37561</v>
      </c>
      <c r="N89" s="163">
        <v>37591</v>
      </c>
      <c r="O89" s="164">
        <v>5.0000000000000001E-3</v>
      </c>
      <c r="P89" s="159">
        <f t="shared" si="51"/>
        <v>37561</v>
      </c>
      <c r="Q89" s="292">
        <f t="shared" si="48"/>
        <v>5.0000000000000001E-3</v>
      </c>
      <c r="S89" s="163">
        <v>37591</v>
      </c>
      <c r="T89" s="164">
        <v>1.7399999999999999E-2</v>
      </c>
      <c r="U89" s="159">
        <f t="shared" si="64"/>
        <v>37591</v>
      </c>
      <c r="V89" s="285">
        <f t="shared" si="65"/>
        <v>1.7399999999999999E-2</v>
      </c>
      <c r="BM89" s="160" t="s">
        <v>197</v>
      </c>
      <c r="BN89" s="355">
        <f t="shared" si="49"/>
        <v>35827</v>
      </c>
      <c r="BO89" s="37">
        <v>0</v>
      </c>
      <c r="BP89" s="278">
        <f t="shared" si="42"/>
        <v>0</v>
      </c>
      <c r="BQ89" s="312">
        <f t="shared" si="52"/>
        <v>1.1656213848043593</v>
      </c>
      <c r="BS89" s="31" t="s">
        <v>43</v>
      </c>
      <c r="BT89" s="159">
        <f t="shared" ref="BT89:BT143" si="67">U31</f>
        <v>35827</v>
      </c>
      <c r="BU89" s="162">
        <f t="shared" ref="BU89:BU143" si="68">V31</f>
        <v>2.1299999999999999E-2</v>
      </c>
      <c r="BV89" s="311">
        <f t="shared" si="53"/>
        <v>3.5454000000000012</v>
      </c>
      <c r="BX89" s="170" t="s">
        <v>43</v>
      </c>
      <c r="BY89" s="159">
        <f t="shared" si="45"/>
        <v>35827</v>
      </c>
      <c r="BZ89" s="162">
        <f t="shared" si="46"/>
        <v>2.1299999999999999E-2</v>
      </c>
      <c r="CA89" s="162">
        <f t="shared" si="54"/>
        <v>2.8376420000000002</v>
      </c>
      <c r="CF89" s="31" t="s">
        <v>197</v>
      </c>
      <c r="CG89" s="168">
        <f t="shared" si="50"/>
        <v>35827</v>
      </c>
      <c r="CH89" s="37">
        <v>0</v>
      </c>
      <c r="CI89" s="314">
        <f t="shared" si="47"/>
        <v>0</v>
      </c>
      <c r="CJ89" s="312">
        <f t="shared" si="55"/>
        <v>1</v>
      </c>
      <c r="CN89" s="315">
        <f t="shared" si="56"/>
        <v>35827</v>
      </c>
      <c r="CO89" s="312">
        <f t="shared" si="57"/>
        <v>1</v>
      </c>
      <c r="CQ89" s="315">
        <f t="shared" si="58"/>
        <v>35827</v>
      </c>
      <c r="CR89" s="316">
        <f t="shared" si="59"/>
        <v>3.5454000000000012</v>
      </c>
      <c r="CW89" s="652" t="s">
        <v>356</v>
      </c>
      <c r="CX89" s="242" t="str">
        <f t="shared" si="66"/>
        <v>texto branco sobre fundo cinza-muito-claro</v>
      </c>
    </row>
    <row r="90" spans="2:102" ht="15" customHeight="1">
      <c r="B90" s="163">
        <v>39083</v>
      </c>
      <c r="C90" s="165">
        <v>350</v>
      </c>
      <c r="D90" s="274">
        <f t="shared" si="60"/>
        <v>39083</v>
      </c>
      <c r="E90" s="275">
        <f t="shared" si="61"/>
        <v>350</v>
      </c>
      <c r="G90" s="163">
        <v>39448</v>
      </c>
      <c r="H90" s="163">
        <v>39479</v>
      </c>
      <c r="I90" s="164">
        <v>1.01E-3</v>
      </c>
      <c r="J90" s="159">
        <f t="shared" si="62"/>
        <v>39479</v>
      </c>
      <c r="K90" s="278">
        <f t="shared" si="63"/>
        <v>1.01E-3</v>
      </c>
      <c r="M90" s="163">
        <v>37591</v>
      </c>
      <c r="N90" s="163">
        <v>37622</v>
      </c>
      <c r="O90" s="164">
        <v>5.0000000000000001E-3</v>
      </c>
      <c r="P90" s="159">
        <f t="shared" si="51"/>
        <v>37591</v>
      </c>
      <c r="Q90" s="292">
        <f t="shared" si="48"/>
        <v>5.0000000000000001E-3</v>
      </c>
      <c r="S90" s="163">
        <v>37622</v>
      </c>
      <c r="T90" s="164">
        <v>1.9699999999999999E-2</v>
      </c>
      <c r="U90" s="159">
        <f t="shared" si="64"/>
        <v>37622</v>
      </c>
      <c r="V90" s="285">
        <f t="shared" si="65"/>
        <v>1.9699999999999999E-2</v>
      </c>
      <c r="BM90" s="160" t="s">
        <v>197</v>
      </c>
      <c r="BN90" s="355">
        <f t="shared" si="49"/>
        <v>35855</v>
      </c>
      <c r="BO90" s="37">
        <v>0</v>
      </c>
      <c r="BP90" s="278">
        <f t="shared" si="42"/>
        <v>0</v>
      </c>
      <c r="BQ90" s="312">
        <f t="shared" si="52"/>
        <v>1.1656213848043593</v>
      </c>
      <c r="BS90" s="31" t="s">
        <v>43</v>
      </c>
      <c r="BT90" s="159">
        <f t="shared" si="67"/>
        <v>35855</v>
      </c>
      <c r="BU90" s="162">
        <f t="shared" si="68"/>
        <v>2.1999999999999999E-2</v>
      </c>
      <c r="BV90" s="311">
        <f t="shared" si="53"/>
        <v>3.5241000000000011</v>
      </c>
      <c r="BX90" s="170" t="s">
        <v>43</v>
      </c>
      <c r="BY90" s="159">
        <f t="shared" si="45"/>
        <v>35855</v>
      </c>
      <c r="BZ90" s="162">
        <f t="shared" si="46"/>
        <v>2.1999999999999999E-2</v>
      </c>
      <c r="CA90" s="162">
        <f t="shared" si="54"/>
        <v>2.8163420000000001</v>
      </c>
      <c r="CF90" s="31" t="s">
        <v>197</v>
      </c>
      <c r="CG90" s="168">
        <f t="shared" si="50"/>
        <v>35855</v>
      </c>
      <c r="CH90" s="37">
        <v>0</v>
      </c>
      <c r="CI90" s="314">
        <f t="shared" si="47"/>
        <v>0</v>
      </c>
      <c r="CJ90" s="312">
        <f t="shared" si="55"/>
        <v>1</v>
      </c>
      <c r="CN90" s="315">
        <f t="shared" si="56"/>
        <v>35855</v>
      </c>
      <c r="CO90" s="312">
        <f t="shared" si="57"/>
        <v>1</v>
      </c>
      <c r="CQ90" s="315">
        <f t="shared" si="58"/>
        <v>35855</v>
      </c>
      <c r="CR90" s="316">
        <f t="shared" si="59"/>
        <v>3.5241000000000011</v>
      </c>
      <c r="CW90" s="655" t="s">
        <v>369</v>
      </c>
      <c r="CX90" s="242" t="str">
        <f t="shared" si="66"/>
        <v>Editais</v>
      </c>
    </row>
    <row r="91" spans="2:102" ht="15" customHeight="1">
      <c r="B91" s="163">
        <v>39114</v>
      </c>
      <c r="C91" s="165">
        <v>350</v>
      </c>
      <c r="D91" s="274">
        <f t="shared" si="60"/>
        <v>39114</v>
      </c>
      <c r="E91" s="275">
        <f t="shared" si="61"/>
        <v>350</v>
      </c>
      <c r="G91" s="163">
        <v>39479</v>
      </c>
      <c r="H91" s="163">
        <v>39508</v>
      </c>
      <c r="I91" s="164">
        <v>2.43E-4</v>
      </c>
      <c r="J91" s="159">
        <f t="shared" si="62"/>
        <v>39508</v>
      </c>
      <c r="K91" s="278">
        <f t="shared" si="63"/>
        <v>2.43E-4</v>
      </c>
      <c r="M91" s="163">
        <v>37622</v>
      </c>
      <c r="N91" s="163">
        <v>37653</v>
      </c>
      <c r="O91" s="164">
        <v>5.0000000000000001E-3</v>
      </c>
      <c r="P91" s="159">
        <f t="shared" si="51"/>
        <v>37622</v>
      </c>
      <c r="Q91" s="292">
        <f t="shared" si="48"/>
        <v>5.0000000000000001E-3</v>
      </c>
      <c r="S91" s="163">
        <v>37653</v>
      </c>
      <c r="T91" s="164">
        <v>1.83E-2</v>
      </c>
      <c r="U91" s="159">
        <f t="shared" si="64"/>
        <v>37653</v>
      </c>
      <c r="V91" s="285">
        <f t="shared" si="65"/>
        <v>1.83E-2</v>
      </c>
      <c r="BM91" s="160" t="s">
        <v>197</v>
      </c>
      <c r="BN91" s="355">
        <f t="shared" si="49"/>
        <v>35886</v>
      </c>
      <c r="BO91" s="37">
        <v>0</v>
      </c>
      <c r="BP91" s="278">
        <f t="shared" si="42"/>
        <v>0</v>
      </c>
      <c r="BQ91" s="312">
        <f t="shared" si="52"/>
        <v>1.1656213848043593</v>
      </c>
      <c r="BS91" s="31" t="s">
        <v>43</v>
      </c>
      <c r="BT91" s="159">
        <f t="shared" si="67"/>
        <v>35886</v>
      </c>
      <c r="BU91" s="162">
        <f t="shared" si="68"/>
        <v>1.7100000000000001E-2</v>
      </c>
      <c r="BV91" s="311">
        <f t="shared" si="53"/>
        <v>3.5021000000000013</v>
      </c>
      <c r="BX91" s="170" t="s">
        <v>43</v>
      </c>
      <c r="BY91" s="159">
        <f t="shared" si="45"/>
        <v>35886</v>
      </c>
      <c r="BZ91" s="162">
        <f t="shared" si="46"/>
        <v>1.7100000000000001E-2</v>
      </c>
      <c r="CA91" s="162">
        <f t="shared" si="54"/>
        <v>2.7943420000000003</v>
      </c>
      <c r="CF91" s="31" t="s">
        <v>197</v>
      </c>
      <c r="CG91" s="168">
        <f t="shared" si="50"/>
        <v>35886</v>
      </c>
      <c r="CH91" s="37">
        <v>0</v>
      </c>
      <c r="CI91" s="314">
        <f t="shared" si="47"/>
        <v>0</v>
      </c>
      <c r="CJ91" s="312">
        <f t="shared" si="55"/>
        <v>1</v>
      </c>
      <c r="CN91" s="315">
        <f t="shared" si="56"/>
        <v>35886</v>
      </c>
      <c r="CO91" s="312">
        <f t="shared" si="57"/>
        <v>1</v>
      </c>
      <c r="CQ91" s="315">
        <f t="shared" si="58"/>
        <v>35886</v>
      </c>
      <c r="CR91" s="316">
        <f t="shared" si="59"/>
        <v>3.5021000000000013</v>
      </c>
      <c r="CW91"/>
      <c r="CX91" s="242" t="str">
        <f t="shared" si="66"/>
        <v/>
      </c>
    </row>
    <row r="92" spans="2:102" ht="15" customHeight="1">
      <c r="B92" s="163">
        <v>39142</v>
      </c>
      <c r="C92" s="165">
        <v>350</v>
      </c>
      <c r="D92" s="274">
        <f t="shared" si="60"/>
        <v>39142</v>
      </c>
      <c r="E92" s="275">
        <f t="shared" si="61"/>
        <v>350</v>
      </c>
      <c r="G92" s="163">
        <v>39508</v>
      </c>
      <c r="H92" s="163">
        <v>39539</v>
      </c>
      <c r="I92" s="164">
        <v>4.0900000000000002E-4</v>
      </c>
      <c r="J92" s="159">
        <f t="shared" si="62"/>
        <v>39539</v>
      </c>
      <c r="K92" s="278">
        <f t="shared" si="63"/>
        <v>4.0900000000000002E-4</v>
      </c>
      <c r="M92" s="163">
        <v>37653</v>
      </c>
      <c r="N92" s="163">
        <v>37681</v>
      </c>
      <c r="O92" s="164">
        <v>5.0000000000000001E-3</v>
      </c>
      <c r="P92" s="159">
        <f t="shared" si="51"/>
        <v>37653</v>
      </c>
      <c r="Q92" s="292">
        <f t="shared" si="48"/>
        <v>5.0000000000000001E-3</v>
      </c>
      <c r="S92" s="163">
        <v>37681</v>
      </c>
      <c r="T92" s="164">
        <v>1.78E-2</v>
      </c>
      <c r="U92" s="159">
        <f t="shared" si="64"/>
        <v>37681</v>
      </c>
      <c r="V92" s="285">
        <f t="shared" si="65"/>
        <v>1.78E-2</v>
      </c>
      <c r="BM92" s="160" t="s">
        <v>197</v>
      </c>
      <c r="BN92" s="355">
        <f t="shared" si="49"/>
        <v>35916</v>
      </c>
      <c r="BO92" s="37">
        <v>0</v>
      </c>
      <c r="BP92" s="278">
        <f t="shared" si="42"/>
        <v>0</v>
      </c>
      <c r="BQ92" s="312">
        <f t="shared" si="52"/>
        <v>1.1656213848043593</v>
      </c>
      <c r="BS92" s="31" t="s">
        <v>43</v>
      </c>
      <c r="BT92" s="159">
        <f t="shared" si="67"/>
        <v>35916</v>
      </c>
      <c r="BU92" s="162">
        <f t="shared" si="68"/>
        <v>1.6299999999999999E-2</v>
      </c>
      <c r="BV92" s="311">
        <f t="shared" si="53"/>
        <v>3.4850000000000012</v>
      </c>
      <c r="BX92" s="170" t="s">
        <v>43</v>
      </c>
      <c r="BY92" s="159">
        <f t="shared" si="45"/>
        <v>35916</v>
      </c>
      <c r="BZ92" s="162">
        <f t="shared" si="46"/>
        <v>1.6299999999999999E-2</v>
      </c>
      <c r="CA92" s="162">
        <f t="shared" si="54"/>
        <v>2.7772420000000002</v>
      </c>
      <c r="CF92" s="31" t="s">
        <v>197</v>
      </c>
      <c r="CG92" s="168">
        <f t="shared" si="50"/>
        <v>35916</v>
      </c>
      <c r="CH92" s="37">
        <v>0</v>
      </c>
      <c r="CI92" s="314">
        <f t="shared" si="47"/>
        <v>0</v>
      </c>
      <c r="CJ92" s="312">
        <f t="shared" si="55"/>
        <v>1</v>
      </c>
      <c r="CN92" s="315">
        <f t="shared" si="56"/>
        <v>35916</v>
      </c>
      <c r="CO92" s="312">
        <f t="shared" si="57"/>
        <v>1</v>
      </c>
      <c r="CQ92" s="315">
        <f t="shared" si="58"/>
        <v>35916</v>
      </c>
      <c r="CR92" s="316">
        <f t="shared" si="59"/>
        <v>3.4850000000000012</v>
      </c>
      <c r="CW92" s="652" t="s">
        <v>356</v>
      </c>
      <c r="CX92" s="242" t="str">
        <f t="shared" si="66"/>
        <v>texto branco sobre fundo cinza-muito-claro</v>
      </c>
    </row>
    <row r="93" spans="2:102" ht="15" customHeight="1">
      <c r="B93" s="163">
        <v>39173</v>
      </c>
      <c r="C93" s="165">
        <v>380</v>
      </c>
      <c r="D93" s="274">
        <f t="shared" si="60"/>
        <v>39173</v>
      </c>
      <c r="E93" s="275">
        <f t="shared" si="61"/>
        <v>380</v>
      </c>
      <c r="G93" s="163">
        <v>39539</v>
      </c>
      <c r="H93" s="163">
        <v>39569</v>
      </c>
      <c r="I93" s="164">
        <v>9.5500000000000001E-4</v>
      </c>
      <c r="J93" s="159">
        <f t="shared" si="62"/>
        <v>39569</v>
      </c>
      <c r="K93" s="278">
        <f t="shared" si="63"/>
        <v>9.5500000000000001E-4</v>
      </c>
      <c r="M93" s="163">
        <v>37681</v>
      </c>
      <c r="N93" s="163">
        <v>37712</v>
      </c>
      <c r="O93" s="164">
        <v>5.0000000000000001E-3</v>
      </c>
      <c r="P93" s="159">
        <f t="shared" si="51"/>
        <v>37681</v>
      </c>
      <c r="Q93" s="292">
        <f t="shared" si="48"/>
        <v>5.0000000000000001E-3</v>
      </c>
      <c r="S93" s="163">
        <v>37712</v>
      </c>
      <c r="T93" s="164">
        <v>1.8700000000000001E-2</v>
      </c>
      <c r="U93" s="159">
        <f t="shared" si="64"/>
        <v>37712</v>
      </c>
      <c r="V93" s="285">
        <f t="shared" si="65"/>
        <v>1.8700000000000001E-2</v>
      </c>
      <c r="BM93" s="160" t="s">
        <v>197</v>
      </c>
      <c r="BN93" s="355">
        <f t="shared" si="49"/>
        <v>35947</v>
      </c>
      <c r="BO93" s="37">
        <v>0</v>
      </c>
      <c r="BP93" s="278">
        <f t="shared" si="42"/>
        <v>0</v>
      </c>
      <c r="BQ93" s="312">
        <f t="shared" si="52"/>
        <v>1.1656213848043593</v>
      </c>
      <c r="BS93" s="31" t="s">
        <v>43</v>
      </c>
      <c r="BT93" s="159">
        <f t="shared" si="67"/>
        <v>35947</v>
      </c>
      <c r="BU93" s="162">
        <f t="shared" si="68"/>
        <v>1.6E-2</v>
      </c>
      <c r="BV93" s="311">
        <f t="shared" si="53"/>
        <v>3.468700000000001</v>
      </c>
      <c r="BX93" s="170" t="s">
        <v>43</v>
      </c>
      <c r="BY93" s="159">
        <f t="shared" si="45"/>
        <v>35947</v>
      </c>
      <c r="BZ93" s="162">
        <f t="shared" si="46"/>
        <v>1.6E-2</v>
      </c>
      <c r="CA93" s="162">
        <f t="shared" si="54"/>
        <v>2.760942</v>
      </c>
      <c r="CF93" s="31" t="s">
        <v>197</v>
      </c>
      <c r="CG93" s="168">
        <f t="shared" si="50"/>
        <v>35947</v>
      </c>
      <c r="CH93" s="37">
        <v>0</v>
      </c>
      <c r="CI93" s="314">
        <f t="shared" si="47"/>
        <v>0</v>
      </c>
      <c r="CJ93" s="312">
        <f t="shared" si="55"/>
        <v>1</v>
      </c>
      <c r="CN93" s="315">
        <f t="shared" si="56"/>
        <v>35947</v>
      </c>
      <c r="CO93" s="312">
        <f t="shared" si="57"/>
        <v>1</v>
      </c>
      <c r="CQ93" s="315">
        <f t="shared" si="58"/>
        <v>35947</v>
      </c>
      <c r="CR93" s="316">
        <f t="shared" si="59"/>
        <v>3.468700000000001</v>
      </c>
      <c r="CW93" s="655" t="s">
        <v>370</v>
      </c>
      <c r="CX93" s="242" t="str">
        <f t="shared" si="66"/>
        <v>Gestão de precedentes e de ações coletivas</v>
      </c>
    </row>
    <row r="94" spans="2:102" ht="15" customHeight="1">
      <c r="B94" s="163">
        <v>39203</v>
      </c>
      <c r="C94" s="165">
        <v>380</v>
      </c>
      <c r="D94" s="274">
        <f t="shared" si="60"/>
        <v>39203</v>
      </c>
      <c r="E94" s="275">
        <f t="shared" si="61"/>
        <v>380</v>
      </c>
      <c r="G94" s="163">
        <v>39569</v>
      </c>
      <c r="H94" s="163">
        <v>39600</v>
      </c>
      <c r="I94" s="164">
        <v>7.36E-4</v>
      </c>
      <c r="J94" s="159">
        <f t="shared" si="62"/>
        <v>39600</v>
      </c>
      <c r="K94" s="278">
        <f t="shared" si="63"/>
        <v>7.36E-4</v>
      </c>
      <c r="M94" s="163">
        <v>37712</v>
      </c>
      <c r="N94" s="163">
        <v>37742</v>
      </c>
      <c r="O94" s="164">
        <v>5.0000000000000001E-3</v>
      </c>
      <c r="P94" s="159">
        <f t="shared" si="51"/>
        <v>37712</v>
      </c>
      <c r="Q94" s="292">
        <f t="shared" si="48"/>
        <v>5.0000000000000001E-3</v>
      </c>
      <c r="S94" s="163">
        <v>37742</v>
      </c>
      <c r="T94" s="164">
        <v>1.9699999999999999E-2</v>
      </c>
      <c r="U94" s="159">
        <f t="shared" si="64"/>
        <v>37742</v>
      </c>
      <c r="V94" s="285">
        <f t="shared" si="65"/>
        <v>1.9699999999999999E-2</v>
      </c>
      <c r="BM94" s="160" t="s">
        <v>197</v>
      </c>
      <c r="BN94" s="355">
        <f t="shared" si="49"/>
        <v>35977</v>
      </c>
      <c r="BO94" s="37">
        <v>0</v>
      </c>
      <c r="BP94" s="278">
        <f t="shared" si="42"/>
        <v>0</v>
      </c>
      <c r="BQ94" s="312">
        <f t="shared" si="52"/>
        <v>1.1656213848043593</v>
      </c>
      <c r="BS94" s="31" t="s">
        <v>43</v>
      </c>
      <c r="BT94" s="159">
        <f t="shared" si="67"/>
        <v>35977</v>
      </c>
      <c r="BU94" s="162">
        <f t="shared" si="68"/>
        <v>1.7000000000000001E-2</v>
      </c>
      <c r="BV94" s="311">
        <f t="shared" si="53"/>
        <v>3.452700000000001</v>
      </c>
      <c r="BX94" s="170" t="s">
        <v>43</v>
      </c>
      <c r="BY94" s="159">
        <f t="shared" si="45"/>
        <v>35977</v>
      </c>
      <c r="BZ94" s="162">
        <f t="shared" si="46"/>
        <v>1.7000000000000001E-2</v>
      </c>
      <c r="CA94" s="162">
        <f t="shared" si="54"/>
        <v>2.744942</v>
      </c>
      <c r="CF94" s="31" t="s">
        <v>197</v>
      </c>
      <c r="CG94" s="168">
        <f t="shared" si="50"/>
        <v>35977</v>
      </c>
      <c r="CH94" s="37">
        <v>0</v>
      </c>
      <c r="CI94" s="314">
        <f t="shared" si="47"/>
        <v>0</v>
      </c>
      <c r="CJ94" s="312">
        <f t="shared" si="55"/>
        <v>1</v>
      </c>
      <c r="CN94" s="315">
        <f t="shared" si="56"/>
        <v>35977</v>
      </c>
      <c r="CO94" s="312">
        <f t="shared" si="57"/>
        <v>1</v>
      </c>
      <c r="CQ94" s="315">
        <f t="shared" si="58"/>
        <v>35977</v>
      </c>
      <c r="CR94" s="316">
        <f t="shared" si="59"/>
        <v>3.452700000000001</v>
      </c>
      <c r="CW94"/>
      <c r="CX94" s="242" t="str">
        <f t="shared" si="66"/>
        <v/>
      </c>
    </row>
    <row r="95" spans="2:102" ht="15" customHeight="1">
      <c r="B95" s="163">
        <v>39234</v>
      </c>
      <c r="C95" s="165">
        <v>380</v>
      </c>
      <c r="D95" s="274">
        <f t="shared" si="60"/>
        <v>39234</v>
      </c>
      <c r="E95" s="275">
        <f t="shared" si="61"/>
        <v>380</v>
      </c>
      <c r="G95" s="163">
        <v>39600</v>
      </c>
      <c r="H95" s="163">
        <v>39630</v>
      </c>
      <c r="I95" s="164">
        <v>1.1460000000000001E-3</v>
      </c>
      <c r="J95" s="159">
        <f t="shared" si="62"/>
        <v>39630</v>
      </c>
      <c r="K95" s="278">
        <f t="shared" si="63"/>
        <v>1.1460000000000001E-3</v>
      </c>
      <c r="M95" s="163">
        <v>37742</v>
      </c>
      <c r="N95" s="163">
        <v>37773</v>
      </c>
      <c r="O95" s="164">
        <v>5.0000000000000001E-3</v>
      </c>
      <c r="P95" s="159">
        <f t="shared" si="51"/>
        <v>37742</v>
      </c>
      <c r="Q95" s="292">
        <f t="shared" si="48"/>
        <v>5.0000000000000001E-3</v>
      </c>
      <c r="S95" s="163">
        <v>37773</v>
      </c>
      <c r="T95" s="164">
        <v>1.8599999999999998E-2</v>
      </c>
      <c r="U95" s="159">
        <f t="shared" si="64"/>
        <v>37773</v>
      </c>
      <c r="V95" s="285">
        <f t="shared" si="65"/>
        <v>1.8599999999999998E-2</v>
      </c>
      <c r="BM95" s="160" t="s">
        <v>197</v>
      </c>
      <c r="BN95" s="355">
        <f t="shared" si="49"/>
        <v>36008</v>
      </c>
      <c r="BO95" s="37">
        <v>0</v>
      </c>
      <c r="BP95" s="278">
        <f t="shared" si="42"/>
        <v>0</v>
      </c>
      <c r="BQ95" s="312">
        <f t="shared" si="52"/>
        <v>1.1656213848043593</v>
      </c>
      <c r="BS95" s="31" t="s">
        <v>43</v>
      </c>
      <c r="BT95" s="159">
        <f t="shared" si="67"/>
        <v>36008</v>
      </c>
      <c r="BU95" s="162">
        <f t="shared" si="68"/>
        <v>1.4800000000000001E-2</v>
      </c>
      <c r="BV95" s="311">
        <f t="shared" si="53"/>
        <v>3.4357000000000011</v>
      </c>
      <c r="BX95" s="170" t="s">
        <v>43</v>
      </c>
      <c r="BY95" s="159">
        <f t="shared" si="45"/>
        <v>36008</v>
      </c>
      <c r="BZ95" s="162">
        <f t="shared" si="46"/>
        <v>1.4800000000000001E-2</v>
      </c>
      <c r="CA95" s="162">
        <f t="shared" si="54"/>
        <v>2.7279420000000001</v>
      </c>
      <c r="CF95" s="31" t="s">
        <v>197</v>
      </c>
      <c r="CG95" s="168">
        <f t="shared" si="50"/>
        <v>36008</v>
      </c>
      <c r="CH95" s="37">
        <v>0</v>
      </c>
      <c r="CI95" s="314">
        <f t="shared" si="47"/>
        <v>0</v>
      </c>
      <c r="CJ95" s="312">
        <f t="shared" si="55"/>
        <v>1</v>
      </c>
      <c r="CN95" s="315">
        <f t="shared" si="56"/>
        <v>36008</v>
      </c>
      <c r="CO95" s="312">
        <f t="shared" si="57"/>
        <v>1</v>
      </c>
      <c r="CQ95" s="315">
        <f t="shared" si="58"/>
        <v>36008</v>
      </c>
      <c r="CR95" s="316">
        <f t="shared" si="59"/>
        <v>3.4357000000000011</v>
      </c>
      <c r="CW95" s="652" t="s">
        <v>358</v>
      </c>
      <c r="CX95" s="242" t="str">
        <f t="shared" si="66"/>
        <v>texto azul escuro sobre fundo cinza-muito-claro</v>
      </c>
    </row>
    <row r="96" spans="2:102" ht="15" customHeight="1">
      <c r="B96" s="163">
        <v>39264</v>
      </c>
      <c r="C96" s="165">
        <v>380</v>
      </c>
      <c r="D96" s="274">
        <f t="shared" si="60"/>
        <v>39264</v>
      </c>
      <c r="E96" s="275">
        <f t="shared" si="61"/>
        <v>380</v>
      </c>
      <c r="G96" s="163">
        <v>39630</v>
      </c>
      <c r="H96" s="163">
        <v>39661</v>
      </c>
      <c r="I96" s="164">
        <v>1.9139999999999999E-3</v>
      </c>
      <c r="J96" s="159">
        <f t="shared" si="62"/>
        <v>39661</v>
      </c>
      <c r="K96" s="278">
        <f t="shared" si="63"/>
        <v>1.9139999999999999E-3</v>
      </c>
      <c r="M96" s="163">
        <v>37773</v>
      </c>
      <c r="N96" s="163">
        <v>37803</v>
      </c>
      <c r="O96" s="164">
        <v>5.0000000000000001E-3</v>
      </c>
      <c r="P96" s="159">
        <f t="shared" si="51"/>
        <v>37773</v>
      </c>
      <c r="Q96" s="292">
        <f t="shared" si="48"/>
        <v>5.0000000000000001E-3</v>
      </c>
      <c r="S96" s="163">
        <v>37803</v>
      </c>
      <c r="T96" s="164">
        <v>2.0799999999999999E-2</v>
      </c>
      <c r="U96" s="159">
        <f t="shared" si="64"/>
        <v>37803</v>
      </c>
      <c r="V96" s="285">
        <f t="shared" si="65"/>
        <v>2.0799999999999999E-2</v>
      </c>
      <c r="BM96" s="160" t="s">
        <v>197</v>
      </c>
      <c r="BN96" s="355">
        <f t="shared" si="49"/>
        <v>36039</v>
      </c>
      <c r="BO96" s="37">
        <v>0</v>
      </c>
      <c r="BP96" s="278">
        <f t="shared" si="42"/>
        <v>0</v>
      </c>
      <c r="BQ96" s="312">
        <f t="shared" si="52"/>
        <v>1.1656213848043593</v>
      </c>
      <c r="BS96" s="31" t="s">
        <v>43</v>
      </c>
      <c r="BT96" s="159">
        <f t="shared" si="67"/>
        <v>36039</v>
      </c>
      <c r="BU96" s="162">
        <f t="shared" si="68"/>
        <v>2.4899999999999999E-2</v>
      </c>
      <c r="BV96" s="311">
        <f t="shared" si="53"/>
        <v>3.4209000000000009</v>
      </c>
      <c r="BX96" s="170" t="s">
        <v>43</v>
      </c>
      <c r="BY96" s="159">
        <f t="shared" si="45"/>
        <v>36039</v>
      </c>
      <c r="BZ96" s="162">
        <f t="shared" si="46"/>
        <v>2.4899999999999999E-2</v>
      </c>
      <c r="CA96" s="162">
        <f t="shared" si="54"/>
        <v>2.7131419999999999</v>
      </c>
      <c r="CF96" s="31" t="s">
        <v>197</v>
      </c>
      <c r="CG96" s="168">
        <f t="shared" si="50"/>
        <v>36039</v>
      </c>
      <c r="CH96" s="37">
        <v>0</v>
      </c>
      <c r="CI96" s="314">
        <f t="shared" si="47"/>
        <v>0</v>
      </c>
      <c r="CJ96" s="312">
        <f t="shared" si="55"/>
        <v>1</v>
      </c>
      <c r="CN96" s="315">
        <f t="shared" si="56"/>
        <v>36039</v>
      </c>
      <c r="CO96" s="312">
        <f t="shared" si="57"/>
        <v>1</v>
      </c>
      <c r="CQ96" s="315">
        <f t="shared" si="58"/>
        <v>36039</v>
      </c>
      <c r="CR96" s="316">
        <f t="shared" si="59"/>
        <v>3.4209000000000009</v>
      </c>
      <c r="CW96" s="655" t="s">
        <v>371</v>
      </c>
      <c r="CX96" s="242" t="str">
        <f t="shared" si="66"/>
        <v>Jurisprudência</v>
      </c>
    </row>
    <row r="97" spans="2:102" ht="15" customHeight="1">
      <c r="B97" s="163">
        <v>39295</v>
      </c>
      <c r="C97" s="165">
        <v>380</v>
      </c>
      <c r="D97" s="274">
        <f t="shared" si="60"/>
        <v>39295</v>
      </c>
      <c r="E97" s="275">
        <f t="shared" si="61"/>
        <v>380</v>
      </c>
      <c r="G97" s="163">
        <v>39661</v>
      </c>
      <c r="H97" s="163">
        <v>39692</v>
      </c>
      <c r="I97" s="164">
        <v>1.5740000000000001E-3</v>
      </c>
      <c r="J97" s="159">
        <f t="shared" si="62"/>
        <v>39692</v>
      </c>
      <c r="K97" s="278">
        <f t="shared" si="63"/>
        <v>1.5740000000000001E-3</v>
      </c>
      <c r="M97" s="163">
        <v>37803</v>
      </c>
      <c r="N97" s="163">
        <v>37834</v>
      </c>
      <c r="O97" s="164">
        <v>5.0000000000000001E-3</v>
      </c>
      <c r="P97" s="159">
        <f t="shared" si="51"/>
        <v>37803</v>
      </c>
      <c r="Q97" s="292">
        <f t="shared" si="48"/>
        <v>5.0000000000000001E-3</v>
      </c>
      <c r="S97" s="163">
        <v>37834</v>
      </c>
      <c r="T97" s="164">
        <v>1.77E-2</v>
      </c>
      <c r="U97" s="159">
        <f t="shared" si="64"/>
        <v>37834</v>
      </c>
      <c r="V97" s="285">
        <f t="shared" si="65"/>
        <v>1.77E-2</v>
      </c>
      <c r="BM97" s="160" t="s">
        <v>197</v>
      </c>
      <c r="BN97" s="355">
        <f t="shared" si="49"/>
        <v>36069</v>
      </c>
      <c r="BO97" s="37">
        <v>0</v>
      </c>
      <c r="BP97" s="278">
        <f t="shared" si="42"/>
        <v>0</v>
      </c>
      <c r="BQ97" s="312">
        <f t="shared" si="52"/>
        <v>1.1656213848043593</v>
      </c>
      <c r="BS97" s="31" t="s">
        <v>43</v>
      </c>
      <c r="BT97" s="159">
        <f t="shared" si="67"/>
        <v>36069</v>
      </c>
      <c r="BU97" s="162">
        <f t="shared" si="68"/>
        <v>2.9399999999999999E-2</v>
      </c>
      <c r="BV97" s="311">
        <f t="shared" si="53"/>
        <v>3.3960000000000008</v>
      </c>
      <c r="BX97" s="170" t="s">
        <v>43</v>
      </c>
      <c r="BY97" s="159">
        <f t="shared" si="45"/>
        <v>36069</v>
      </c>
      <c r="BZ97" s="162">
        <f t="shared" si="46"/>
        <v>2.9399999999999999E-2</v>
      </c>
      <c r="CA97" s="162">
        <f t="shared" si="54"/>
        <v>2.6882419999999998</v>
      </c>
      <c r="CF97" s="31" t="s">
        <v>197</v>
      </c>
      <c r="CG97" s="168">
        <f t="shared" si="50"/>
        <v>36069</v>
      </c>
      <c r="CH97" s="37">
        <v>0</v>
      </c>
      <c r="CI97" s="314">
        <f t="shared" si="47"/>
        <v>0</v>
      </c>
      <c r="CJ97" s="312">
        <f t="shared" si="55"/>
        <v>1</v>
      </c>
      <c r="CN97" s="315">
        <f t="shared" si="56"/>
        <v>36069</v>
      </c>
      <c r="CO97" s="312">
        <f t="shared" si="57"/>
        <v>1</v>
      </c>
      <c r="CQ97" s="315">
        <f t="shared" si="58"/>
        <v>36069</v>
      </c>
      <c r="CR97" s="316">
        <f t="shared" si="59"/>
        <v>3.3960000000000008</v>
      </c>
      <c r="CW97"/>
      <c r="CX97" s="242" t="str">
        <f t="shared" si="66"/>
        <v/>
      </c>
    </row>
    <row r="98" spans="2:102" ht="15" customHeight="1">
      <c r="B98" s="163">
        <v>39326</v>
      </c>
      <c r="C98" s="165">
        <v>380</v>
      </c>
      <c r="D98" s="274">
        <f t="shared" si="60"/>
        <v>39326</v>
      </c>
      <c r="E98" s="275">
        <f t="shared" si="61"/>
        <v>380</v>
      </c>
      <c r="G98" s="163">
        <v>39692</v>
      </c>
      <c r="H98" s="163">
        <v>39722</v>
      </c>
      <c r="I98" s="164">
        <v>1.97E-3</v>
      </c>
      <c r="J98" s="159">
        <f t="shared" si="62"/>
        <v>39722</v>
      </c>
      <c r="K98" s="278">
        <f t="shared" si="63"/>
        <v>1.97E-3</v>
      </c>
      <c r="M98" s="163">
        <v>37834</v>
      </c>
      <c r="N98" s="163">
        <v>37865</v>
      </c>
      <c r="O98" s="164">
        <v>5.0000000000000001E-3</v>
      </c>
      <c r="P98" s="159">
        <f t="shared" si="51"/>
        <v>37834</v>
      </c>
      <c r="Q98" s="292">
        <f t="shared" si="48"/>
        <v>5.0000000000000001E-3</v>
      </c>
      <c r="S98" s="163">
        <v>37865</v>
      </c>
      <c r="T98" s="164">
        <v>1.6799999999999999E-2</v>
      </c>
      <c r="U98" s="159">
        <f t="shared" si="64"/>
        <v>37865</v>
      </c>
      <c r="V98" s="285">
        <f t="shared" si="65"/>
        <v>1.6799999999999999E-2</v>
      </c>
      <c r="BM98" s="160" t="s">
        <v>197</v>
      </c>
      <c r="BN98" s="355">
        <f t="shared" si="49"/>
        <v>36100</v>
      </c>
      <c r="BO98" s="37">
        <v>0</v>
      </c>
      <c r="BP98" s="278">
        <f t="shared" si="42"/>
        <v>0</v>
      </c>
      <c r="BQ98" s="312">
        <f t="shared" si="52"/>
        <v>1.1656213848043593</v>
      </c>
      <c r="BS98" s="31" t="s">
        <v>43</v>
      </c>
      <c r="BT98" s="159">
        <f t="shared" si="67"/>
        <v>36100</v>
      </c>
      <c r="BU98" s="162">
        <f t="shared" si="68"/>
        <v>2.63E-2</v>
      </c>
      <c r="BV98" s="311">
        <f t="shared" si="53"/>
        <v>3.3666000000000009</v>
      </c>
      <c r="BX98" s="170" t="s">
        <v>43</v>
      </c>
      <c r="BY98" s="159">
        <f t="shared" si="45"/>
        <v>36100</v>
      </c>
      <c r="BZ98" s="162">
        <f t="shared" si="46"/>
        <v>2.63E-2</v>
      </c>
      <c r="CA98" s="162">
        <f t="shared" si="54"/>
        <v>2.6588419999999999</v>
      </c>
      <c r="CF98" s="31" t="s">
        <v>197</v>
      </c>
      <c r="CG98" s="168">
        <f t="shared" si="50"/>
        <v>36100</v>
      </c>
      <c r="CH98" s="37">
        <v>0</v>
      </c>
      <c r="CI98" s="314">
        <f t="shared" si="47"/>
        <v>0</v>
      </c>
      <c r="CJ98" s="312">
        <f t="shared" si="55"/>
        <v>1</v>
      </c>
      <c r="CN98" s="315">
        <f t="shared" si="56"/>
        <v>36100</v>
      </c>
      <c r="CO98" s="312">
        <f t="shared" si="57"/>
        <v>1</v>
      </c>
      <c r="CQ98" s="315">
        <f t="shared" si="58"/>
        <v>36100</v>
      </c>
      <c r="CR98" s="316">
        <f t="shared" si="59"/>
        <v>3.3666000000000009</v>
      </c>
      <c r="CW98" s="652" t="s">
        <v>358</v>
      </c>
      <c r="CX98" s="242" t="str">
        <f t="shared" si="66"/>
        <v>texto azul escuro sobre fundo cinza-muito-claro</v>
      </c>
    </row>
    <row r="99" spans="2:102" ht="15" customHeight="1">
      <c r="B99" s="163">
        <v>39356</v>
      </c>
      <c r="C99" s="165">
        <v>380</v>
      </c>
      <c r="D99" s="274">
        <f t="shared" si="60"/>
        <v>39356</v>
      </c>
      <c r="E99" s="275">
        <f t="shared" si="61"/>
        <v>380</v>
      </c>
      <c r="G99" s="163">
        <v>39722</v>
      </c>
      <c r="H99" s="163">
        <v>39753</v>
      </c>
      <c r="I99" s="164">
        <v>2.506E-3</v>
      </c>
      <c r="J99" s="159">
        <f t="shared" si="62"/>
        <v>39753</v>
      </c>
      <c r="K99" s="278">
        <f t="shared" si="63"/>
        <v>2.506E-3</v>
      </c>
      <c r="M99" s="163">
        <v>37865</v>
      </c>
      <c r="N99" s="163">
        <v>37895</v>
      </c>
      <c r="O99" s="164">
        <v>5.0000000000000001E-3</v>
      </c>
      <c r="P99" s="159">
        <f t="shared" si="51"/>
        <v>37865</v>
      </c>
      <c r="Q99" s="292">
        <f t="shared" si="48"/>
        <v>5.0000000000000001E-3</v>
      </c>
      <c r="S99" s="163">
        <v>37895</v>
      </c>
      <c r="T99" s="164">
        <v>1.6400000000000001E-2</v>
      </c>
      <c r="U99" s="159">
        <f t="shared" si="64"/>
        <v>37895</v>
      </c>
      <c r="V99" s="285">
        <f t="shared" si="65"/>
        <v>1.6400000000000001E-2</v>
      </c>
      <c r="BM99" s="160" t="s">
        <v>197</v>
      </c>
      <c r="BN99" s="355">
        <f t="shared" si="49"/>
        <v>36130</v>
      </c>
      <c r="BO99" s="37">
        <v>0</v>
      </c>
      <c r="BP99" s="278">
        <f t="shared" si="42"/>
        <v>0</v>
      </c>
      <c r="BQ99" s="312">
        <f t="shared" si="52"/>
        <v>1.1656213848043593</v>
      </c>
      <c r="BS99" s="31" t="s">
        <v>43</v>
      </c>
      <c r="BT99" s="159">
        <f t="shared" si="67"/>
        <v>36130</v>
      </c>
      <c r="BU99" s="162">
        <f t="shared" si="68"/>
        <v>2.4E-2</v>
      </c>
      <c r="BV99" s="311">
        <f t="shared" si="53"/>
        <v>3.3403000000000009</v>
      </c>
      <c r="BX99" s="170" t="s">
        <v>43</v>
      </c>
      <c r="BY99" s="159">
        <f t="shared" si="45"/>
        <v>36130</v>
      </c>
      <c r="BZ99" s="162">
        <f t="shared" si="46"/>
        <v>2.4E-2</v>
      </c>
      <c r="CA99" s="162">
        <f t="shared" si="54"/>
        <v>2.6325419999999999</v>
      </c>
      <c r="CF99" s="31" t="s">
        <v>197</v>
      </c>
      <c r="CG99" s="168">
        <f t="shared" si="50"/>
        <v>36130</v>
      </c>
      <c r="CH99" s="37">
        <v>0</v>
      </c>
      <c r="CI99" s="314">
        <f t="shared" si="47"/>
        <v>0</v>
      </c>
      <c r="CJ99" s="312">
        <f t="shared" si="55"/>
        <v>1</v>
      </c>
      <c r="CN99" s="315">
        <f t="shared" si="56"/>
        <v>36130</v>
      </c>
      <c r="CO99" s="312">
        <f t="shared" si="57"/>
        <v>1</v>
      </c>
      <c r="CQ99" s="315">
        <f t="shared" si="58"/>
        <v>36130</v>
      </c>
      <c r="CR99" s="316">
        <f t="shared" si="59"/>
        <v>3.3403000000000009</v>
      </c>
      <c r="CW99" s="655" t="s">
        <v>372</v>
      </c>
      <c r="CX99" s="242" t="str">
        <f t="shared" si="66"/>
        <v>Prazos suspensos e feriados</v>
      </c>
    </row>
    <row r="100" spans="2:102" ht="15" customHeight="1">
      <c r="B100" s="163">
        <v>39387</v>
      </c>
      <c r="C100" s="165">
        <v>380</v>
      </c>
      <c r="D100" s="274">
        <f t="shared" si="60"/>
        <v>39387</v>
      </c>
      <c r="E100" s="275">
        <f t="shared" si="61"/>
        <v>380</v>
      </c>
      <c r="G100" s="163">
        <v>39753</v>
      </c>
      <c r="H100" s="163">
        <v>39783</v>
      </c>
      <c r="I100" s="164">
        <v>1.6180000000000001E-3</v>
      </c>
      <c r="J100" s="159">
        <f t="shared" si="62"/>
        <v>39783</v>
      </c>
      <c r="K100" s="278">
        <f t="shared" si="63"/>
        <v>1.6180000000000001E-3</v>
      </c>
      <c r="M100" s="163">
        <v>37895</v>
      </c>
      <c r="N100" s="163">
        <v>37926</v>
      </c>
      <c r="O100" s="164">
        <v>5.0000000000000001E-3</v>
      </c>
      <c r="P100" s="159">
        <f t="shared" si="51"/>
        <v>37895</v>
      </c>
      <c r="Q100" s="292">
        <f t="shared" si="48"/>
        <v>5.0000000000000001E-3</v>
      </c>
      <c r="S100" s="163">
        <v>37926</v>
      </c>
      <c r="T100" s="164">
        <v>1.34E-2</v>
      </c>
      <c r="U100" s="159">
        <f t="shared" si="64"/>
        <v>37926</v>
      </c>
      <c r="V100" s="285">
        <f t="shared" si="65"/>
        <v>1.34E-2</v>
      </c>
      <c r="BM100" s="160" t="s">
        <v>197</v>
      </c>
      <c r="BN100" s="355">
        <f t="shared" si="49"/>
        <v>36161</v>
      </c>
      <c r="BO100" s="37">
        <v>0</v>
      </c>
      <c r="BP100" s="278">
        <f t="shared" si="42"/>
        <v>0</v>
      </c>
      <c r="BQ100" s="312">
        <f t="shared" si="52"/>
        <v>1.1656213848043593</v>
      </c>
      <c r="BS100" s="31" t="s">
        <v>43</v>
      </c>
      <c r="BT100" s="159">
        <f t="shared" si="67"/>
        <v>36161</v>
      </c>
      <c r="BU100" s="162">
        <f t="shared" si="68"/>
        <v>2.18E-2</v>
      </c>
      <c r="BV100" s="311">
        <f t="shared" si="53"/>
        <v>3.3163000000000009</v>
      </c>
      <c r="BX100" s="170" t="s">
        <v>43</v>
      </c>
      <c r="BY100" s="159">
        <f t="shared" si="45"/>
        <v>36161</v>
      </c>
      <c r="BZ100" s="162">
        <f t="shared" si="46"/>
        <v>2.18E-2</v>
      </c>
      <c r="CA100" s="162">
        <f t="shared" si="54"/>
        <v>2.6085419999999999</v>
      </c>
      <c r="CF100" s="31" t="s">
        <v>197</v>
      </c>
      <c r="CG100" s="168">
        <f t="shared" si="50"/>
        <v>36161</v>
      </c>
      <c r="CH100" s="37">
        <v>0</v>
      </c>
      <c r="CI100" s="314">
        <f t="shared" si="47"/>
        <v>0</v>
      </c>
      <c r="CJ100" s="312">
        <f t="shared" si="55"/>
        <v>1</v>
      </c>
      <c r="CN100" s="315">
        <f t="shared" si="56"/>
        <v>36161</v>
      </c>
      <c r="CO100" s="312">
        <f t="shared" si="57"/>
        <v>1</v>
      </c>
      <c r="CQ100" s="315">
        <f t="shared" si="58"/>
        <v>36161</v>
      </c>
      <c r="CR100" s="316">
        <f t="shared" si="59"/>
        <v>3.3163000000000009</v>
      </c>
      <c r="CW100"/>
      <c r="CX100" s="242" t="str">
        <f t="shared" si="66"/>
        <v/>
      </c>
    </row>
    <row r="101" spans="2:102" ht="15" customHeight="1">
      <c r="B101" s="163">
        <v>39417</v>
      </c>
      <c r="C101" s="165">
        <v>380</v>
      </c>
      <c r="D101" s="274">
        <f t="shared" si="60"/>
        <v>39417</v>
      </c>
      <c r="E101" s="275">
        <f t="shared" si="61"/>
        <v>380</v>
      </c>
      <c r="G101" s="163">
        <v>39783</v>
      </c>
      <c r="H101" s="163">
        <v>39814</v>
      </c>
      <c r="I101" s="164">
        <v>2.1489999999999999E-3</v>
      </c>
      <c r="J101" s="159">
        <f t="shared" si="62"/>
        <v>39814</v>
      </c>
      <c r="K101" s="278">
        <f t="shared" si="63"/>
        <v>2.1489999999999999E-3</v>
      </c>
      <c r="M101" s="163">
        <v>37926</v>
      </c>
      <c r="N101" s="163">
        <v>37956</v>
      </c>
      <c r="O101" s="164">
        <v>5.0000000000000001E-3</v>
      </c>
      <c r="P101" s="159">
        <f t="shared" si="51"/>
        <v>37926</v>
      </c>
      <c r="Q101" s="292">
        <f t="shared" si="48"/>
        <v>5.0000000000000001E-3</v>
      </c>
      <c r="S101" s="163">
        <v>37956</v>
      </c>
      <c r="T101" s="164">
        <v>1.37E-2</v>
      </c>
      <c r="U101" s="159">
        <f t="shared" si="64"/>
        <v>37956</v>
      </c>
      <c r="V101" s="285">
        <f t="shared" si="65"/>
        <v>1.37E-2</v>
      </c>
      <c r="BM101" s="160" t="s">
        <v>197</v>
      </c>
      <c r="BN101" s="355">
        <f t="shared" si="49"/>
        <v>36192</v>
      </c>
      <c r="BO101" s="37">
        <v>0</v>
      </c>
      <c r="BP101" s="278">
        <f t="shared" si="42"/>
        <v>0</v>
      </c>
      <c r="BQ101" s="312">
        <f t="shared" si="52"/>
        <v>1.1656213848043593</v>
      </c>
      <c r="BS101" s="31" t="s">
        <v>43</v>
      </c>
      <c r="BT101" s="159">
        <f t="shared" si="67"/>
        <v>36192</v>
      </c>
      <c r="BU101" s="162">
        <f t="shared" si="68"/>
        <v>2.3800000000000002E-2</v>
      </c>
      <c r="BV101" s="311">
        <f t="shared" si="53"/>
        <v>3.2945000000000011</v>
      </c>
      <c r="BX101" s="170" t="s">
        <v>43</v>
      </c>
      <c r="BY101" s="159">
        <f t="shared" si="45"/>
        <v>36192</v>
      </c>
      <c r="BZ101" s="162">
        <f t="shared" si="46"/>
        <v>2.3800000000000002E-2</v>
      </c>
      <c r="CA101" s="162">
        <f t="shared" si="54"/>
        <v>2.5867420000000001</v>
      </c>
      <c r="CF101" s="31" t="s">
        <v>197</v>
      </c>
      <c r="CG101" s="168">
        <f t="shared" si="50"/>
        <v>36192</v>
      </c>
      <c r="CH101" s="37">
        <v>0</v>
      </c>
      <c r="CI101" s="314">
        <f t="shared" si="47"/>
        <v>0</v>
      </c>
      <c r="CJ101" s="312">
        <f t="shared" si="55"/>
        <v>1</v>
      </c>
      <c r="CN101" s="315">
        <f t="shared" si="56"/>
        <v>36192</v>
      </c>
      <c r="CO101" s="312">
        <f t="shared" si="57"/>
        <v>1</v>
      </c>
      <c r="CQ101" s="315">
        <f t="shared" si="58"/>
        <v>36192</v>
      </c>
      <c r="CR101" s="316">
        <f t="shared" si="59"/>
        <v>3.2945000000000011</v>
      </c>
      <c r="CW101" s="652" t="s">
        <v>356</v>
      </c>
      <c r="CX101" s="242" t="str">
        <f t="shared" si="66"/>
        <v>texto branco sobre fundo cinza-muito-claro</v>
      </c>
    </row>
    <row r="102" spans="2:102" ht="15" customHeight="1">
      <c r="B102" s="163">
        <v>39448</v>
      </c>
      <c r="C102" s="165">
        <v>380</v>
      </c>
      <c r="D102" s="274">
        <f t="shared" si="60"/>
        <v>39448</v>
      </c>
      <c r="E102" s="275">
        <f t="shared" si="61"/>
        <v>380</v>
      </c>
      <c r="G102" s="163">
        <v>39814</v>
      </c>
      <c r="H102" s="163">
        <v>39845</v>
      </c>
      <c r="I102" s="164">
        <v>1.8400000000000001E-3</v>
      </c>
      <c r="J102" s="159">
        <f t="shared" si="62"/>
        <v>39845</v>
      </c>
      <c r="K102" s="278">
        <f t="shared" si="63"/>
        <v>1.8400000000000001E-3</v>
      </c>
      <c r="M102" s="163">
        <v>37956</v>
      </c>
      <c r="N102" s="163">
        <v>37987</v>
      </c>
      <c r="O102" s="164">
        <v>5.0000000000000001E-3</v>
      </c>
      <c r="P102" s="159">
        <f t="shared" si="51"/>
        <v>37956</v>
      </c>
      <c r="Q102" s="292">
        <f t="shared" si="48"/>
        <v>5.0000000000000001E-3</v>
      </c>
      <c r="S102" s="163">
        <v>37987</v>
      </c>
      <c r="T102" s="164">
        <v>1.2699999999999999E-2</v>
      </c>
      <c r="U102" s="159">
        <f t="shared" si="64"/>
        <v>37987</v>
      </c>
      <c r="V102" s="285">
        <f t="shared" si="65"/>
        <v>1.2699999999999999E-2</v>
      </c>
      <c r="BM102" s="160" t="s">
        <v>197</v>
      </c>
      <c r="BN102" s="355">
        <f t="shared" si="49"/>
        <v>36220</v>
      </c>
      <c r="BO102" s="37">
        <v>0</v>
      </c>
      <c r="BP102" s="278">
        <f t="shared" si="42"/>
        <v>0</v>
      </c>
      <c r="BQ102" s="312">
        <f t="shared" si="52"/>
        <v>1.1656213848043593</v>
      </c>
      <c r="BS102" s="31" t="s">
        <v>43</v>
      </c>
      <c r="BT102" s="159">
        <f t="shared" si="67"/>
        <v>36220</v>
      </c>
      <c r="BU102" s="162">
        <f t="shared" si="68"/>
        <v>3.3300000000000003E-2</v>
      </c>
      <c r="BV102" s="311">
        <f t="shared" si="53"/>
        <v>3.2707000000000011</v>
      </c>
      <c r="BX102" s="170" t="s">
        <v>43</v>
      </c>
      <c r="BY102" s="159">
        <f t="shared" si="45"/>
        <v>36220</v>
      </c>
      <c r="BZ102" s="162">
        <f t="shared" si="46"/>
        <v>3.3300000000000003E-2</v>
      </c>
      <c r="CA102" s="162">
        <f t="shared" si="54"/>
        <v>2.5629420000000001</v>
      </c>
      <c r="CF102" s="31" t="s">
        <v>197</v>
      </c>
      <c r="CG102" s="168">
        <f t="shared" si="50"/>
        <v>36220</v>
      </c>
      <c r="CH102" s="37">
        <v>0</v>
      </c>
      <c r="CI102" s="314">
        <f t="shared" si="47"/>
        <v>0</v>
      </c>
      <c r="CJ102" s="312">
        <f t="shared" si="55"/>
        <v>1</v>
      </c>
      <c r="CN102" s="315">
        <f t="shared" si="56"/>
        <v>36220</v>
      </c>
      <c r="CO102" s="312">
        <f t="shared" si="57"/>
        <v>1</v>
      </c>
      <c r="CQ102" s="315">
        <f t="shared" si="58"/>
        <v>36220</v>
      </c>
      <c r="CR102" s="316">
        <f t="shared" si="59"/>
        <v>3.2707000000000011</v>
      </c>
      <c r="CW102" s="655" t="s">
        <v>373</v>
      </c>
      <c r="CX102" s="242" t="str">
        <f t="shared" si="66"/>
        <v>Precatórios e RPVs</v>
      </c>
    </row>
    <row r="103" spans="2:102" ht="15" customHeight="1">
      <c r="B103" s="163">
        <v>39479</v>
      </c>
      <c r="C103" s="165">
        <v>380</v>
      </c>
      <c r="D103" s="274">
        <f t="shared" si="60"/>
        <v>39479</v>
      </c>
      <c r="E103" s="275">
        <f t="shared" si="61"/>
        <v>380</v>
      </c>
      <c r="G103" s="163">
        <v>39845</v>
      </c>
      <c r="H103" s="163">
        <v>39873</v>
      </c>
      <c r="I103" s="164">
        <v>4.5100000000000001E-4</v>
      </c>
      <c r="J103" s="159">
        <f t="shared" si="62"/>
        <v>39873</v>
      </c>
      <c r="K103" s="278">
        <f t="shared" si="63"/>
        <v>4.5100000000000001E-4</v>
      </c>
      <c r="M103" s="163">
        <v>37987</v>
      </c>
      <c r="N103" s="163">
        <v>38018</v>
      </c>
      <c r="O103" s="164">
        <v>5.0000000000000001E-3</v>
      </c>
      <c r="P103" s="159">
        <f t="shared" si="51"/>
        <v>37987</v>
      </c>
      <c r="Q103" s="292">
        <f t="shared" si="48"/>
        <v>5.0000000000000001E-3</v>
      </c>
      <c r="S103" s="163">
        <v>38018</v>
      </c>
      <c r="T103" s="164">
        <v>1.0800000000000001E-2</v>
      </c>
      <c r="U103" s="159">
        <f t="shared" si="64"/>
        <v>38018</v>
      </c>
      <c r="V103" s="285">
        <f t="shared" si="65"/>
        <v>1.0800000000000001E-2</v>
      </c>
      <c r="BM103" s="160" t="s">
        <v>197</v>
      </c>
      <c r="BN103" s="355">
        <f t="shared" si="49"/>
        <v>36251</v>
      </c>
      <c r="BO103" s="37">
        <v>0</v>
      </c>
      <c r="BP103" s="278">
        <f t="shared" si="42"/>
        <v>0</v>
      </c>
      <c r="BQ103" s="312">
        <f t="shared" si="52"/>
        <v>1.1656213848043593</v>
      </c>
      <c r="BS103" s="31" t="s">
        <v>43</v>
      </c>
      <c r="BT103" s="159">
        <f t="shared" si="67"/>
        <v>36251</v>
      </c>
      <c r="BU103" s="162">
        <f t="shared" si="68"/>
        <v>2.35E-2</v>
      </c>
      <c r="BV103" s="311">
        <f t="shared" si="53"/>
        <v>3.2374000000000009</v>
      </c>
      <c r="BX103" s="170" t="s">
        <v>43</v>
      </c>
      <c r="BY103" s="159">
        <f t="shared" si="45"/>
        <v>36251</v>
      </c>
      <c r="BZ103" s="162">
        <f t="shared" si="46"/>
        <v>2.35E-2</v>
      </c>
      <c r="CA103" s="162">
        <f t="shared" si="54"/>
        <v>2.5296419999999999</v>
      </c>
      <c r="CF103" s="31" t="s">
        <v>197</v>
      </c>
      <c r="CG103" s="168">
        <f t="shared" si="50"/>
        <v>36251</v>
      </c>
      <c r="CH103" s="37">
        <v>0</v>
      </c>
      <c r="CI103" s="314">
        <f t="shared" si="47"/>
        <v>0</v>
      </c>
      <c r="CJ103" s="312">
        <f t="shared" si="55"/>
        <v>1</v>
      </c>
      <c r="CN103" s="315">
        <f t="shared" si="56"/>
        <v>36251</v>
      </c>
      <c r="CO103" s="312">
        <f t="shared" si="57"/>
        <v>1</v>
      </c>
      <c r="CQ103" s="315">
        <f t="shared" si="58"/>
        <v>36251</v>
      </c>
      <c r="CR103" s="316">
        <f t="shared" si="59"/>
        <v>3.2374000000000009</v>
      </c>
      <c r="CW103"/>
      <c r="CX103" s="242" t="str">
        <f t="shared" si="66"/>
        <v/>
      </c>
    </row>
    <row r="104" spans="2:102" ht="15" customHeight="1">
      <c r="B104" s="163">
        <v>39508</v>
      </c>
      <c r="C104" s="165">
        <v>415</v>
      </c>
      <c r="D104" s="274">
        <f t="shared" si="60"/>
        <v>39508</v>
      </c>
      <c r="E104" s="275">
        <f t="shared" si="61"/>
        <v>415</v>
      </c>
      <c r="G104" s="163">
        <v>39873</v>
      </c>
      <c r="H104" s="163">
        <v>39904</v>
      </c>
      <c r="I104" s="164">
        <v>1.438E-3</v>
      </c>
      <c r="J104" s="159">
        <f t="shared" si="62"/>
        <v>39904</v>
      </c>
      <c r="K104" s="278">
        <f t="shared" si="63"/>
        <v>1.438E-3</v>
      </c>
      <c r="M104" s="163">
        <v>38018</v>
      </c>
      <c r="N104" s="163">
        <v>38047</v>
      </c>
      <c r="O104" s="164">
        <v>5.0000000000000001E-3</v>
      </c>
      <c r="P104" s="159">
        <f t="shared" si="51"/>
        <v>38018</v>
      </c>
      <c r="Q104" s="292">
        <f t="shared" si="48"/>
        <v>5.0000000000000001E-3</v>
      </c>
      <c r="S104" s="163">
        <v>38047</v>
      </c>
      <c r="T104" s="164">
        <v>1.38E-2</v>
      </c>
      <c r="U104" s="159">
        <f t="shared" si="64"/>
        <v>38047</v>
      </c>
      <c r="V104" s="285">
        <f t="shared" si="65"/>
        <v>1.38E-2</v>
      </c>
      <c r="BM104" s="160" t="s">
        <v>197</v>
      </c>
      <c r="BN104" s="355">
        <f t="shared" si="49"/>
        <v>36281</v>
      </c>
      <c r="BO104" s="37">
        <v>0</v>
      </c>
      <c r="BP104" s="278">
        <f t="shared" si="42"/>
        <v>0</v>
      </c>
      <c r="BQ104" s="312">
        <f t="shared" si="52"/>
        <v>1.1656213848043593</v>
      </c>
      <c r="BS104" s="31" t="s">
        <v>43</v>
      </c>
      <c r="BT104" s="159">
        <f t="shared" si="67"/>
        <v>36281</v>
      </c>
      <c r="BU104" s="162">
        <f t="shared" si="68"/>
        <v>2.0199999999999999E-2</v>
      </c>
      <c r="BV104" s="311">
        <f t="shared" si="53"/>
        <v>3.2139000000000011</v>
      </c>
      <c r="BX104" s="170" t="s">
        <v>43</v>
      </c>
      <c r="BY104" s="159">
        <f t="shared" si="45"/>
        <v>36281</v>
      </c>
      <c r="BZ104" s="162">
        <f t="shared" si="46"/>
        <v>2.0199999999999999E-2</v>
      </c>
      <c r="CA104" s="162">
        <f t="shared" si="54"/>
        <v>2.5061420000000001</v>
      </c>
      <c r="CF104" s="31" t="s">
        <v>197</v>
      </c>
      <c r="CG104" s="168">
        <f t="shared" si="50"/>
        <v>36281</v>
      </c>
      <c r="CH104" s="37">
        <v>0</v>
      </c>
      <c r="CI104" s="314">
        <f t="shared" si="47"/>
        <v>0</v>
      </c>
      <c r="CJ104" s="312">
        <f t="shared" si="55"/>
        <v>1</v>
      </c>
      <c r="CN104" s="315">
        <f t="shared" si="56"/>
        <v>36281</v>
      </c>
      <c r="CO104" s="312">
        <f t="shared" si="57"/>
        <v>1</v>
      </c>
      <c r="CQ104" s="315">
        <f t="shared" si="58"/>
        <v>36281</v>
      </c>
      <c r="CR104" s="316">
        <f t="shared" si="59"/>
        <v>3.2139000000000011</v>
      </c>
      <c r="CW104" s="652" t="s">
        <v>358</v>
      </c>
      <c r="CX104" s="242" t="str">
        <f t="shared" si="66"/>
        <v>texto azul escuro sobre fundo cinza-muito-claro</v>
      </c>
    </row>
    <row r="105" spans="2:102" ht="15" customHeight="1">
      <c r="B105" s="163">
        <v>39539</v>
      </c>
      <c r="C105" s="165">
        <v>415</v>
      </c>
      <c r="D105" s="274">
        <f t="shared" si="60"/>
        <v>39539</v>
      </c>
      <c r="E105" s="275">
        <f t="shared" si="61"/>
        <v>415</v>
      </c>
      <c r="G105" s="163">
        <v>39904</v>
      </c>
      <c r="H105" s="163">
        <v>39934</v>
      </c>
      <c r="I105" s="164">
        <v>4.5399999999999998E-4</v>
      </c>
      <c r="J105" s="159">
        <f t="shared" si="62"/>
        <v>39934</v>
      </c>
      <c r="K105" s="278">
        <f t="shared" si="63"/>
        <v>4.5399999999999998E-4</v>
      </c>
      <c r="M105" s="163">
        <v>38047</v>
      </c>
      <c r="N105" s="163">
        <v>38078</v>
      </c>
      <c r="O105" s="164">
        <v>5.0000000000000001E-3</v>
      </c>
      <c r="P105" s="159">
        <f t="shared" si="51"/>
        <v>38047</v>
      </c>
      <c r="Q105" s="292">
        <f t="shared" si="48"/>
        <v>5.0000000000000001E-3</v>
      </c>
      <c r="S105" s="163">
        <v>38078</v>
      </c>
      <c r="T105" s="164">
        <v>1.18E-2</v>
      </c>
      <c r="U105" s="159">
        <f t="shared" si="64"/>
        <v>38078</v>
      </c>
      <c r="V105" s="285">
        <f t="shared" si="65"/>
        <v>1.18E-2</v>
      </c>
      <c r="BM105" s="160" t="s">
        <v>197</v>
      </c>
      <c r="BN105" s="355">
        <f t="shared" si="49"/>
        <v>36312</v>
      </c>
      <c r="BO105" s="37">
        <v>0</v>
      </c>
      <c r="BP105" s="278">
        <f t="shared" si="42"/>
        <v>0</v>
      </c>
      <c r="BQ105" s="312">
        <f t="shared" si="52"/>
        <v>1.1656213848043593</v>
      </c>
      <c r="BS105" s="31" t="s">
        <v>43</v>
      </c>
      <c r="BT105" s="159">
        <f t="shared" si="67"/>
        <v>36312</v>
      </c>
      <c r="BU105" s="162">
        <f t="shared" si="68"/>
        <v>1.67E-2</v>
      </c>
      <c r="BV105" s="311">
        <f t="shared" si="53"/>
        <v>3.1937000000000011</v>
      </c>
      <c r="BX105" s="170" t="s">
        <v>43</v>
      </c>
      <c r="BY105" s="159">
        <f t="shared" si="45"/>
        <v>36312</v>
      </c>
      <c r="BZ105" s="162">
        <f t="shared" si="46"/>
        <v>1.67E-2</v>
      </c>
      <c r="CA105" s="162">
        <f t="shared" si="54"/>
        <v>2.4859420000000001</v>
      </c>
      <c r="CF105" s="31" t="s">
        <v>197</v>
      </c>
      <c r="CG105" s="168">
        <f t="shared" si="50"/>
        <v>36312</v>
      </c>
      <c r="CH105" s="37">
        <v>0</v>
      </c>
      <c r="CI105" s="314">
        <f t="shared" si="47"/>
        <v>0</v>
      </c>
      <c r="CJ105" s="312">
        <f t="shared" si="55"/>
        <v>1</v>
      </c>
      <c r="CN105" s="315">
        <f t="shared" si="56"/>
        <v>36312</v>
      </c>
      <c r="CO105" s="312">
        <f t="shared" si="57"/>
        <v>1</v>
      </c>
      <c r="CQ105" s="315">
        <f t="shared" si="58"/>
        <v>36312</v>
      </c>
      <c r="CR105" s="316">
        <f t="shared" si="59"/>
        <v>3.1937000000000011</v>
      </c>
      <c r="CW105" s="655" t="s">
        <v>374</v>
      </c>
      <c r="CX105" s="242" t="str">
        <f t="shared" si="66"/>
        <v>Sessões de julgamento</v>
      </c>
    </row>
    <row r="106" spans="2:102" ht="15" customHeight="1">
      <c r="B106" s="163">
        <v>39569</v>
      </c>
      <c r="C106" s="165">
        <v>415</v>
      </c>
      <c r="D106" s="274">
        <f t="shared" si="60"/>
        <v>39569</v>
      </c>
      <c r="E106" s="275">
        <f t="shared" si="61"/>
        <v>415</v>
      </c>
      <c r="G106" s="163">
        <v>39934</v>
      </c>
      <c r="H106" s="163">
        <v>39965</v>
      </c>
      <c r="I106" s="164">
        <v>4.4900000000000002E-4</v>
      </c>
      <c r="J106" s="159">
        <f t="shared" si="62"/>
        <v>39965</v>
      </c>
      <c r="K106" s="278">
        <f t="shared" si="63"/>
        <v>4.4900000000000002E-4</v>
      </c>
      <c r="M106" s="163">
        <v>38078</v>
      </c>
      <c r="N106" s="163">
        <v>38108</v>
      </c>
      <c r="O106" s="164">
        <v>5.0000000000000001E-3</v>
      </c>
      <c r="P106" s="159">
        <f t="shared" si="51"/>
        <v>38078</v>
      </c>
      <c r="Q106" s="292">
        <f t="shared" si="48"/>
        <v>5.0000000000000001E-3</v>
      </c>
      <c r="S106" s="163">
        <v>38108</v>
      </c>
      <c r="T106" s="164">
        <v>1.23E-2</v>
      </c>
      <c r="U106" s="159">
        <f t="shared" si="64"/>
        <v>38108</v>
      </c>
      <c r="V106" s="285">
        <f t="shared" si="65"/>
        <v>1.23E-2</v>
      </c>
      <c r="BM106" s="160" t="s">
        <v>197</v>
      </c>
      <c r="BN106" s="355">
        <f t="shared" si="49"/>
        <v>36342</v>
      </c>
      <c r="BO106" s="37">
        <v>0</v>
      </c>
      <c r="BP106" s="278">
        <f t="shared" si="42"/>
        <v>0</v>
      </c>
      <c r="BQ106" s="312">
        <f t="shared" si="52"/>
        <v>1.1656213848043593</v>
      </c>
      <c r="BS106" s="31" t="s">
        <v>43</v>
      </c>
      <c r="BT106" s="159">
        <f t="shared" si="67"/>
        <v>36342</v>
      </c>
      <c r="BU106" s="162">
        <f t="shared" si="68"/>
        <v>1.66E-2</v>
      </c>
      <c r="BV106" s="311">
        <f t="shared" si="53"/>
        <v>3.1770000000000009</v>
      </c>
      <c r="BX106" s="170" t="s">
        <v>43</v>
      </c>
      <c r="BY106" s="159">
        <f t="shared" si="45"/>
        <v>36342</v>
      </c>
      <c r="BZ106" s="162">
        <f t="shared" si="46"/>
        <v>1.66E-2</v>
      </c>
      <c r="CA106" s="162">
        <f t="shared" si="54"/>
        <v>2.4692419999999999</v>
      </c>
      <c r="CF106" s="31" t="s">
        <v>197</v>
      </c>
      <c r="CG106" s="168">
        <f t="shared" si="50"/>
        <v>36342</v>
      </c>
      <c r="CH106" s="37">
        <v>0</v>
      </c>
      <c r="CI106" s="314">
        <f t="shared" si="47"/>
        <v>0</v>
      </c>
      <c r="CJ106" s="312">
        <f t="shared" si="55"/>
        <v>1</v>
      </c>
      <c r="CN106" s="315">
        <f t="shared" si="56"/>
        <v>36342</v>
      </c>
      <c r="CO106" s="312">
        <f t="shared" si="57"/>
        <v>1</v>
      </c>
      <c r="CQ106" s="315">
        <f t="shared" si="58"/>
        <v>36342</v>
      </c>
      <c r="CR106" s="316">
        <f t="shared" si="59"/>
        <v>3.1770000000000009</v>
      </c>
      <c r="CW106"/>
      <c r="CX106" s="242" t="str">
        <f t="shared" si="66"/>
        <v/>
      </c>
    </row>
    <row r="107" spans="2:102" ht="15" customHeight="1">
      <c r="B107" s="163">
        <v>39600</v>
      </c>
      <c r="C107" s="165">
        <v>415</v>
      </c>
      <c r="D107" s="274">
        <f t="shared" si="60"/>
        <v>39600</v>
      </c>
      <c r="E107" s="275">
        <f t="shared" si="61"/>
        <v>415</v>
      </c>
      <c r="G107" s="163">
        <v>39965</v>
      </c>
      <c r="H107" s="163">
        <v>39995</v>
      </c>
      <c r="I107" s="164">
        <v>6.5600000000000001E-4</v>
      </c>
      <c r="J107" s="159">
        <f t="shared" si="62"/>
        <v>39995</v>
      </c>
      <c r="K107" s="278">
        <f t="shared" si="63"/>
        <v>6.5600000000000001E-4</v>
      </c>
      <c r="M107" s="163">
        <v>38108</v>
      </c>
      <c r="N107" s="163">
        <v>38139</v>
      </c>
      <c r="O107" s="164">
        <v>5.0000000000000001E-3</v>
      </c>
      <c r="P107" s="159">
        <f t="shared" si="51"/>
        <v>38108</v>
      </c>
      <c r="Q107" s="292">
        <f t="shared" si="48"/>
        <v>5.0000000000000001E-3</v>
      </c>
      <c r="S107" s="163">
        <v>38139</v>
      </c>
      <c r="T107" s="164">
        <v>1.23E-2</v>
      </c>
      <c r="U107" s="159">
        <f t="shared" si="64"/>
        <v>38139</v>
      </c>
      <c r="V107" s="285">
        <f t="shared" si="65"/>
        <v>1.23E-2</v>
      </c>
      <c r="BM107" s="160" t="s">
        <v>197</v>
      </c>
      <c r="BN107" s="355">
        <f t="shared" si="49"/>
        <v>36373</v>
      </c>
      <c r="BO107" s="37">
        <v>0</v>
      </c>
      <c r="BP107" s="278">
        <f t="shared" si="42"/>
        <v>0</v>
      </c>
      <c r="BQ107" s="312">
        <f t="shared" si="52"/>
        <v>1.1656213848043593</v>
      </c>
      <c r="BS107" s="31" t="s">
        <v>43</v>
      </c>
      <c r="BT107" s="159">
        <f t="shared" si="67"/>
        <v>36373</v>
      </c>
      <c r="BU107" s="162">
        <f t="shared" si="68"/>
        <v>1.5699999999999999E-2</v>
      </c>
      <c r="BV107" s="311">
        <f t="shared" si="53"/>
        <v>3.160400000000001</v>
      </c>
      <c r="BX107" s="170" t="s">
        <v>43</v>
      </c>
      <c r="BY107" s="159">
        <f t="shared" si="45"/>
        <v>36373</v>
      </c>
      <c r="BZ107" s="162">
        <f t="shared" si="46"/>
        <v>1.5699999999999999E-2</v>
      </c>
      <c r="CA107" s="162">
        <f t="shared" si="54"/>
        <v>2.452642</v>
      </c>
      <c r="CF107" s="31" t="s">
        <v>197</v>
      </c>
      <c r="CG107" s="168">
        <f t="shared" si="50"/>
        <v>36373</v>
      </c>
      <c r="CH107" s="37">
        <v>0</v>
      </c>
      <c r="CI107" s="314">
        <f t="shared" si="47"/>
        <v>0</v>
      </c>
      <c r="CJ107" s="312">
        <f t="shared" si="55"/>
        <v>1</v>
      </c>
      <c r="CN107" s="315">
        <f t="shared" si="56"/>
        <v>36373</v>
      </c>
      <c r="CO107" s="312">
        <f t="shared" si="57"/>
        <v>1</v>
      </c>
      <c r="CQ107" s="315">
        <f t="shared" si="58"/>
        <v>36373</v>
      </c>
      <c r="CR107" s="316">
        <f t="shared" si="59"/>
        <v>3.160400000000001</v>
      </c>
      <c r="CW107" s="652" t="s">
        <v>356</v>
      </c>
      <c r="CX107" s="242" t="str">
        <f t="shared" si="66"/>
        <v>texto branco sobre fundo cinza-muito-claro</v>
      </c>
    </row>
    <row r="108" spans="2:102" ht="15" customHeight="1">
      <c r="B108" s="163">
        <v>39630</v>
      </c>
      <c r="C108" s="165">
        <v>415</v>
      </c>
      <c r="D108" s="274">
        <f t="shared" si="60"/>
        <v>39630</v>
      </c>
      <c r="E108" s="275">
        <f t="shared" si="61"/>
        <v>415</v>
      </c>
      <c r="G108" s="163">
        <v>39995</v>
      </c>
      <c r="H108" s="163">
        <v>40026</v>
      </c>
      <c r="I108" s="164">
        <v>1.0510000000000001E-3</v>
      </c>
      <c r="J108" s="159">
        <f t="shared" si="62"/>
        <v>40026</v>
      </c>
      <c r="K108" s="278">
        <f t="shared" si="63"/>
        <v>1.0510000000000001E-3</v>
      </c>
      <c r="M108" s="163">
        <v>38139</v>
      </c>
      <c r="N108" s="163">
        <v>38169</v>
      </c>
      <c r="O108" s="164">
        <v>5.0000000000000001E-3</v>
      </c>
      <c r="P108" s="159">
        <f t="shared" si="51"/>
        <v>38139</v>
      </c>
      <c r="Q108" s="292">
        <f t="shared" si="48"/>
        <v>5.0000000000000001E-3</v>
      </c>
      <c r="S108" s="163">
        <v>38169</v>
      </c>
      <c r="T108" s="164">
        <v>1.29E-2</v>
      </c>
      <c r="U108" s="159">
        <f t="shared" si="64"/>
        <v>38169</v>
      </c>
      <c r="V108" s="285">
        <f t="shared" si="65"/>
        <v>1.29E-2</v>
      </c>
      <c r="BM108" s="160" t="s">
        <v>197</v>
      </c>
      <c r="BN108" s="355">
        <f t="shared" si="49"/>
        <v>36404</v>
      </c>
      <c r="BO108" s="37">
        <v>0</v>
      </c>
      <c r="BP108" s="278">
        <f t="shared" si="42"/>
        <v>0</v>
      </c>
      <c r="BQ108" s="312">
        <f t="shared" si="52"/>
        <v>1.1656213848043593</v>
      </c>
      <c r="BS108" s="31" t="s">
        <v>43</v>
      </c>
      <c r="BT108" s="159">
        <f t="shared" si="67"/>
        <v>36404</v>
      </c>
      <c r="BU108" s="162">
        <f t="shared" si="68"/>
        <v>1.49E-2</v>
      </c>
      <c r="BV108" s="311">
        <f t="shared" si="53"/>
        <v>3.1447000000000012</v>
      </c>
      <c r="BX108" s="170" t="s">
        <v>43</v>
      </c>
      <c r="BY108" s="159">
        <f t="shared" si="45"/>
        <v>36404</v>
      </c>
      <c r="BZ108" s="162">
        <f t="shared" si="46"/>
        <v>1.49E-2</v>
      </c>
      <c r="CA108" s="162">
        <f t="shared" si="54"/>
        <v>2.4369420000000002</v>
      </c>
      <c r="CF108" s="31" t="s">
        <v>197</v>
      </c>
      <c r="CG108" s="168">
        <f t="shared" si="50"/>
        <v>36404</v>
      </c>
      <c r="CH108" s="37">
        <v>0</v>
      </c>
      <c r="CI108" s="314">
        <f t="shared" si="47"/>
        <v>0</v>
      </c>
      <c r="CJ108" s="312">
        <f t="shared" si="55"/>
        <v>1</v>
      </c>
      <c r="CN108" s="315">
        <f t="shared" si="56"/>
        <v>36404</v>
      </c>
      <c r="CO108" s="312">
        <f t="shared" si="57"/>
        <v>1</v>
      </c>
      <c r="CQ108" s="315">
        <f t="shared" si="58"/>
        <v>36404</v>
      </c>
      <c r="CR108" s="316">
        <f t="shared" si="59"/>
        <v>3.1447000000000012</v>
      </c>
      <c r="CW108" s="654" t="s">
        <v>375</v>
      </c>
      <c r="CX108" s="242" t="str">
        <f t="shared" si="66"/>
        <v>Auxiliares</v>
      </c>
    </row>
    <row r="109" spans="2:102" ht="15" customHeight="1">
      <c r="B109" s="163">
        <v>39661</v>
      </c>
      <c r="C109" s="165">
        <v>415</v>
      </c>
      <c r="D109" s="274">
        <f t="shared" si="60"/>
        <v>39661</v>
      </c>
      <c r="E109" s="275">
        <f t="shared" si="61"/>
        <v>415</v>
      </c>
      <c r="G109" s="163">
        <v>40026</v>
      </c>
      <c r="H109" s="163">
        <v>40057</v>
      </c>
      <c r="I109" s="164">
        <v>1.9699999999999999E-4</v>
      </c>
      <c r="J109" s="159">
        <f t="shared" si="62"/>
        <v>40057</v>
      </c>
      <c r="K109" s="278">
        <f t="shared" si="63"/>
        <v>1.9699999999999999E-4</v>
      </c>
      <c r="M109" s="163">
        <v>38169</v>
      </c>
      <c r="N109" s="163">
        <v>38200</v>
      </c>
      <c r="O109" s="164">
        <v>5.0000000000000001E-3</v>
      </c>
      <c r="P109" s="159">
        <f t="shared" si="51"/>
        <v>38169</v>
      </c>
      <c r="Q109" s="292">
        <f t="shared" si="48"/>
        <v>5.0000000000000001E-3</v>
      </c>
      <c r="S109" s="163">
        <v>38200</v>
      </c>
      <c r="T109" s="164">
        <v>1.29E-2</v>
      </c>
      <c r="U109" s="159">
        <f t="shared" si="64"/>
        <v>38200</v>
      </c>
      <c r="V109" s="285">
        <f t="shared" si="65"/>
        <v>1.29E-2</v>
      </c>
      <c r="BM109" s="160" t="s">
        <v>197</v>
      </c>
      <c r="BN109" s="355">
        <f t="shared" si="49"/>
        <v>36434</v>
      </c>
      <c r="BO109" s="37">
        <v>0</v>
      </c>
      <c r="BP109" s="278">
        <f t="shared" si="42"/>
        <v>0</v>
      </c>
      <c r="BQ109" s="312">
        <f t="shared" si="52"/>
        <v>1.1656213848043593</v>
      </c>
      <c r="BS109" s="31" t="s">
        <v>43</v>
      </c>
      <c r="BT109" s="159">
        <f t="shared" si="67"/>
        <v>36434</v>
      </c>
      <c r="BU109" s="162">
        <f t="shared" si="68"/>
        <v>1.38E-2</v>
      </c>
      <c r="BV109" s="311">
        <f t="shared" si="53"/>
        <v>3.1298000000000012</v>
      </c>
      <c r="BX109" s="170" t="s">
        <v>43</v>
      </c>
      <c r="BY109" s="159">
        <f t="shared" si="45"/>
        <v>36434</v>
      </c>
      <c r="BZ109" s="162">
        <f t="shared" si="46"/>
        <v>1.38E-2</v>
      </c>
      <c r="CA109" s="162">
        <f t="shared" si="54"/>
        <v>2.4220420000000003</v>
      </c>
      <c r="CF109" s="31" t="s">
        <v>197</v>
      </c>
      <c r="CG109" s="168">
        <f t="shared" si="50"/>
        <v>36434</v>
      </c>
      <c r="CH109" s="37">
        <v>0</v>
      </c>
      <c r="CI109" s="314">
        <f t="shared" si="47"/>
        <v>0</v>
      </c>
      <c r="CJ109" s="312">
        <f t="shared" si="55"/>
        <v>1</v>
      </c>
      <c r="CN109" s="315">
        <f t="shared" si="56"/>
        <v>36434</v>
      </c>
      <c r="CO109" s="312">
        <f t="shared" si="57"/>
        <v>1</v>
      </c>
      <c r="CQ109" s="315">
        <f t="shared" si="58"/>
        <v>36434</v>
      </c>
      <c r="CR109" s="316">
        <f t="shared" si="59"/>
        <v>3.1298000000000012</v>
      </c>
      <c r="CW109"/>
      <c r="CX109" s="242" t="str">
        <f t="shared" si="66"/>
        <v/>
      </c>
    </row>
    <row r="110" spans="2:102" ht="15" customHeight="1">
      <c r="B110" s="163">
        <v>39692</v>
      </c>
      <c r="C110" s="165">
        <v>415</v>
      </c>
      <c r="D110" s="274">
        <f t="shared" si="60"/>
        <v>39692</v>
      </c>
      <c r="E110" s="275">
        <f t="shared" si="61"/>
        <v>415</v>
      </c>
      <c r="G110" s="163">
        <v>40057</v>
      </c>
      <c r="H110" s="163">
        <v>40087</v>
      </c>
      <c r="I110" s="164">
        <v>0</v>
      </c>
      <c r="J110" s="159">
        <f t="shared" si="62"/>
        <v>40087</v>
      </c>
      <c r="K110" s="278">
        <f t="shared" si="63"/>
        <v>0</v>
      </c>
      <c r="M110" s="163">
        <v>38200</v>
      </c>
      <c r="N110" s="163">
        <v>38231</v>
      </c>
      <c r="O110" s="164">
        <v>5.0000000000000001E-3</v>
      </c>
      <c r="P110" s="159">
        <f t="shared" si="51"/>
        <v>38200</v>
      </c>
      <c r="Q110" s="292">
        <f t="shared" si="48"/>
        <v>5.0000000000000001E-3</v>
      </c>
      <c r="S110" s="163">
        <v>38231</v>
      </c>
      <c r="T110" s="164">
        <v>1.2500000000000001E-2</v>
      </c>
      <c r="U110" s="159">
        <f t="shared" si="64"/>
        <v>38231</v>
      </c>
      <c r="V110" s="285">
        <f t="shared" si="65"/>
        <v>1.2500000000000001E-2</v>
      </c>
      <c r="BM110" s="160" t="s">
        <v>197</v>
      </c>
      <c r="BN110" s="355">
        <f t="shared" si="49"/>
        <v>36465</v>
      </c>
      <c r="BO110" s="37">
        <v>0</v>
      </c>
      <c r="BP110" s="278">
        <f t="shared" si="42"/>
        <v>0</v>
      </c>
      <c r="BQ110" s="312">
        <f t="shared" si="52"/>
        <v>1.1656213848043593</v>
      </c>
      <c r="BS110" s="31" t="s">
        <v>43</v>
      </c>
      <c r="BT110" s="159">
        <f t="shared" si="67"/>
        <v>36465</v>
      </c>
      <c r="BU110" s="162">
        <f t="shared" si="68"/>
        <v>1.3899999999999999E-2</v>
      </c>
      <c r="BV110" s="311">
        <f t="shared" si="53"/>
        <v>3.1160000000000014</v>
      </c>
      <c r="BX110" s="170" t="s">
        <v>43</v>
      </c>
      <c r="BY110" s="159">
        <f t="shared" si="45"/>
        <v>36465</v>
      </c>
      <c r="BZ110" s="162">
        <f t="shared" si="46"/>
        <v>1.3899999999999999E-2</v>
      </c>
      <c r="CA110" s="162">
        <f t="shared" si="54"/>
        <v>2.4082420000000004</v>
      </c>
      <c r="CF110" s="31" t="s">
        <v>197</v>
      </c>
      <c r="CG110" s="168">
        <f t="shared" si="50"/>
        <v>36465</v>
      </c>
      <c r="CH110" s="37">
        <v>0</v>
      </c>
      <c r="CI110" s="314">
        <f t="shared" si="47"/>
        <v>0</v>
      </c>
      <c r="CJ110" s="312">
        <f t="shared" si="55"/>
        <v>1</v>
      </c>
      <c r="CN110" s="315">
        <f t="shared" si="56"/>
        <v>36465</v>
      </c>
      <c r="CO110" s="312">
        <f t="shared" si="57"/>
        <v>1</v>
      </c>
      <c r="CQ110" s="315">
        <f t="shared" si="58"/>
        <v>36465</v>
      </c>
      <c r="CR110" s="316">
        <f t="shared" si="59"/>
        <v>3.1160000000000014</v>
      </c>
      <c r="CW110" s="655" t="s">
        <v>376</v>
      </c>
      <c r="CX110" s="242" t="str">
        <f t="shared" si="66"/>
        <v>Peritos, curadores, advogados dativos, tradutores e intérpretes</v>
      </c>
    </row>
    <row r="111" spans="2:102" ht="15" customHeight="1">
      <c r="B111" s="163">
        <v>39722</v>
      </c>
      <c r="C111" s="165">
        <v>415</v>
      </c>
      <c r="D111" s="274">
        <f t="shared" si="60"/>
        <v>39722</v>
      </c>
      <c r="E111" s="275">
        <f t="shared" si="61"/>
        <v>415</v>
      </c>
      <c r="G111" s="163">
        <v>40087</v>
      </c>
      <c r="H111" s="163">
        <v>40118</v>
      </c>
      <c r="I111" s="164">
        <v>0</v>
      </c>
      <c r="J111" s="159">
        <f t="shared" si="62"/>
        <v>40118</v>
      </c>
      <c r="K111" s="278">
        <f t="shared" si="63"/>
        <v>0</v>
      </c>
      <c r="M111" s="163">
        <v>38231</v>
      </c>
      <c r="N111" s="163">
        <v>38261</v>
      </c>
      <c r="O111" s="164">
        <v>5.0000000000000001E-3</v>
      </c>
      <c r="P111" s="159">
        <f t="shared" si="51"/>
        <v>38231</v>
      </c>
      <c r="Q111" s="292">
        <f t="shared" si="48"/>
        <v>5.0000000000000001E-3</v>
      </c>
      <c r="S111" s="163">
        <v>38261</v>
      </c>
      <c r="T111" s="164">
        <v>1.21E-2</v>
      </c>
      <c r="U111" s="159">
        <f t="shared" si="64"/>
        <v>38261</v>
      </c>
      <c r="V111" s="285">
        <f t="shared" si="65"/>
        <v>1.21E-2</v>
      </c>
      <c r="BM111" s="160" t="s">
        <v>197</v>
      </c>
      <c r="BN111" s="355">
        <f t="shared" si="49"/>
        <v>36495</v>
      </c>
      <c r="BO111" s="37">
        <v>0</v>
      </c>
      <c r="BP111" s="278">
        <f t="shared" si="42"/>
        <v>0</v>
      </c>
      <c r="BQ111" s="312">
        <f t="shared" si="52"/>
        <v>1.1656213848043593</v>
      </c>
      <c r="BS111" s="31" t="s">
        <v>43</v>
      </c>
      <c r="BT111" s="159">
        <f t="shared" si="67"/>
        <v>36495</v>
      </c>
      <c r="BU111" s="162">
        <f t="shared" si="68"/>
        <v>1.6E-2</v>
      </c>
      <c r="BV111" s="311">
        <f t="shared" si="53"/>
        <v>3.1021000000000014</v>
      </c>
      <c r="BX111" s="170" t="s">
        <v>43</v>
      </c>
      <c r="BY111" s="159">
        <f t="shared" si="45"/>
        <v>36495</v>
      </c>
      <c r="BZ111" s="162">
        <f t="shared" si="46"/>
        <v>1.6E-2</v>
      </c>
      <c r="CA111" s="162">
        <f t="shared" si="54"/>
        <v>2.3943420000000004</v>
      </c>
      <c r="CF111" s="31" t="s">
        <v>197</v>
      </c>
      <c r="CG111" s="168">
        <f t="shared" si="50"/>
        <v>36495</v>
      </c>
      <c r="CH111" s="37">
        <v>0</v>
      </c>
      <c r="CI111" s="314">
        <f t="shared" si="47"/>
        <v>0</v>
      </c>
      <c r="CJ111" s="312">
        <f t="shared" si="55"/>
        <v>1</v>
      </c>
      <c r="CN111" s="315">
        <f t="shared" si="56"/>
        <v>36495</v>
      </c>
      <c r="CO111" s="312">
        <f t="shared" si="57"/>
        <v>1</v>
      </c>
      <c r="CQ111" s="315">
        <f t="shared" si="58"/>
        <v>36495</v>
      </c>
      <c r="CR111" s="316">
        <f t="shared" si="59"/>
        <v>3.1021000000000014</v>
      </c>
      <c r="CW111"/>
      <c r="CX111" s="242" t="str">
        <f t="shared" si="66"/>
        <v/>
      </c>
    </row>
    <row r="112" spans="2:102" ht="15" customHeight="1">
      <c r="B112" s="163">
        <v>39753</v>
      </c>
      <c r="C112" s="165">
        <v>415</v>
      </c>
      <c r="D112" s="274">
        <f t="shared" si="60"/>
        <v>39753</v>
      </c>
      <c r="E112" s="275">
        <f t="shared" si="61"/>
        <v>415</v>
      </c>
      <c r="G112" s="163">
        <v>40118</v>
      </c>
      <c r="H112" s="163">
        <v>40148</v>
      </c>
      <c r="I112" s="164">
        <v>0</v>
      </c>
      <c r="J112" s="159">
        <f t="shared" si="62"/>
        <v>40148</v>
      </c>
      <c r="K112" s="278">
        <f t="shared" si="63"/>
        <v>0</v>
      </c>
      <c r="M112" s="163">
        <v>38261</v>
      </c>
      <c r="N112" s="163">
        <v>38292</v>
      </c>
      <c r="O112" s="164">
        <v>5.0000000000000001E-3</v>
      </c>
      <c r="P112" s="159">
        <f t="shared" si="51"/>
        <v>38261</v>
      </c>
      <c r="Q112" s="292">
        <f t="shared" si="48"/>
        <v>5.0000000000000001E-3</v>
      </c>
      <c r="S112" s="163">
        <v>38292</v>
      </c>
      <c r="T112" s="164">
        <v>1.2500000000000001E-2</v>
      </c>
      <c r="U112" s="159">
        <f t="shared" si="64"/>
        <v>38292</v>
      </c>
      <c r="V112" s="285">
        <f t="shared" si="65"/>
        <v>1.2500000000000001E-2</v>
      </c>
      <c r="BM112" s="31" t="s">
        <v>197</v>
      </c>
      <c r="BN112" s="168">
        <f t="shared" si="49"/>
        <v>36526</v>
      </c>
      <c r="BO112" s="37">
        <v>0</v>
      </c>
      <c r="BP112" s="278">
        <f t="shared" si="42"/>
        <v>0</v>
      </c>
      <c r="BQ112" s="312">
        <f t="shared" si="52"/>
        <v>1.1656213848043593</v>
      </c>
      <c r="BS112" s="31" t="s">
        <v>43</v>
      </c>
      <c r="BT112" s="159">
        <f t="shared" si="67"/>
        <v>36526</v>
      </c>
      <c r="BU112" s="162">
        <f t="shared" si="68"/>
        <v>1.46E-2</v>
      </c>
      <c r="BV112" s="311">
        <f t="shared" si="53"/>
        <v>3.0861000000000014</v>
      </c>
      <c r="BX112" s="170" t="s">
        <v>43</v>
      </c>
      <c r="BY112" s="159">
        <f t="shared" si="45"/>
        <v>36526</v>
      </c>
      <c r="BZ112" s="162">
        <f t="shared" si="46"/>
        <v>1.46E-2</v>
      </c>
      <c r="CA112" s="162">
        <f t="shared" si="54"/>
        <v>2.3783420000000004</v>
      </c>
      <c r="CF112" s="31" t="s">
        <v>197</v>
      </c>
      <c r="CG112" s="168">
        <f t="shared" si="50"/>
        <v>36526</v>
      </c>
      <c r="CH112" s="37">
        <v>0</v>
      </c>
      <c r="CI112" s="314">
        <f t="shared" si="47"/>
        <v>0</v>
      </c>
      <c r="CJ112" s="312">
        <f t="shared" si="55"/>
        <v>1</v>
      </c>
      <c r="CN112" s="315">
        <f t="shared" si="56"/>
        <v>36526</v>
      </c>
      <c r="CO112" s="312">
        <f t="shared" si="57"/>
        <v>1</v>
      </c>
      <c r="CQ112" s="315">
        <f t="shared" si="58"/>
        <v>36526</v>
      </c>
      <c r="CR112" s="316">
        <f t="shared" si="59"/>
        <v>3.0861000000000014</v>
      </c>
      <c r="CW112" s="650" t="s">
        <v>377</v>
      </c>
      <c r="CX112" s="242" t="str">
        <f t="shared" si="66"/>
        <v>Cadastro no sistema de Assistência Judiciária Gratuita (AJG)</v>
      </c>
    </row>
    <row r="113" spans="2:102" ht="15" customHeight="1">
      <c r="B113" s="163">
        <v>39783</v>
      </c>
      <c r="C113" s="165">
        <v>415</v>
      </c>
      <c r="D113" s="274">
        <f t="shared" si="60"/>
        <v>39783</v>
      </c>
      <c r="E113" s="275">
        <f t="shared" si="61"/>
        <v>415</v>
      </c>
      <c r="G113" s="163">
        <v>40148</v>
      </c>
      <c r="H113" s="163">
        <v>40179</v>
      </c>
      <c r="I113" s="164">
        <v>5.3300000000000005E-4</v>
      </c>
      <c r="J113" s="159">
        <f t="shared" si="62"/>
        <v>40179</v>
      </c>
      <c r="K113" s="278">
        <f t="shared" si="63"/>
        <v>5.3300000000000005E-4</v>
      </c>
      <c r="M113" s="163">
        <v>38292</v>
      </c>
      <c r="N113" s="163">
        <v>38322</v>
      </c>
      <c r="O113" s="164">
        <v>5.0000000000000001E-3</v>
      </c>
      <c r="P113" s="159">
        <f t="shared" si="51"/>
        <v>38292</v>
      </c>
      <c r="Q113" s="292">
        <f t="shared" si="48"/>
        <v>5.0000000000000001E-3</v>
      </c>
      <c r="S113" s="163">
        <v>38322</v>
      </c>
      <c r="T113" s="164">
        <v>1.4800000000000001E-2</v>
      </c>
      <c r="U113" s="159">
        <f t="shared" si="64"/>
        <v>38322</v>
      </c>
      <c r="V113" s="285">
        <f t="shared" si="65"/>
        <v>1.4800000000000001E-2</v>
      </c>
      <c r="BM113" s="31" t="s">
        <v>197</v>
      </c>
      <c r="BN113" s="168">
        <f t="shared" si="49"/>
        <v>36557</v>
      </c>
      <c r="BO113" s="37">
        <v>0</v>
      </c>
      <c r="BP113" s="278">
        <f t="shared" si="42"/>
        <v>0</v>
      </c>
      <c r="BQ113" s="312">
        <f t="shared" si="52"/>
        <v>1.1656213848043593</v>
      </c>
      <c r="BS113" s="31" t="s">
        <v>43</v>
      </c>
      <c r="BT113" s="159">
        <f t="shared" si="67"/>
        <v>36557</v>
      </c>
      <c r="BU113" s="162">
        <f t="shared" si="68"/>
        <v>1.4500000000000001E-2</v>
      </c>
      <c r="BV113" s="311">
        <f t="shared" si="53"/>
        <v>3.0715000000000012</v>
      </c>
      <c r="BX113" s="170" t="s">
        <v>43</v>
      </c>
      <c r="BY113" s="159">
        <f t="shared" si="45"/>
        <v>36557</v>
      </c>
      <c r="BZ113" s="162">
        <f t="shared" si="46"/>
        <v>1.4500000000000001E-2</v>
      </c>
      <c r="CA113" s="162">
        <f t="shared" si="54"/>
        <v>2.3637420000000002</v>
      </c>
      <c r="CF113" s="31" t="s">
        <v>197</v>
      </c>
      <c r="CG113" s="168">
        <f t="shared" si="50"/>
        <v>36557</v>
      </c>
      <c r="CH113" s="37">
        <v>0</v>
      </c>
      <c r="CI113" s="314">
        <f t="shared" si="47"/>
        <v>0</v>
      </c>
      <c r="CJ113" s="312">
        <f t="shared" si="55"/>
        <v>1</v>
      </c>
      <c r="CN113" s="315">
        <f t="shared" si="56"/>
        <v>36557</v>
      </c>
      <c r="CO113" s="312">
        <f t="shared" si="57"/>
        <v>1</v>
      </c>
      <c r="CQ113" s="315">
        <f t="shared" si="58"/>
        <v>36557</v>
      </c>
      <c r="CR113" s="316">
        <f t="shared" si="59"/>
        <v>3.0715000000000012</v>
      </c>
      <c r="CW113"/>
      <c r="CX113" s="242" t="str">
        <f t="shared" si="66"/>
        <v/>
      </c>
    </row>
    <row r="114" spans="2:102" ht="15" customHeight="1">
      <c r="B114" s="163">
        <v>39814</v>
      </c>
      <c r="C114" s="165">
        <v>415</v>
      </c>
      <c r="D114" s="274">
        <f t="shared" si="60"/>
        <v>39814</v>
      </c>
      <c r="E114" s="275">
        <f t="shared" si="61"/>
        <v>415</v>
      </c>
      <c r="G114" s="163">
        <v>40179</v>
      </c>
      <c r="H114" s="163">
        <v>40210</v>
      </c>
      <c r="I114" s="164">
        <v>0</v>
      </c>
      <c r="J114" s="159">
        <f t="shared" si="62"/>
        <v>40210</v>
      </c>
      <c r="K114" s="278">
        <f t="shared" si="63"/>
        <v>0</v>
      </c>
      <c r="M114" s="163">
        <v>38322</v>
      </c>
      <c r="N114" s="163">
        <v>38353</v>
      </c>
      <c r="O114" s="164">
        <v>5.0000000000000001E-3</v>
      </c>
      <c r="P114" s="159">
        <f t="shared" si="51"/>
        <v>38322</v>
      </c>
      <c r="Q114" s="292">
        <f t="shared" si="48"/>
        <v>5.0000000000000001E-3</v>
      </c>
      <c r="S114" s="163">
        <v>38353</v>
      </c>
      <c r="T114" s="164">
        <v>1.38E-2</v>
      </c>
      <c r="U114" s="159">
        <f t="shared" si="64"/>
        <v>38353</v>
      </c>
      <c r="V114" s="285">
        <f t="shared" si="65"/>
        <v>1.38E-2</v>
      </c>
      <c r="BM114" s="31" t="s">
        <v>197</v>
      </c>
      <c r="BN114" s="168">
        <f t="shared" si="49"/>
        <v>36586</v>
      </c>
      <c r="BO114" s="37">
        <v>0</v>
      </c>
      <c r="BP114" s="278">
        <f t="shared" si="42"/>
        <v>0</v>
      </c>
      <c r="BQ114" s="312">
        <f t="shared" si="52"/>
        <v>1.1656213848043593</v>
      </c>
      <c r="BS114" s="31" t="s">
        <v>43</v>
      </c>
      <c r="BT114" s="159">
        <f t="shared" si="67"/>
        <v>36586</v>
      </c>
      <c r="BU114" s="162">
        <f t="shared" si="68"/>
        <v>1.4500000000000001E-2</v>
      </c>
      <c r="BV114" s="311">
        <f t="shared" si="53"/>
        <v>3.0570000000000013</v>
      </c>
      <c r="BX114" s="170" t="s">
        <v>43</v>
      </c>
      <c r="BY114" s="159">
        <f t="shared" si="45"/>
        <v>36586</v>
      </c>
      <c r="BZ114" s="162">
        <f t="shared" si="46"/>
        <v>1.4500000000000001E-2</v>
      </c>
      <c r="CA114" s="162">
        <f t="shared" si="54"/>
        <v>2.3492420000000003</v>
      </c>
      <c r="CB114" s="359"/>
      <c r="CC114" s="360"/>
      <c r="CF114" s="31" t="s">
        <v>197</v>
      </c>
      <c r="CG114" s="168">
        <f t="shared" si="50"/>
        <v>36586</v>
      </c>
      <c r="CH114" s="37">
        <v>0</v>
      </c>
      <c r="CI114" s="314">
        <f t="shared" si="47"/>
        <v>0</v>
      </c>
      <c r="CJ114" s="312">
        <f t="shared" si="55"/>
        <v>1</v>
      </c>
      <c r="CN114" s="315">
        <f t="shared" si="56"/>
        <v>36586</v>
      </c>
      <c r="CO114" s="312">
        <f t="shared" si="57"/>
        <v>1</v>
      </c>
      <c r="CQ114" s="315">
        <f t="shared" si="58"/>
        <v>36586</v>
      </c>
      <c r="CR114" s="316">
        <f t="shared" si="59"/>
        <v>3.0570000000000013</v>
      </c>
      <c r="CW114" s="652" t="s">
        <v>350</v>
      </c>
      <c r="CX114" s="242" t="str">
        <f t="shared" si="66"/>
        <v>texto branco sobre fundo azul-escuro</v>
      </c>
    </row>
    <row r="115" spans="2:102" ht="15" customHeight="1">
      <c r="B115" s="163">
        <v>39845</v>
      </c>
      <c r="C115" s="165">
        <v>465</v>
      </c>
      <c r="D115" s="274">
        <f t="shared" si="60"/>
        <v>39845</v>
      </c>
      <c r="E115" s="275">
        <f t="shared" si="61"/>
        <v>465</v>
      </c>
      <c r="G115" s="163">
        <v>40210</v>
      </c>
      <c r="H115" s="163">
        <v>40238</v>
      </c>
      <c r="I115" s="164">
        <v>0</v>
      </c>
      <c r="J115" s="159">
        <f t="shared" si="62"/>
        <v>40238</v>
      </c>
      <c r="K115" s="278">
        <f t="shared" si="63"/>
        <v>0</v>
      </c>
      <c r="M115" s="163">
        <v>38353</v>
      </c>
      <c r="N115" s="163">
        <v>38384</v>
      </c>
      <c r="O115" s="164">
        <v>5.0000000000000001E-3</v>
      </c>
      <c r="P115" s="159">
        <f t="shared" si="51"/>
        <v>38353</v>
      </c>
      <c r="Q115" s="292">
        <f t="shared" si="48"/>
        <v>5.0000000000000001E-3</v>
      </c>
      <c r="S115" s="163">
        <v>38384</v>
      </c>
      <c r="T115" s="164">
        <v>1.2200000000000001E-2</v>
      </c>
      <c r="U115" s="159">
        <f t="shared" si="64"/>
        <v>38384</v>
      </c>
      <c r="V115" s="285">
        <f t="shared" si="65"/>
        <v>1.2200000000000001E-2</v>
      </c>
      <c r="BM115" s="31" t="s">
        <v>197</v>
      </c>
      <c r="BN115" s="168">
        <f t="shared" si="49"/>
        <v>36617</v>
      </c>
      <c r="BO115" s="37">
        <v>0</v>
      </c>
      <c r="BP115" s="278">
        <f t="shared" si="42"/>
        <v>0</v>
      </c>
      <c r="BQ115" s="312">
        <f t="shared" si="52"/>
        <v>1.1656213848043593</v>
      </c>
      <c r="BS115" s="31" t="s">
        <v>43</v>
      </c>
      <c r="BT115" s="159">
        <f t="shared" si="67"/>
        <v>36617</v>
      </c>
      <c r="BU115" s="162">
        <f t="shared" si="68"/>
        <v>1.2999999999999999E-2</v>
      </c>
      <c r="BV115" s="311">
        <f t="shared" si="53"/>
        <v>3.0425000000000013</v>
      </c>
      <c r="BX115" s="170" t="s">
        <v>43</v>
      </c>
      <c r="BY115" s="159">
        <f t="shared" si="45"/>
        <v>36617</v>
      </c>
      <c r="BZ115" s="162">
        <f t="shared" si="46"/>
        <v>1.2999999999999999E-2</v>
      </c>
      <c r="CA115" s="162">
        <f t="shared" si="54"/>
        <v>2.3347420000000003</v>
      </c>
      <c r="CF115" s="31" t="s">
        <v>197</v>
      </c>
      <c r="CG115" s="168">
        <f t="shared" si="50"/>
        <v>36617</v>
      </c>
      <c r="CH115" s="37">
        <v>0</v>
      </c>
      <c r="CI115" s="314">
        <f t="shared" si="47"/>
        <v>0</v>
      </c>
      <c r="CJ115" s="312">
        <f t="shared" si="55"/>
        <v>1</v>
      </c>
      <c r="CN115" s="315">
        <f t="shared" si="56"/>
        <v>36617</v>
      </c>
      <c r="CO115" s="312">
        <f t="shared" si="57"/>
        <v>1</v>
      </c>
      <c r="CQ115" s="315">
        <f t="shared" si="58"/>
        <v>36617</v>
      </c>
      <c r="CR115" s="316">
        <f t="shared" si="59"/>
        <v>3.0425000000000013</v>
      </c>
      <c r="CW115" s="654" t="s">
        <v>378</v>
      </c>
      <c r="CX115" s="242" t="str">
        <f t="shared" si="66"/>
        <v>Administração</v>
      </c>
    </row>
    <row r="116" spans="2:102" ht="15" customHeight="1">
      <c r="B116" s="163">
        <v>39873</v>
      </c>
      <c r="C116" s="165">
        <v>465</v>
      </c>
      <c r="D116" s="274">
        <f t="shared" si="60"/>
        <v>39873</v>
      </c>
      <c r="E116" s="275">
        <f t="shared" si="61"/>
        <v>465</v>
      </c>
      <c r="G116" s="163">
        <v>40238</v>
      </c>
      <c r="H116" s="163">
        <v>40269</v>
      </c>
      <c r="I116" s="164">
        <v>7.9199999999999995E-4</v>
      </c>
      <c r="J116" s="159">
        <f t="shared" si="62"/>
        <v>40269</v>
      </c>
      <c r="K116" s="278">
        <f t="shared" si="63"/>
        <v>7.9199999999999995E-4</v>
      </c>
      <c r="M116" s="163">
        <v>38384</v>
      </c>
      <c r="N116" s="163">
        <v>38412</v>
      </c>
      <c r="O116" s="164">
        <v>5.0000000000000001E-3</v>
      </c>
      <c r="P116" s="159">
        <f t="shared" si="51"/>
        <v>38384</v>
      </c>
      <c r="Q116" s="292">
        <f t="shared" si="48"/>
        <v>5.0000000000000001E-3</v>
      </c>
      <c r="S116" s="163">
        <v>38412</v>
      </c>
      <c r="T116" s="164">
        <v>1.5299999999999999E-2</v>
      </c>
      <c r="U116" s="159">
        <f t="shared" si="64"/>
        <v>38412</v>
      </c>
      <c r="V116" s="285">
        <f t="shared" si="65"/>
        <v>1.5299999999999999E-2</v>
      </c>
      <c r="BM116" s="31" t="s">
        <v>197</v>
      </c>
      <c r="BN116" s="168">
        <f t="shared" si="49"/>
        <v>36647</v>
      </c>
      <c r="BO116" s="37">
        <v>0</v>
      </c>
      <c r="BP116" s="278">
        <f t="shared" si="42"/>
        <v>0</v>
      </c>
      <c r="BQ116" s="312">
        <f t="shared" si="52"/>
        <v>1.1656213848043593</v>
      </c>
      <c r="BS116" s="31" t="s">
        <v>43</v>
      </c>
      <c r="BT116" s="159">
        <f t="shared" si="67"/>
        <v>36647</v>
      </c>
      <c r="BU116" s="162">
        <f t="shared" si="68"/>
        <v>1.49E-2</v>
      </c>
      <c r="BV116" s="311">
        <f t="shared" si="53"/>
        <v>3.0295000000000014</v>
      </c>
      <c r="BX116" s="170" t="s">
        <v>43</v>
      </c>
      <c r="BY116" s="159">
        <f t="shared" si="45"/>
        <v>36647</v>
      </c>
      <c r="BZ116" s="162">
        <f t="shared" si="46"/>
        <v>1.49E-2</v>
      </c>
      <c r="CA116" s="162">
        <f t="shared" si="54"/>
        <v>2.3217420000000004</v>
      </c>
      <c r="CF116" s="31" t="s">
        <v>197</v>
      </c>
      <c r="CG116" s="168">
        <f t="shared" si="50"/>
        <v>36647</v>
      </c>
      <c r="CH116" s="37">
        <v>0</v>
      </c>
      <c r="CI116" s="314">
        <f t="shared" si="47"/>
        <v>0</v>
      </c>
      <c r="CJ116" s="312">
        <f t="shared" si="55"/>
        <v>1</v>
      </c>
      <c r="CN116" s="315">
        <f t="shared" si="56"/>
        <v>36647</v>
      </c>
      <c r="CO116" s="312">
        <f t="shared" si="57"/>
        <v>1</v>
      </c>
      <c r="CQ116" s="315">
        <f t="shared" si="58"/>
        <v>36647</v>
      </c>
      <c r="CR116" s="316">
        <f t="shared" si="59"/>
        <v>3.0295000000000014</v>
      </c>
      <c r="CW116"/>
      <c r="CX116" s="242" t="str">
        <f t="shared" si="66"/>
        <v/>
      </c>
    </row>
    <row r="117" spans="2:102" ht="15" customHeight="1">
      <c r="B117" s="163">
        <v>39904</v>
      </c>
      <c r="C117" s="165">
        <v>465</v>
      </c>
      <c r="D117" s="274">
        <f t="shared" si="60"/>
        <v>39904</v>
      </c>
      <c r="E117" s="275">
        <f t="shared" si="61"/>
        <v>465</v>
      </c>
      <c r="G117" s="163">
        <v>40269</v>
      </c>
      <c r="H117" s="163">
        <v>40299</v>
      </c>
      <c r="I117" s="164">
        <v>0</v>
      </c>
      <c r="J117" s="159">
        <f t="shared" si="62"/>
        <v>40299</v>
      </c>
      <c r="K117" s="278">
        <f t="shared" si="63"/>
        <v>0</v>
      </c>
      <c r="M117" s="163">
        <v>38412</v>
      </c>
      <c r="N117" s="163">
        <v>38443</v>
      </c>
      <c r="O117" s="164">
        <v>5.0000000000000001E-3</v>
      </c>
      <c r="P117" s="159">
        <f t="shared" si="51"/>
        <v>38412</v>
      </c>
      <c r="Q117" s="292">
        <f t="shared" si="48"/>
        <v>5.0000000000000001E-3</v>
      </c>
      <c r="S117" s="163">
        <v>38443</v>
      </c>
      <c r="T117" s="164">
        <v>1.41E-2</v>
      </c>
      <c r="U117" s="159">
        <f t="shared" si="64"/>
        <v>38443</v>
      </c>
      <c r="V117" s="285">
        <f t="shared" si="65"/>
        <v>1.41E-2</v>
      </c>
      <c r="BM117" s="31" t="s">
        <v>197</v>
      </c>
      <c r="BN117" s="168">
        <f t="shared" si="49"/>
        <v>36678</v>
      </c>
      <c r="BO117" s="37">
        <v>0</v>
      </c>
      <c r="BP117" s="278">
        <f t="shared" si="42"/>
        <v>0</v>
      </c>
      <c r="BQ117" s="312">
        <f t="shared" si="52"/>
        <v>1.1656213848043593</v>
      </c>
      <c r="BS117" s="31" t="s">
        <v>43</v>
      </c>
      <c r="BT117" s="159">
        <f t="shared" si="67"/>
        <v>36678</v>
      </c>
      <c r="BU117" s="162">
        <f t="shared" si="68"/>
        <v>1.3899999999999999E-2</v>
      </c>
      <c r="BV117" s="311">
        <f t="shared" si="53"/>
        <v>3.0146000000000015</v>
      </c>
      <c r="BX117" s="170" t="s">
        <v>43</v>
      </c>
      <c r="BY117" s="159">
        <f t="shared" si="45"/>
        <v>36678</v>
      </c>
      <c r="BZ117" s="162">
        <f t="shared" si="46"/>
        <v>1.3899999999999999E-2</v>
      </c>
      <c r="CA117" s="162">
        <f t="shared" si="54"/>
        <v>2.3068420000000005</v>
      </c>
      <c r="CF117" s="31" t="s">
        <v>197</v>
      </c>
      <c r="CG117" s="168">
        <f t="shared" si="50"/>
        <v>36678</v>
      </c>
      <c r="CH117" s="37">
        <v>0</v>
      </c>
      <c r="CI117" s="314">
        <f t="shared" si="47"/>
        <v>0</v>
      </c>
      <c r="CJ117" s="312">
        <f t="shared" si="55"/>
        <v>1</v>
      </c>
      <c r="CN117" s="315">
        <f t="shared" si="56"/>
        <v>36678</v>
      </c>
      <c r="CO117" s="312">
        <f t="shared" si="57"/>
        <v>1</v>
      </c>
      <c r="CQ117" s="315">
        <f t="shared" si="58"/>
        <v>36678</v>
      </c>
      <c r="CR117" s="316">
        <f t="shared" si="59"/>
        <v>3.0146000000000015</v>
      </c>
      <c r="CW117" s="655" t="s">
        <v>379</v>
      </c>
      <c r="CX117" s="242" t="str">
        <f t="shared" si="66"/>
        <v>ApoIA - Inteligência Artificial</v>
      </c>
    </row>
    <row r="118" spans="2:102" ht="15" customHeight="1">
      <c r="B118" s="163">
        <v>39934</v>
      </c>
      <c r="C118" s="165">
        <v>465</v>
      </c>
      <c r="D118" s="274">
        <f t="shared" si="60"/>
        <v>39934</v>
      </c>
      <c r="E118" s="275">
        <f t="shared" si="61"/>
        <v>465</v>
      </c>
      <c r="G118" s="163">
        <v>40299</v>
      </c>
      <c r="H118" s="163">
        <v>40330</v>
      </c>
      <c r="I118" s="164">
        <v>5.1000000000000004E-4</v>
      </c>
      <c r="J118" s="159">
        <f t="shared" si="62"/>
        <v>40330</v>
      </c>
      <c r="K118" s="278">
        <f t="shared" si="63"/>
        <v>5.1000000000000004E-4</v>
      </c>
      <c r="M118" s="163">
        <v>38443</v>
      </c>
      <c r="N118" s="163">
        <v>38473</v>
      </c>
      <c r="O118" s="164">
        <v>5.0000000000000001E-3</v>
      </c>
      <c r="P118" s="159">
        <f t="shared" si="51"/>
        <v>38443</v>
      </c>
      <c r="Q118" s="292">
        <f t="shared" si="48"/>
        <v>5.0000000000000001E-3</v>
      </c>
      <c r="S118" s="163">
        <v>38473</v>
      </c>
      <c r="T118" s="164">
        <v>1.4999999999999999E-2</v>
      </c>
      <c r="U118" s="159">
        <f t="shared" si="64"/>
        <v>38473</v>
      </c>
      <c r="V118" s="285">
        <f t="shared" si="65"/>
        <v>1.4999999999999999E-2</v>
      </c>
      <c r="BM118" s="31" t="s">
        <v>197</v>
      </c>
      <c r="BN118" s="168">
        <f t="shared" si="49"/>
        <v>36708</v>
      </c>
      <c r="BO118" s="37">
        <v>0</v>
      </c>
      <c r="BP118" s="278">
        <f t="shared" si="42"/>
        <v>0</v>
      </c>
      <c r="BQ118" s="312">
        <f t="shared" si="52"/>
        <v>1.1656213848043593</v>
      </c>
      <c r="BS118" s="31" t="s">
        <v>43</v>
      </c>
      <c r="BT118" s="159">
        <f t="shared" si="67"/>
        <v>36708</v>
      </c>
      <c r="BU118" s="162">
        <f t="shared" si="68"/>
        <v>1.3100000000000001E-2</v>
      </c>
      <c r="BV118" s="311">
        <f t="shared" si="53"/>
        <v>3.0007000000000015</v>
      </c>
      <c r="BX118" s="170" t="s">
        <v>43</v>
      </c>
      <c r="BY118" s="159">
        <f t="shared" si="45"/>
        <v>36708</v>
      </c>
      <c r="BZ118" s="162">
        <f t="shared" si="46"/>
        <v>1.3100000000000001E-2</v>
      </c>
      <c r="CA118" s="162">
        <f t="shared" si="54"/>
        <v>2.2929420000000005</v>
      </c>
      <c r="CF118" s="31" t="s">
        <v>197</v>
      </c>
      <c r="CG118" s="168">
        <f t="shared" si="50"/>
        <v>36708</v>
      </c>
      <c r="CH118" s="37">
        <v>0</v>
      </c>
      <c r="CI118" s="314">
        <f t="shared" si="47"/>
        <v>0</v>
      </c>
      <c r="CJ118" s="312">
        <f t="shared" si="55"/>
        <v>1</v>
      </c>
      <c r="CN118" s="315">
        <f t="shared" si="56"/>
        <v>36708</v>
      </c>
      <c r="CO118" s="312">
        <f t="shared" si="57"/>
        <v>1</v>
      </c>
      <c r="CQ118" s="315">
        <f t="shared" si="58"/>
        <v>36708</v>
      </c>
      <c r="CR118" s="316">
        <f t="shared" si="59"/>
        <v>3.0007000000000015</v>
      </c>
      <c r="CW118"/>
      <c r="CX118" s="242" t="str">
        <f t="shared" si="66"/>
        <v/>
      </c>
    </row>
    <row r="119" spans="2:102" ht="15" customHeight="1">
      <c r="B119" s="163">
        <v>39965</v>
      </c>
      <c r="C119" s="165">
        <v>465</v>
      </c>
      <c r="D119" s="274">
        <f t="shared" si="60"/>
        <v>39965</v>
      </c>
      <c r="E119" s="275">
        <f t="shared" si="61"/>
        <v>465</v>
      </c>
      <c r="G119" s="163">
        <v>40330</v>
      </c>
      <c r="H119" s="163">
        <v>40360</v>
      </c>
      <c r="I119" s="164">
        <v>5.8900000000000001E-4</v>
      </c>
      <c r="J119" s="159">
        <f t="shared" si="62"/>
        <v>40360</v>
      </c>
      <c r="K119" s="278">
        <f t="shared" si="63"/>
        <v>5.8900000000000001E-4</v>
      </c>
      <c r="M119" s="163">
        <v>38473</v>
      </c>
      <c r="N119" s="163">
        <v>38504</v>
      </c>
      <c r="O119" s="164">
        <v>5.0000000000000001E-3</v>
      </c>
      <c r="P119" s="159">
        <f t="shared" si="51"/>
        <v>38473</v>
      </c>
      <c r="Q119" s="292">
        <f t="shared" si="48"/>
        <v>5.0000000000000001E-3</v>
      </c>
      <c r="S119" s="163">
        <v>38504</v>
      </c>
      <c r="T119" s="164">
        <v>1.5900000000000001E-2</v>
      </c>
      <c r="U119" s="159">
        <f t="shared" si="64"/>
        <v>38504</v>
      </c>
      <c r="V119" s="285">
        <f t="shared" si="65"/>
        <v>1.5900000000000001E-2</v>
      </c>
      <c r="BM119" s="31" t="s">
        <v>197</v>
      </c>
      <c r="BN119" s="168">
        <f t="shared" si="49"/>
        <v>36739</v>
      </c>
      <c r="BO119" s="37">
        <v>0</v>
      </c>
      <c r="BP119" s="278">
        <f t="shared" si="42"/>
        <v>0</v>
      </c>
      <c r="BQ119" s="312">
        <f t="shared" si="52"/>
        <v>1.1656213848043593</v>
      </c>
      <c r="BS119" s="31" t="s">
        <v>43</v>
      </c>
      <c r="BT119" s="159">
        <f t="shared" si="67"/>
        <v>36739</v>
      </c>
      <c r="BU119" s="162">
        <f t="shared" si="68"/>
        <v>1.41E-2</v>
      </c>
      <c r="BV119" s="311">
        <f t="shared" si="53"/>
        <v>2.9876000000000014</v>
      </c>
      <c r="BX119" s="170" t="s">
        <v>43</v>
      </c>
      <c r="BY119" s="159">
        <f t="shared" si="45"/>
        <v>36739</v>
      </c>
      <c r="BZ119" s="162">
        <f t="shared" si="46"/>
        <v>1.41E-2</v>
      </c>
      <c r="CA119" s="162">
        <f t="shared" si="54"/>
        <v>2.2798420000000004</v>
      </c>
      <c r="CD119" s="41"/>
      <c r="CF119" s="31" t="s">
        <v>197</v>
      </c>
      <c r="CG119" s="168">
        <f t="shared" si="50"/>
        <v>36739</v>
      </c>
      <c r="CH119" s="37">
        <v>0</v>
      </c>
      <c r="CI119" s="314">
        <f t="shared" si="47"/>
        <v>0</v>
      </c>
      <c r="CJ119" s="312">
        <f t="shared" si="55"/>
        <v>1</v>
      </c>
      <c r="CN119" s="315">
        <f t="shared" si="56"/>
        <v>36739</v>
      </c>
      <c r="CO119" s="312">
        <f t="shared" si="57"/>
        <v>1</v>
      </c>
      <c r="CQ119" s="315">
        <f t="shared" si="58"/>
        <v>36739</v>
      </c>
      <c r="CR119" s="316">
        <f t="shared" si="59"/>
        <v>2.9876000000000014</v>
      </c>
      <c r="CW119" s="652" t="s">
        <v>380</v>
      </c>
      <c r="CX119" s="242" t="str">
        <f t="shared" si="66"/>
        <v>texto branco sobre fundo azulao</v>
      </c>
    </row>
    <row r="120" spans="2:102" ht="15" customHeight="1">
      <c r="B120" s="163">
        <v>39995</v>
      </c>
      <c r="C120" s="165">
        <v>465</v>
      </c>
      <c r="D120" s="274">
        <f t="shared" si="60"/>
        <v>39995</v>
      </c>
      <c r="E120" s="275">
        <f t="shared" si="61"/>
        <v>465</v>
      </c>
      <c r="G120" s="163">
        <v>40360</v>
      </c>
      <c r="H120" s="163">
        <v>40391</v>
      </c>
      <c r="I120" s="164">
        <v>1.1509999999999999E-3</v>
      </c>
      <c r="J120" s="159">
        <f t="shared" si="62"/>
        <v>40391</v>
      </c>
      <c r="K120" s="278">
        <f t="shared" si="63"/>
        <v>1.1509999999999999E-3</v>
      </c>
      <c r="M120" s="163">
        <v>38504</v>
      </c>
      <c r="N120" s="163">
        <v>38534</v>
      </c>
      <c r="O120" s="164">
        <v>5.0000000000000001E-3</v>
      </c>
      <c r="P120" s="159">
        <f t="shared" si="51"/>
        <v>38504</v>
      </c>
      <c r="Q120" s="292">
        <f t="shared" si="48"/>
        <v>5.0000000000000001E-3</v>
      </c>
      <c r="S120" s="163">
        <v>38534</v>
      </c>
      <c r="T120" s="164">
        <v>1.5100000000000001E-2</v>
      </c>
      <c r="U120" s="159">
        <f t="shared" si="64"/>
        <v>38534</v>
      </c>
      <c r="V120" s="285">
        <f t="shared" si="65"/>
        <v>1.5100000000000001E-2</v>
      </c>
      <c r="BM120" s="31" t="s">
        <v>197</v>
      </c>
      <c r="BN120" s="168">
        <f t="shared" si="49"/>
        <v>36770</v>
      </c>
      <c r="BO120" s="37">
        <v>0</v>
      </c>
      <c r="BP120" s="278">
        <f t="shared" si="42"/>
        <v>0</v>
      </c>
      <c r="BQ120" s="312">
        <f t="shared" si="52"/>
        <v>1.1656213848043593</v>
      </c>
      <c r="BS120" s="31" t="s">
        <v>43</v>
      </c>
      <c r="BT120" s="159">
        <f t="shared" si="67"/>
        <v>36770</v>
      </c>
      <c r="BU120" s="162">
        <f t="shared" si="68"/>
        <v>1.2200000000000001E-2</v>
      </c>
      <c r="BV120" s="311">
        <f t="shared" si="53"/>
        <v>2.9735000000000014</v>
      </c>
      <c r="BX120" s="170" t="s">
        <v>43</v>
      </c>
      <c r="BY120" s="159">
        <f t="shared" si="45"/>
        <v>36770</v>
      </c>
      <c r="BZ120" s="162">
        <f t="shared" si="46"/>
        <v>1.2200000000000001E-2</v>
      </c>
      <c r="CA120" s="162">
        <f t="shared" si="54"/>
        <v>2.2657420000000004</v>
      </c>
      <c r="CF120" s="31" t="s">
        <v>197</v>
      </c>
      <c r="CG120" s="168">
        <f t="shared" si="50"/>
        <v>36770</v>
      </c>
      <c r="CH120" s="37">
        <v>0</v>
      </c>
      <c r="CI120" s="314">
        <f t="shared" si="47"/>
        <v>0</v>
      </c>
      <c r="CJ120" s="312">
        <f t="shared" si="55"/>
        <v>1</v>
      </c>
      <c r="CN120" s="315">
        <f t="shared" si="56"/>
        <v>36770</v>
      </c>
      <c r="CO120" s="312">
        <f t="shared" si="57"/>
        <v>1</v>
      </c>
      <c r="CQ120" s="315">
        <f t="shared" si="58"/>
        <v>36770</v>
      </c>
      <c r="CR120" s="316">
        <f t="shared" si="59"/>
        <v>2.9735000000000014</v>
      </c>
      <c r="CW120" s="655" t="s">
        <v>381</v>
      </c>
      <c r="CX120" s="242" t="str">
        <f t="shared" si="66"/>
        <v>Centros de Inteligência</v>
      </c>
    </row>
    <row r="121" spans="2:102" ht="15" customHeight="1">
      <c r="B121" s="163">
        <v>40026</v>
      </c>
      <c r="C121" s="165">
        <v>465</v>
      </c>
      <c r="D121" s="274">
        <f t="shared" si="60"/>
        <v>40026</v>
      </c>
      <c r="E121" s="275">
        <f t="shared" si="61"/>
        <v>465</v>
      </c>
      <c r="G121" s="163">
        <v>40391</v>
      </c>
      <c r="H121" s="163">
        <v>40422</v>
      </c>
      <c r="I121" s="164">
        <v>9.0899999999999998E-4</v>
      </c>
      <c r="J121" s="159">
        <f t="shared" si="62"/>
        <v>40422</v>
      </c>
      <c r="K121" s="278">
        <f t="shared" si="63"/>
        <v>9.0899999999999998E-4</v>
      </c>
      <c r="M121" s="163">
        <v>38534</v>
      </c>
      <c r="N121" s="163">
        <v>38565</v>
      </c>
      <c r="O121" s="164">
        <v>5.0000000000000001E-3</v>
      </c>
      <c r="P121" s="159">
        <f t="shared" si="51"/>
        <v>38534</v>
      </c>
      <c r="Q121" s="292">
        <f t="shared" si="48"/>
        <v>5.0000000000000001E-3</v>
      </c>
      <c r="S121" s="163">
        <v>38565</v>
      </c>
      <c r="T121" s="164">
        <v>1.66E-2</v>
      </c>
      <c r="U121" s="159">
        <f t="shared" si="64"/>
        <v>38565</v>
      </c>
      <c r="V121" s="285">
        <f t="shared" si="65"/>
        <v>1.66E-2</v>
      </c>
      <c r="BM121" s="31" t="s">
        <v>197</v>
      </c>
      <c r="BN121" s="168">
        <f t="shared" si="49"/>
        <v>36800</v>
      </c>
      <c r="BO121" s="37">
        <v>0</v>
      </c>
      <c r="BP121" s="278">
        <f t="shared" si="42"/>
        <v>0</v>
      </c>
      <c r="BQ121" s="312">
        <f t="shared" si="52"/>
        <v>1.1656213848043593</v>
      </c>
      <c r="BS121" s="31" t="s">
        <v>43</v>
      </c>
      <c r="BT121" s="159">
        <f t="shared" si="67"/>
        <v>36800</v>
      </c>
      <c r="BU121" s="162">
        <f t="shared" si="68"/>
        <v>1.29E-2</v>
      </c>
      <c r="BV121" s="311">
        <f t="shared" si="53"/>
        <v>2.9613000000000014</v>
      </c>
      <c r="BX121" s="170" t="s">
        <v>43</v>
      </c>
      <c r="BY121" s="159">
        <f t="shared" si="45"/>
        <v>36800</v>
      </c>
      <c r="BZ121" s="162">
        <f t="shared" si="46"/>
        <v>1.29E-2</v>
      </c>
      <c r="CA121" s="162">
        <f t="shared" si="54"/>
        <v>2.2535420000000004</v>
      </c>
      <c r="CD121" s="41"/>
      <c r="CF121" s="31" t="s">
        <v>197</v>
      </c>
      <c r="CG121" s="168">
        <f t="shared" si="50"/>
        <v>36800</v>
      </c>
      <c r="CH121" s="37">
        <v>0</v>
      </c>
      <c r="CI121" s="314">
        <f t="shared" si="47"/>
        <v>0</v>
      </c>
      <c r="CJ121" s="312">
        <f t="shared" si="55"/>
        <v>1</v>
      </c>
      <c r="CN121" s="315">
        <f t="shared" si="56"/>
        <v>36800</v>
      </c>
      <c r="CO121" s="312">
        <f t="shared" si="57"/>
        <v>1</v>
      </c>
      <c r="CQ121" s="315">
        <f t="shared" si="58"/>
        <v>36800</v>
      </c>
      <c r="CR121" s="316">
        <f t="shared" si="59"/>
        <v>2.9613000000000014</v>
      </c>
      <c r="CW121"/>
      <c r="CX121" s="242" t="str">
        <f t="shared" si="66"/>
        <v/>
      </c>
    </row>
    <row r="122" spans="2:102" ht="15" customHeight="1">
      <c r="B122" s="163">
        <v>40057</v>
      </c>
      <c r="C122" s="165">
        <v>465</v>
      </c>
      <c r="D122" s="274">
        <f t="shared" si="60"/>
        <v>40057</v>
      </c>
      <c r="E122" s="275">
        <f t="shared" si="61"/>
        <v>465</v>
      </c>
      <c r="G122" s="163">
        <v>40422</v>
      </c>
      <c r="H122" s="163">
        <v>40452</v>
      </c>
      <c r="I122" s="164">
        <v>7.0200000000000004E-4</v>
      </c>
      <c r="J122" s="159">
        <f t="shared" si="62"/>
        <v>40452</v>
      </c>
      <c r="K122" s="278">
        <f t="shared" si="63"/>
        <v>7.0200000000000004E-4</v>
      </c>
      <c r="M122" s="163">
        <v>38565</v>
      </c>
      <c r="N122" s="163">
        <v>38596</v>
      </c>
      <c r="O122" s="164">
        <v>5.0000000000000001E-3</v>
      </c>
      <c r="P122" s="159">
        <f t="shared" si="51"/>
        <v>38565</v>
      </c>
      <c r="Q122" s="292">
        <f t="shared" si="48"/>
        <v>5.0000000000000001E-3</v>
      </c>
      <c r="S122" s="163">
        <v>38596</v>
      </c>
      <c r="T122" s="164">
        <v>1.4999999999999999E-2</v>
      </c>
      <c r="U122" s="159">
        <f t="shared" si="64"/>
        <v>38596</v>
      </c>
      <c r="V122" s="285">
        <f t="shared" si="65"/>
        <v>1.4999999999999999E-2</v>
      </c>
      <c r="BM122" s="31" t="s">
        <v>197</v>
      </c>
      <c r="BN122" s="168">
        <f t="shared" si="49"/>
        <v>36831</v>
      </c>
      <c r="BO122" s="37">
        <v>0</v>
      </c>
      <c r="BP122" s="278">
        <f t="shared" si="42"/>
        <v>0</v>
      </c>
      <c r="BQ122" s="312">
        <f t="shared" si="52"/>
        <v>1.1656213848043593</v>
      </c>
      <c r="BS122" s="31" t="s">
        <v>43</v>
      </c>
      <c r="BT122" s="159">
        <f t="shared" si="67"/>
        <v>36831</v>
      </c>
      <c r="BU122" s="162">
        <f t="shared" si="68"/>
        <v>1.2200000000000001E-2</v>
      </c>
      <c r="BV122" s="311">
        <f t="shared" si="53"/>
        <v>2.9484000000000012</v>
      </c>
      <c r="BX122" s="170" t="s">
        <v>43</v>
      </c>
      <c r="BY122" s="159">
        <f t="shared" si="45"/>
        <v>36831</v>
      </c>
      <c r="BZ122" s="162">
        <f t="shared" si="46"/>
        <v>1.2200000000000001E-2</v>
      </c>
      <c r="CA122" s="162">
        <f t="shared" si="54"/>
        <v>2.2406420000000002</v>
      </c>
      <c r="CF122" s="31" t="s">
        <v>197</v>
      </c>
      <c r="CG122" s="168">
        <f t="shared" si="50"/>
        <v>36831</v>
      </c>
      <c r="CH122" s="37">
        <v>0</v>
      </c>
      <c r="CI122" s="314">
        <f t="shared" si="47"/>
        <v>0</v>
      </c>
      <c r="CJ122" s="312">
        <f t="shared" si="55"/>
        <v>1</v>
      </c>
      <c r="CN122" s="315">
        <f t="shared" si="56"/>
        <v>36831</v>
      </c>
      <c r="CO122" s="312">
        <f t="shared" si="57"/>
        <v>1</v>
      </c>
      <c r="CQ122" s="315">
        <f t="shared" si="58"/>
        <v>36831</v>
      </c>
      <c r="CR122" s="316">
        <f t="shared" si="59"/>
        <v>2.9484000000000012</v>
      </c>
      <c r="CW122" s="652" t="s">
        <v>380</v>
      </c>
      <c r="CX122" s="242" t="str">
        <f t="shared" si="66"/>
        <v>texto branco sobre fundo azulao</v>
      </c>
    </row>
    <row r="123" spans="2:102" ht="15" customHeight="1">
      <c r="B123" s="163">
        <v>40087</v>
      </c>
      <c r="C123" s="165">
        <v>465</v>
      </c>
      <c r="D123" s="274">
        <f t="shared" si="60"/>
        <v>40087</v>
      </c>
      <c r="E123" s="275">
        <f t="shared" si="61"/>
        <v>465</v>
      </c>
      <c r="G123" s="163">
        <v>40452</v>
      </c>
      <c r="H123" s="163">
        <v>40483</v>
      </c>
      <c r="I123" s="164">
        <v>4.7199999999999998E-4</v>
      </c>
      <c r="J123" s="159">
        <f t="shared" si="62"/>
        <v>40483</v>
      </c>
      <c r="K123" s="278">
        <f t="shared" si="63"/>
        <v>4.7199999999999998E-4</v>
      </c>
      <c r="M123" s="163">
        <v>38596</v>
      </c>
      <c r="N123" s="163">
        <v>38626</v>
      </c>
      <c r="O123" s="164">
        <v>5.0000000000000001E-3</v>
      </c>
      <c r="P123" s="159">
        <f t="shared" si="51"/>
        <v>38596</v>
      </c>
      <c r="Q123" s="292">
        <f t="shared" si="48"/>
        <v>5.0000000000000001E-3</v>
      </c>
      <c r="S123" s="163">
        <v>38626</v>
      </c>
      <c r="T123" s="164">
        <v>1.41E-2</v>
      </c>
      <c r="U123" s="159">
        <f t="shared" si="64"/>
        <v>38626</v>
      </c>
      <c r="V123" s="285">
        <f t="shared" si="65"/>
        <v>1.41E-2</v>
      </c>
      <c r="BM123" s="31" t="s">
        <v>197</v>
      </c>
      <c r="BN123" s="168">
        <f t="shared" si="49"/>
        <v>36861</v>
      </c>
      <c r="BO123" s="37">
        <v>0</v>
      </c>
      <c r="BP123" s="278">
        <f t="shared" si="42"/>
        <v>0</v>
      </c>
      <c r="BQ123" s="312">
        <f t="shared" si="52"/>
        <v>1.1656213848043593</v>
      </c>
      <c r="BS123" s="31" t="s">
        <v>43</v>
      </c>
      <c r="BT123" s="159">
        <f t="shared" si="67"/>
        <v>36861</v>
      </c>
      <c r="BU123" s="162">
        <f t="shared" si="68"/>
        <v>1.2E-2</v>
      </c>
      <c r="BV123" s="311">
        <f t="shared" si="53"/>
        <v>2.9362000000000013</v>
      </c>
      <c r="BX123" s="170" t="s">
        <v>43</v>
      </c>
      <c r="BY123" s="159">
        <f t="shared" si="45"/>
        <v>36861</v>
      </c>
      <c r="BZ123" s="162">
        <f t="shared" si="46"/>
        <v>1.2E-2</v>
      </c>
      <c r="CA123" s="162">
        <f t="shared" si="54"/>
        <v>2.2284420000000003</v>
      </c>
      <c r="CF123" s="31" t="s">
        <v>197</v>
      </c>
      <c r="CG123" s="168">
        <f t="shared" si="50"/>
        <v>36861</v>
      </c>
      <c r="CH123" s="37">
        <v>0</v>
      </c>
      <c r="CI123" s="314">
        <f t="shared" si="47"/>
        <v>0</v>
      </c>
      <c r="CJ123" s="312">
        <f t="shared" si="55"/>
        <v>1</v>
      </c>
      <c r="CN123" s="315">
        <f t="shared" si="56"/>
        <v>36861</v>
      </c>
      <c r="CO123" s="312">
        <f t="shared" si="57"/>
        <v>1</v>
      </c>
      <c r="CQ123" s="315">
        <f t="shared" si="58"/>
        <v>36861</v>
      </c>
      <c r="CR123" s="316">
        <f t="shared" si="59"/>
        <v>2.9362000000000013</v>
      </c>
      <c r="CW123" s="655" t="s">
        <v>382</v>
      </c>
      <c r="CX123" s="242" t="str">
        <f t="shared" si="66"/>
        <v>Comissão de Soluções Fundiárias</v>
      </c>
    </row>
    <row r="124" spans="2:102" ht="15" customHeight="1">
      <c r="B124" s="163">
        <v>40118</v>
      </c>
      <c r="C124" s="165">
        <v>465</v>
      </c>
      <c r="D124" s="274">
        <f t="shared" si="60"/>
        <v>40118</v>
      </c>
      <c r="E124" s="275">
        <f t="shared" si="61"/>
        <v>465</v>
      </c>
      <c r="G124" s="163">
        <v>40483</v>
      </c>
      <c r="H124" s="163">
        <v>40513</v>
      </c>
      <c r="I124" s="164">
        <v>3.3599999999999998E-4</v>
      </c>
      <c r="J124" s="159">
        <f t="shared" si="62"/>
        <v>40513</v>
      </c>
      <c r="K124" s="278">
        <f t="shared" si="63"/>
        <v>3.3599999999999998E-4</v>
      </c>
      <c r="M124" s="163">
        <v>38626</v>
      </c>
      <c r="N124" s="163">
        <v>38657</v>
      </c>
      <c r="O124" s="164">
        <v>5.0000000000000001E-3</v>
      </c>
      <c r="P124" s="159">
        <f t="shared" si="51"/>
        <v>38626</v>
      </c>
      <c r="Q124" s="292">
        <f t="shared" si="48"/>
        <v>5.0000000000000001E-3</v>
      </c>
      <c r="S124" s="163">
        <v>38657</v>
      </c>
      <c r="T124" s="164">
        <v>1.38E-2</v>
      </c>
      <c r="U124" s="159">
        <f t="shared" si="64"/>
        <v>38657</v>
      </c>
      <c r="V124" s="285">
        <f t="shared" si="65"/>
        <v>1.38E-2</v>
      </c>
      <c r="BM124" s="166" t="s">
        <v>197</v>
      </c>
      <c r="BN124" s="168">
        <f t="shared" si="49"/>
        <v>36892</v>
      </c>
      <c r="BO124" s="37">
        <v>0</v>
      </c>
      <c r="BP124" s="278">
        <f t="shared" si="42"/>
        <v>0</v>
      </c>
      <c r="BQ124" s="312">
        <f t="shared" si="52"/>
        <v>1.1656213848043593</v>
      </c>
      <c r="BS124" s="31" t="s">
        <v>43</v>
      </c>
      <c r="BT124" s="159">
        <f t="shared" si="67"/>
        <v>36892</v>
      </c>
      <c r="BU124" s="162">
        <f t="shared" si="68"/>
        <v>1.2699999999999999E-2</v>
      </c>
      <c r="BV124" s="311">
        <f t="shared" si="53"/>
        <v>2.9242000000000012</v>
      </c>
      <c r="BX124" s="170" t="s">
        <v>43</v>
      </c>
      <c r="BY124" s="159">
        <f t="shared" si="45"/>
        <v>36892</v>
      </c>
      <c r="BZ124" s="162">
        <f t="shared" si="46"/>
        <v>1.2699999999999999E-2</v>
      </c>
      <c r="CA124" s="162">
        <f t="shared" si="54"/>
        <v>2.2164420000000002</v>
      </c>
      <c r="CF124" s="31" t="s">
        <v>197</v>
      </c>
      <c r="CG124" s="168">
        <f t="shared" si="50"/>
        <v>36892</v>
      </c>
      <c r="CH124" s="37">
        <v>0</v>
      </c>
      <c r="CI124" s="314">
        <f t="shared" si="47"/>
        <v>0</v>
      </c>
      <c r="CJ124" s="312">
        <f t="shared" si="55"/>
        <v>1</v>
      </c>
      <c r="CN124" s="315">
        <f t="shared" si="56"/>
        <v>36892</v>
      </c>
      <c r="CO124" s="312">
        <f t="shared" si="57"/>
        <v>1</v>
      </c>
      <c r="CQ124" s="315">
        <f t="shared" si="58"/>
        <v>36892</v>
      </c>
      <c r="CR124" s="316">
        <f t="shared" si="59"/>
        <v>2.9242000000000012</v>
      </c>
      <c r="CW124"/>
      <c r="CX124" s="242" t="str">
        <f t="shared" si="66"/>
        <v/>
      </c>
    </row>
    <row r="125" spans="2:102" ht="15" customHeight="1">
      <c r="B125" s="163">
        <v>40148</v>
      </c>
      <c r="C125" s="165">
        <v>465</v>
      </c>
      <c r="D125" s="274">
        <f t="shared" si="60"/>
        <v>40148</v>
      </c>
      <c r="E125" s="275">
        <f t="shared" si="61"/>
        <v>465</v>
      </c>
      <c r="G125" s="163">
        <v>40513</v>
      </c>
      <c r="H125" s="163">
        <v>40544</v>
      </c>
      <c r="I125" s="164">
        <v>1.4059999999999999E-3</v>
      </c>
      <c r="J125" s="159">
        <f t="shared" si="62"/>
        <v>40544</v>
      </c>
      <c r="K125" s="278">
        <f t="shared" si="63"/>
        <v>1.4059999999999999E-3</v>
      </c>
      <c r="M125" s="163">
        <v>38657</v>
      </c>
      <c r="N125" s="163">
        <v>38687</v>
      </c>
      <c r="O125" s="164">
        <v>5.0000000000000001E-3</v>
      </c>
      <c r="P125" s="159">
        <f t="shared" si="51"/>
        <v>38657</v>
      </c>
      <c r="Q125" s="292">
        <f t="shared" si="48"/>
        <v>5.0000000000000001E-3</v>
      </c>
      <c r="S125" s="163">
        <v>38687</v>
      </c>
      <c r="T125" s="164">
        <v>1.47E-2</v>
      </c>
      <c r="U125" s="159">
        <f t="shared" si="64"/>
        <v>38687</v>
      </c>
      <c r="V125" s="285">
        <f t="shared" si="65"/>
        <v>1.47E-2</v>
      </c>
      <c r="BM125" s="31" t="s">
        <v>197</v>
      </c>
      <c r="BN125" s="168">
        <f t="shared" si="49"/>
        <v>36923</v>
      </c>
      <c r="BO125" s="37">
        <v>0</v>
      </c>
      <c r="BP125" s="278">
        <f t="shared" si="42"/>
        <v>0</v>
      </c>
      <c r="BQ125" s="312">
        <f t="shared" si="52"/>
        <v>1.1656213848043593</v>
      </c>
      <c r="BS125" s="31" t="s">
        <v>43</v>
      </c>
      <c r="BT125" s="159">
        <f t="shared" si="67"/>
        <v>36923</v>
      </c>
      <c r="BU125" s="162">
        <f t="shared" si="68"/>
        <v>1.0200000000000001E-2</v>
      </c>
      <c r="BV125" s="311">
        <f t="shared" si="53"/>
        <v>2.9115000000000011</v>
      </c>
      <c r="BX125" s="170" t="s">
        <v>43</v>
      </c>
      <c r="BY125" s="159">
        <f t="shared" si="45"/>
        <v>36923</v>
      </c>
      <c r="BZ125" s="162">
        <f t="shared" si="46"/>
        <v>1.0200000000000001E-2</v>
      </c>
      <c r="CA125" s="162">
        <f t="shared" si="54"/>
        <v>2.2037420000000001</v>
      </c>
      <c r="CF125" s="31" t="s">
        <v>197</v>
      </c>
      <c r="CG125" s="168">
        <f t="shared" si="50"/>
        <v>36923</v>
      </c>
      <c r="CH125" s="37">
        <v>0</v>
      </c>
      <c r="CI125" s="314">
        <f t="shared" si="47"/>
        <v>0</v>
      </c>
      <c r="CJ125" s="312">
        <f t="shared" si="55"/>
        <v>1</v>
      </c>
      <c r="CN125" s="315">
        <f t="shared" si="56"/>
        <v>36923</v>
      </c>
      <c r="CO125" s="312">
        <f t="shared" si="57"/>
        <v>1</v>
      </c>
      <c r="CQ125" s="315">
        <f t="shared" si="58"/>
        <v>36923</v>
      </c>
      <c r="CR125" s="316">
        <f t="shared" si="59"/>
        <v>2.9115000000000011</v>
      </c>
      <c r="CW125" s="652" t="s">
        <v>380</v>
      </c>
      <c r="CX125" s="242" t="str">
        <f t="shared" si="66"/>
        <v>texto branco sobre fundo azulao</v>
      </c>
    </row>
    <row r="126" spans="2:102" ht="15" customHeight="1">
      <c r="B126" s="163">
        <v>40179</v>
      </c>
      <c r="C126" s="165">
        <v>510</v>
      </c>
      <c r="D126" s="274">
        <f t="shared" si="60"/>
        <v>40179</v>
      </c>
      <c r="E126" s="275">
        <f t="shared" si="61"/>
        <v>510</v>
      </c>
      <c r="G126" s="163">
        <v>40544</v>
      </c>
      <c r="H126" s="163">
        <v>40575</v>
      </c>
      <c r="I126" s="164">
        <v>7.1500000000000003E-4</v>
      </c>
      <c r="J126" s="159">
        <f t="shared" si="62"/>
        <v>40575</v>
      </c>
      <c r="K126" s="278">
        <f t="shared" si="63"/>
        <v>7.1500000000000003E-4</v>
      </c>
      <c r="M126" s="163">
        <v>38687</v>
      </c>
      <c r="N126" s="163">
        <v>38718</v>
      </c>
      <c r="O126" s="164">
        <v>5.0000000000000001E-3</v>
      </c>
      <c r="P126" s="159">
        <f t="shared" si="51"/>
        <v>38687</v>
      </c>
      <c r="Q126" s="292">
        <f t="shared" si="48"/>
        <v>5.0000000000000001E-3</v>
      </c>
      <c r="S126" s="163">
        <v>38718</v>
      </c>
      <c r="T126" s="164">
        <v>1.43E-2</v>
      </c>
      <c r="U126" s="159">
        <f t="shared" si="64"/>
        <v>38718</v>
      </c>
      <c r="V126" s="285">
        <f t="shared" si="65"/>
        <v>1.43E-2</v>
      </c>
      <c r="BM126" s="31" t="s">
        <v>197</v>
      </c>
      <c r="BN126" s="168">
        <f t="shared" si="49"/>
        <v>36951</v>
      </c>
      <c r="BO126" s="37">
        <v>0</v>
      </c>
      <c r="BP126" s="278">
        <f t="shared" si="42"/>
        <v>0</v>
      </c>
      <c r="BQ126" s="312">
        <f t="shared" si="52"/>
        <v>1.1656213848043593</v>
      </c>
      <c r="BS126" s="31" t="s">
        <v>43</v>
      </c>
      <c r="BT126" s="159">
        <f t="shared" si="67"/>
        <v>36951</v>
      </c>
      <c r="BU126" s="162">
        <f t="shared" si="68"/>
        <v>1.26E-2</v>
      </c>
      <c r="BV126" s="311">
        <f t="shared" si="53"/>
        <v>2.9013000000000009</v>
      </c>
      <c r="BX126" s="170" t="s">
        <v>43</v>
      </c>
      <c r="BY126" s="159">
        <f t="shared" si="45"/>
        <v>36951</v>
      </c>
      <c r="BZ126" s="162">
        <f t="shared" si="46"/>
        <v>1.26E-2</v>
      </c>
      <c r="CA126" s="162">
        <f t="shared" si="54"/>
        <v>2.1935419999999999</v>
      </c>
      <c r="CF126" s="31" t="s">
        <v>197</v>
      </c>
      <c r="CG126" s="168">
        <f t="shared" si="50"/>
        <v>36951</v>
      </c>
      <c r="CH126" s="37">
        <v>0</v>
      </c>
      <c r="CI126" s="314">
        <f t="shared" si="47"/>
        <v>0</v>
      </c>
      <c r="CJ126" s="312">
        <f t="shared" si="55"/>
        <v>1</v>
      </c>
      <c r="CN126" s="315">
        <f t="shared" si="56"/>
        <v>36951</v>
      </c>
      <c r="CO126" s="312">
        <f t="shared" si="57"/>
        <v>1</v>
      </c>
      <c r="CQ126" s="315">
        <f t="shared" si="58"/>
        <v>36951</v>
      </c>
      <c r="CR126" s="316">
        <f t="shared" si="59"/>
        <v>2.9013000000000009</v>
      </c>
      <c r="CW126" s="655" t="s">
        <v>383</v>
      </c>
      <c r="CX126" s="242" t="str">
        <f t="shared" si="66"/>
        <v>Comitê da Saúde</v>
      </c>
    </row>
    <row r="127" spans="2:102" ht="15" customHeight="1">
      <c r="B127" s="163">
        <v>40210</v>
      </c>
      <c r="C127" s="165">
        <v>510</v>
      </c>
      <c r="D127" s="274">
        <f t="shared" si="60"/>
        <v>40210</v>
      </c>
      <c r="E127" s="275">
        <f t="shared" si="61"/>
        <v>510</v>
      </c>
      <c r="G127" s="163">
        <v>40575</v>
      </c>
      <c r="H127" s="163">
        <v>40603</v>
      </c>
      <c r="I127" s="164">
        <v>5.2400000000000005E-4</v>
      </c>
      <c r="J127" s="159">
        <f t="shared" si="62"/>
        <v>40603</v>
      </c>
      <c r="K127" s="278">
        <f t="shared" si="63"/>
        <v>5.2400000000000005E-4</v>
      </c>
      <c r="M127" s="163">
        <v>38718</v>
      </c>
      <c r="N127" s="163">
        <v>38749</v>
      </c>
      <c r="O127" s="164">
        <v>5.0000000000000001E-3</v>
      </c>
      <c r="P127" s="159">
        <f t="shared" si="51"/>
        <v>38718</v>
      </c>
      <c r="Q127" s="292">
        <f t="shared" si="48"/>
        <v>5.0000000000000001E-3</v>
      </c>
      <c r="S127" s="163">
        <v>38749</v>
      </c>
      <c r="T127" s="164">
        <v>1.15E-2</v>
      </c>
      <c r="U127" s="159">
        <f t="shared" si="64"/>
        <v>38749</v>
      </c>
      <c r="V127" s="285">
        <f t="shared" si="65"/>
        <v>1.15E-2</v>
      </c>
      <c r="BM127" s="31" t="s">
        <v>197</v>
      </c>
      <c r="BN127" s="168">
        <f t="shared" si="49"/>
        <v>36982</v>
      </c>
      <c r="BO127" s="37">
        <v>0</v>
      </c>
      <c r="BP127" s="278">
        <f t="shared" si="42"/>
        <v>0</v>
      </c>
      <c r="BQ127" s="312">
        <f t="shared" si="52"/>
        <v>1.1656213848043593</v>
      </c>
      <c r="BS127" s="31" t="s">
        <v>43</v>
      </c>
      <c r="BT127" s="159">
        <f t="shared" si="67"/>
        <v>36982</v>
      </c>
      <c r="BU127" s="162">
        <f t="shared" si="68"/>
        <v>1.1900000000000001E-2</v>
      </c>
      <c r="BV127" s="311">
        <f t="shared" si="53"/>
        <v>2.8887000000000009</v>
      </c>
      <c r="BX127" s="170" t="s">
        <v>43</v>
      </c>
      <c r="BY127" s="159">
        <f t="shared" si="45"/>
        <v>36982</v>
      </c>
      <c r="BZ127" s="162">
        <f t="shared" si="46"/>
        <v>1.1900000000000001E-2</v>
      </c>
      <c r="CA127" s="162">
        <f t="shared" si="54"/>
        <v>2.1809419999999999</v>
      </c>
      <c r="CF127" s="31" t="s">
        <v>197</v>
      </c>
      <c r="CG127" s="168">
        <f t="shared" si="50"/>
        <v>36982</v>
      </c>
      <c r="CH127" s="37">
        <v>0</v>
      </c>
      <c r="CI127" s="314">
        <f t="shared" si="47"/>
        <v>0</v>
      </c>
      <c r="CJ127" s="312">
        <f t="shared" si="55"/>
        <v>1</v>
      </c>
      <c r="CN127" s="315">
        <f t="shared" si="56"/>
        <v>36982</v>
      </c>
      <c r="CO127" s="312">
        <f t="shared" si="57"/>
        <v>1</v>
      </c>
      <c r="CQ127" s="315">
        <f t="shared" si="58"/>
        <v>36982</v>
      </c>
      <c r="CR127" s="316">
        <f t="shared" si="59"/>
        <v>2.8887000000000009</v>
      </c>
      <c r="CW127"/>
      <c r="CX127" s="242" t="str">
        <f t="shared" si="66"/>
        <v/>
      </c>
    </row>
    <row r="128" spans="2:102" ht="15" customHeight="1">
      <c r="B128" s="163">
        <v>40238</v>
      </c>
      <c r="C128" s="165">
        <v>510</v>
      </c>
      <c r="D128" s="274">
        <f t="shared" si="60"/>
        <v>40238</v>
      </c>
      <c r="E128" s="275">
        <f t="shared" si="61"/>
        <v>510</v>
      </c>
      <c r="G128" s="163">
        <v>40603</v>
      </c>
      <c r="H128" s="163">
        <v>40634</v>
      </c>
      <c r="I128" s="164">
        <v>1.212E-3</v>
      </c>
      <c r="J128" s="159">
        <f t="shared" si="62"/>
        <v>40634</v>
      </c>
      <c r="K128" s="278">
        <f t="shared" si="63"/>
        <v>1.212E-3</v>
      </c>
      <c r="M128" s="163">
        <v>38749</v>
      </c>
      <c r="N128" s="163">
        <v>38777</v>
      </c>
      <c r="O128" s="164">
        <v>5.0000000000000001E-3</v>
      </c>
      <c r="P128" s="159">
        <f t="shared" si="51"/>
        <v>38749</v>
      </c>
      <c r="Q128" s="292">
        <f t="shared" si="48"/>
        <v>5.0000000000000001E-3</v>
      </c>
      <c r="S128" s="163">
        <v>38777</v>
      </c>
      <c r="T128" s="164">
        <v>1.4200000000000001E-2</v>
      </c>
      <c r="U128" s="159">
        <f t="shared" si="64"/>
        <v>38777</v>
      </c>
      <c r="V128" s="285">
        <f t="shared" si="65"/>
        <v>1.4200000000000001E-2</v>
      </c>
      <c r="BM128" s="31" t="s">
        <v>197</v>
      </c>
      <c r="BN128" s="168">
        <f t="shared" si="49"/>
        <v>37012</v>
      </c>
      <c r="BO128" s="37">
        <v>0</v>
      </c>
      <c r="BP128" s="278">
        <f t="shared" si="42"/>
        <v>0</v>
      </c>
      <c r="BQ128" s="312">
        <f t="shared" si="52"/>
        <v>1.1656213848043593</v>
      </c>
      <c r="BS128" s="31" t="s">
        <v>43</v>
      </c>
      <c r="BT128" s="159">
        <f t="shared" si="67"/>
        <v>37012</v>
      </c>
      <c r="BU128" s="162">
        <f t="shared" si="68"/>
        <v>1.34E-2</v>
      </c>
      <c r="BV128" s="311">
        <f t="shared" si="53"/>
        <v>2.8768000000000011</v>
      </c>
      <c r="BX128" s="170" t="s">
        <v>43</v>
      </c>
      <c r="BY128" s="159">
        <f t="shared" si="45"/>
        <v>37012</v>
      </c>
      <c r="BZ128" s="162">
        <f t="shared" si="46"/>
        <v>1.34E-2</v>
      </c>
      <c r="CA128" s="162">
        <f t="shared" si="54"/>
        <v>2.1690420000000001</v>
      </c>
      <c r="CF128" s="31" t="s">
        <v>197</v>
      </c>
      <c r="CG128" s="168">
        <f t="shared" si="50"/>
        <v>37012</v>
      </c>
      <c r="CH128" s="37">
        <v>0</v>
      </c>
      <c r="CI128" s="314">
        <f t="shared" si="47"/>
        <v>0</v>
      </c>
      <c r="CJ128" s="312">
        <f t="shared" si="55"/>
        <v>1</v>
      </c>
      <c r="CN128" s="315">
        <f t="shared" si="56"/>
        <v>37012</v>
      </c>
      <c r="CO128" s="312">
        <f t="shared" si="57"/>
        <v>1</v>
      </c>
      <c r="CQ128" s="315">
        <f t="shared" si="58"/>
        <v>37012</v>
      </c>
      <c r="CR128" s="316">
        <f t="shared" si="59"/>
        <v>2.8768000000000011</v>
      </c>
      <c r="CW128" s="652" t="s">
        <v>380</v>
      </c>
      <c r="CX128" s="242" t="str">
        <f t="shared" si="66"/>
        <v>texto branco sobre fundo azulao</v>
      </c>
    </row>
    <row r="129" spans="2:102" ht="15" customHeight="1">
      <c r="B129" s="163">
        <v>40269</v>
      </c>
      <c r="C129" s="165">
        <v>510</v>
      </c>
      <c r="D129" s="274">
        <f t="shared" si="60"/>
        <v>40269</v>
      </c>
      <c r="E129" s="275">
        <f t="shared" si="61"/>
        <v>510</v>
      </c>
      <c r="G129" s="163">
        <v>40634</v>
      </c>
      <c r="H129" s="163">
        <v>40664</v>
      </c>
      <c r="I129" s="164">
        <v>3.6900000000000002E-4</v>
      </c>
      <c r="J129" s="159">
        <f t="shared" si="62"/>
        <v>40664</v>
      </c>
      <c r="K129" s="278">
        <f t="shared" si="63"/>
        <v>3.6900000000000002E-4</v>
      </c>
      <c r="M129" s="163">
        <v>38777</v>
      </c>
      <c r="N129" s="163">
        <v>38808</v>
      </c>
      <c r="O129" s="164">
        <v>5.0000000000000001E-3</v>
      </c>
      <c r="P129" s="159">
        <f t="shared" si="51"/>
        <v>38777</v>
      </c>
      <c r="Q129" s="292">
        <f t="shared" si="48"/>
        <v>5.0000000000000001E-3</v>
      </c>
      <c r="S129" s="163">
        <v>38808</v>
      </c>
      <c r="T129" s="164">
        <v>1.0800000000000001E-2</v>
      </c>
      <c r="U129" s="159">
        <f t="shared" si="64"/>
        <v>38808</v>
      </c>
      <c r="V129" s="285">
        <f t="shared" si="65"/>
        <v>1.0800000000000001E-2</v>
      </c>
      <c r="BM129" s="31" t="s">
        <v>197</v>
      </c>
      <c r="BN129" s="168">
        <f t="shared" si="49"/>
        <v>37043</v>
      </c>
      <c r="BO129" s="37">
        <v>0</v>
      </c>
      <c r="BP129" s="278">
        <f t="shared" ref="BP129:BP192" si="69">+BO129</f>
        <v>0</v>
      </c>
      <c r="BQ129" s="312">
        <f t="shared" si="52"/>
        <v>1.1656213848043593</v>
      </c>
      <c r="BS129" s="31" t="s">
        <v>43</v>
      </c>
      <c r="BT129" s="159">
        <f t="shared" si="67"/>
        <v>37043</v>
      </c>
      <c r="BU129" s="162">
        <f t="shared" si="68"/>
        <v>1.2699999999999999E-2</v>
      </c>
      <c r="BV129" s="311">
        <f t="shared" si="53"/>
        <v>2.8634000000000013</v>
      </c>
      <c r="BX129" s="170" t="s">
        <v>43</v>
      </c>
      <c r="BY129" s="159">
        <f t="shared" ref="BY129:BY192" si="70">BT129</f>
        <v>37043</v>
      </c>
      <c r="BZ129" s="162">
        <f t="shared" ref="BZ129:BZ192" si="71">BU129</f>
        <v>1.2699999999999999E-2</v>
      </c>
      <c r="CA129" s="162">
        <f t="shared" si="54"/>
        <v>2.1556420000000003</v>
      </c>
      <c r="CF129" s="31" t="s">
        <v>197</v>
      </c>
      <c r="CG129" s="168">
        <f t="shared" si="50"/>
        <v>37043</v>
      </c>
      <c r="CH129" s="37">
        <v>0</v>
      </c>
      <c r="CI129" s="314">
        <f t="shared" ref="CI129:CI192" si="72">+CH129</f>
        <v>0</v>
      </c>
      <c r="CJ129" s="312">
        <f t="shared" si="55"/>
        <v>1</v>
      </c>
      <c r="CN129" s="315">
        <f t="shared" si="56"/>
        <v>37043</v>
      </c>
      <c r="CO129" s="312">
        <f t="shared" si="57"/>
        <v>1</v>
      </c>
      <c r="CQ129" s="315">
        <f t="shared" si="58"/>
        <v>37043</v>
      </c>
      <c r="CR129" s="316">
        <f t="shared" si="59"/>
        <v>2.8634000000000013</v>
      </c>
      <c r="CW129" s="655" t="s">
        <v>384</v>
      </c>
      <c r="CX129" s="242" t="str">
        <f t="shared" si="66"/>
        <v>Estatísticas</v>
      </c>
    </row>
    <row r="130" spans="2:102" ht="15" customHeight="1">
      <c r="B130" s="163">
        <v>40299</v>
      </c>
      <c r="C130" s="165">
        <v>510</v>
      </c>
      <c r="D130" s="274">
        <f t="shared" si="60"/>
        <v>40299</v>
      </c>
      <c r="E130" s="275">
        <f t="shared" si="61"/>
        <v>510</v>
      </c>
      <c r="G130" s="163">
        <v>40664</v>
      </c>
      <c r="H130" s="163">
        <v>40695</v>
      </c>
      <c r="I130" s="164">
        <v>1.57E-3</v>
      </c>
      <c r="J130" s="159">
        <f t="shared" si="62"/>
        <v>40695</v>
      </c>
      <c r="K130" s="278">
        <f t="shared" si="63"/>
        <v>1.57E-3</v>
      </c>
      <c r="M130" s="163">
        <v>38808</v>
      </c>
      <c r="N130" s="163">
        <v>38838</v>
      </c>
      <c r="O130" s="164">
        <v>5.0000000000000001E-3</v>
      </c>
      <c r="P130" s="159">
        <f t="shared" si="51"/>
        <v>38808</v>
      </c>
      <c r="Q130" s="292">
        <f t="shared" si="48"/>
        <v>5.0000000000000001E-3</v>
      </c>
      <c r="S130" s="163">
        <v>38838</v>
      </c>
      <c r="T130" s="164">
        <v>1.2800000000000001E-2</v>
      </c>
      <c r="U130" s="159">
        <f t="shared" si="64"/>
        <v>38838</v>
      </c>
      <c r="V130" s="285">
        <f t="shared" si="65"/>
        <v>1.2800000000000001E-2</v>
      </c>
      <c r="BM130" s="31" t="s">
        <v>197</v>
      </c>
      <c r="BN130" s="168">
        <f t="shared" si="49"/>
        <v>37073</v>
      </c>
      <c r="BO130" s="37">
        <v>0</v>
      </c>
      <c r="BP130" s="278">
        <f t="shared" si="69"/>
        <v>0</v>
      </c>
      <c r="BQ130" s="312">
        <f t="shared" si="52"/>
        <v>1.1656213848043593</v>
      </c>
      <c r="BS130" s="31" t="s">
        <v>43</v>
      </c>
      <c r="BT130" s="159">
        <f t="shared" si="67"/>
        <v>37073</v>
      </c>
      <c r="BU130" s="162">
        <f t="shared" si="68"/>
        <v>1.4999999999999999E-2</v>
      </c>
      <c r="BV130" s="311">
        <f t="shared" si="53"/>
        <v>2.8507000000000011</v>
      </c>
      <c r="BX130" s="170" t="s">
        <v>43</v>
      </c>
      <c r="BY130" s="159">
        <f t="shared" si="70"/>
        <v>37073</v>
      </c>
      <c r="BZ130" s="162">
        <f t="shared" si="71"/>
        <v>1.4999999999999999E-2</v>
      </c>
      <c r="CA130" s="162">
        <f t="shared" si="54"/>
        <v>2.1429420000000001</v>
      </c>
      <c r="CF130" s="31" t="s">
        <v>197</v>
      </c>
      <c r="CG130" s="168">
        <f t="shared" si="50"/>
        <v>37073</v>
      </c>
      <c r="CH130" s="37">
        <v>0</v>
      </c>
      <c r="CI130" s="314">
        <f t="shared" si="72"/>
        <v>0</v>
      </c>
      <c r="CJ130" s="312">
        <f t="shared" si="55"/>
        <v>1</v>
      </c>
      <c r="CN130" s="315">
        <f t="shared" si="56"/>
        <v>37073</v>
      </c>
      <c r="CO130" s="312">
        <f t="shared" si="57"/>
        <v>1</v>
      </c>
      <c r="CQ130" s="315">
        <f t="shared" si="58"/>
        <v>37073</v>
      </c>
      <c r="CR130" s="316">
        <f t="shared" si="59"/>
        <v>2.8507000000000011</v>
      </c>
      <c r="CW130"/>
      <c r="CX130" s="242" t="str">
        <f t="shared" si="66"/>
        <v/>
      </c>
    </row>
    <row r="131" spans="2:102" ht="15" customHeight="1">
      <c r="B131" s="163">
        <v>40330</v>
      </c>
      <c r="C131" s="165">
        <v>510</v>
      </c>
      <c r="D131" s="274">
        <f t="shared" si="60"/>
        <v>40330</v>
      </c>
      <c r="E131" s="275">
        <f t="shared" si="61"/>
        <v>510</v>
      </c>
      <c r="G131" s="163">
        <v>40695</v>
      </c>
      <c r="H131" s="163">
        <v>40725</v>
      </c>
      <c r="I131" s="164">
        <v>1.114E-3</v>
      </c>
      <c r="J131" s="159">
        <f t="shared" si="62"/>
        <v>40725</v>
      </c>
      <c r="K131" s="278">
        <f t="shared" si="63"/>
        <v>1.114E-3</v>
      </c>
      <c r="M131" s="163">
        <v>38838</v>
      </c>
      <c r="N131" s="163">
        <v>38869</v>
      </c>
      <c r="O131" s="164">
        <v>5.0000000000000001E-3</v>
      </c>
      <c r="P131" s="159">
        <f t="shared" si="51"/>
        <v>38838</v>
      </c>
      <c r="Q131" s="292">
        <f t="shared" ref="Q131:Q194" si="73">IF(AND(P131&lt;&gt;"",P132=""),0,IF(TRIM(O131)="","",IF(AND(P131&gt;=vdt_ec113,VOP_EC113="SIM"),0,O131)))</f>
        <v>5.0000000000000001E-3</v>
      </c>
      <c r="S131" s="163">
        <v>38869</v>
      </c>
      <c r="T131" s="164">
        <v>1.18E-2</v>
      </c>
      <c r="U131" s="159">
        <f t="shared" si="64"/>
        <v>38869</v>
      </c>
      <c r="V131" s="285">
        <f t="shared" si="65"/>
        <v>1.18E-2</v>
      </c>
      <c r="BM131" s="31" t="s">
        <v>197</v>
      </c>
      <c r="BN131" s="168">
        <f t="shared" ref="BN131:BN194" si="74">+EDATE(BN130,1)</f>
        <v>37104</v>
      </c>
      <c r="BO131" s="37">
        <v>0</v>
      </c>
      <c r="BP131" s="278">
        <f t="shared" si="69"/>
        <v>0</v>
      </c>
      <c r="BQ131" s="312">
        <f t="shared" si="52"/>
        <v>1.1656213848043593</v>
      </c>
      <c r="BS131" s="31" t="s">
        <v>43</v>
      </c>
      <c r="BT131" s="159">
        <f t="shared" si="67"/>
        <v>37104</v>
      </c>
      <c r="BU131" s="162">
        <f t="shared" si="68"/>
        <v>1.6E-2</v>
      </c>
      <c r="BV131" s="311">
        <f t="shared" si="53"/>
        <v>2.835700000000001</v>
      </c>
      <c r="BX131" s="170" t="s">
        <v>43</v>
      </c>
      <c r="BY131" s="159">
        <f t="shared" si="70"/>
        <v>37104</v>
      </c>
      <c r="BZ131" s="162">
        <f t="shared" si="71"/>
        <v>1.6E-2</v>
      </c>
      <c r="CA131" s="162">
        <f t="shared" si="54"/>
        <v>2.127942</v>
      </c>
      <c r="CF131" s="31" t="s">
        <v>197</v>
      </c>
      <c r="CG131" s="168">
        <f t="shared" ref="CG131:CG194" si="75">+EDATE(CG130,1)</f>
        <v>37104</v>
      </c>
      <c r="CH131" s="37">
        <v>0</v>
      </c>
      <c r="CI131" s="314">
        <f t="shared" si="72"/>
        <v>0</v>
      </c>
      <c r="CJ131" s="312">
        <f t="shared" si="55"/>
        <v>1</v>
      </c>
      <c r="CN131" s="315">
        <f t="shared" si="56"/>
        <v>37104</v>
      </c>
      <c r="CO131" s="312">
        <f t="shared" si="57"/>
        <v>1</v>
      </c>
      <c r="CQ131" s="315">
        <f t="shared" si="58"/>
        <v>37104</v>
      </c>
      <c r="CR131" s="316">
        <f t="shared" si="59"/>
        <v>2.835700000000001</v>
      </c>
      <c r="CW131" s="652" t="s">
        <v>380</v>
      </c>
      <c r="CX131" s="242" t="str">
        <f t="shared" si="66"/>
        <v>texto branco sobre fundo azulao</v>
      </c>
    </row>
    <row r="132" spans="2:102" ht="15" customHeight="1">
      <c r="B132" s="163">
        <v>40360</v>
      </c>
      <c r="C132" s="165">
        <v>510</v>
      </c>
      <c r="D132" s="274">
        <f t="shared" si="60"/>
        <v>40360</v>
      </c>
      <c r="E132" s="275">
        <f t="shared" si="61"/>
        <v>510</v>
      </c>
      <c r="G132" s="163">
        <v>40725</v>
      </c>
      <c r="H132" s="163">
        <v>40756</v>
      </c>
      <c r="I132" s="164">
        <v>1.2290000000000001E-3</v>
      </c>
      <c r="J132" s="159">
        <f t="shared" si="62"/>
        <v>40756</v>
      </c>
      <c r="K132" s="278">
        <f t="shared" si="63"/>
        <v>1.2290000000000001E-3</v>
      </c>
      <c r="M132" s="163">
        <v>38869</v>
      </c>
      <c r="N132" s="163">
        <v>38899</v>
      </c>
      <c r="O132" s="164">
        <v>5.0000000000000001E-3</v>
      </c>
      <c r="P132" s="159">
        <f t="shared" ref="P132:P195" si="76">IF(AND(TRIM(M132)="",TRIM(M131)&lt;&gt;""),EDATE(P131,1),IF(TRIM(M132)="","",TRUNC(M132,0)))</f>
        <v>38869</v>
      </c>
      <c r="Q132" s="292">
        <f t="shared" si="73"/>
        <v>5.0000000000000001E-3</v>
      </c>
      <c r="S132" s="163">
        <v>38899</v>
      </c>
      <c r="T132" s="164">
        <v>1.17E-2</v>
      </c>
      <c r="U132" s="159">
        <f t="shared" si="64"/>
        <v>38899</v>
      </c>
      <c r="V132" s="285">
        <f t="shared" si="65"/>
        <v>1.17E-2</v>
      </c>
      <c r="BM132" s="31" t="s">
        <v>197</v>
      </c>
      <c r="BN132" s="168">
        <f t="shared" si="74"/>
        <v>37135</v>
      </c>
      <c r="BO132" s="37">
        <v>0</v>
      </c>
      <c r="BP132" s="278">
        <f t="shared" si="69"/>
        <v>0</v>
      </c>
      <c r="BQ132" s="312">
        <f t="shared" si="52"/>
        <v>1.1656213848043593</v>
      </c>
      <c r="BS132" s="31" t="s">
        <v>43</v>
      </c>
      <c r="BT132" s="159">
        <f t="shared" si="67"/>
        <v>37135</v>
      </c>
      <c r="BU132" s="162">
        <f t="shared" si="68"/>
        <v>1.32E-2</v>
      </c>
      <c r="BV132" s="311">
        <f t="shared" si="53"/>
        <v>2.819700000000001</v>
      </c>
      <c r="BX132" s="170" t="s">
        <v>43</v>
      </c>
      <c r="BY132" s="159">
        <f t="shared" si="70"/>
        <v>37135</v>
      </c>
      <c r="BZ132" s="162">
        <f t="shared" si="71"/>
        <v>1.32E-2</v>
      </c>
      <c r="CA132" s="162">
        <f t="shared" si="54"/>
        <v>2.111942</v>
      </c>
      <c r="CF132" s="31" t="s">
        <v>197</v>
      </c>
      <c r="CG132" s="168">
        <f t="shared" si="75"/>
        <v>37135</v>
      </c>
      <c r="CH132" s="37">
        <v>0</v>
      </c>
      <c r="CI132" s="314">
        <f t="shared" si="72"/>
        <v>0</v>
      </c>
      <c r="CJ132" s="312">
        <f t="shared" si="55"/>
        <v>1</v>
      </c>
      <c r="CN132" s="315">
        <f t="shared" si="56"/>
        <v>37135</v>
      </c>
      <c r="CO132" s="312">
        <f t="shared" si="57"/>
        <v>1</v>
      </c>
      <c r="CQ132" s="315">
        <f t="shared" si="58"/>
        <v>37135</v>
      </c>
      <c r="CR132" s="316">
        <f t="shared" si="59"/>
        <v>2.819700000000001</v>
      </c>
      <c r="CW132" s="655" t="s">
        <v>385</v>
      </c>
      <c r="CX132" s="242" t="str">
        <f t="shared" si="66"/>
        <v>Fóruns do Poder Judiciário</v>
      </c>
    </row>
    <row r="133" spans="2:102" ht="15" customHeight="1">
      <c r="B133" s="163">
        <v>40391</v>
      </c>
      <c r="C133" s="165">
        <v>510</v>
      </c>
      <c r="D133" s="274">
        <f t="shared" si="60"/>
        <v>40391</v>
      </c>
      <c r="E133" s="275">
        <f t="shared" si="61"/>
        <v>510</v>
      </c>
      <c r="G133" s="163">
        <v>40756</v>
      </c>
      <c r="H133" s="163">
        <v>40787</v>
      </c>
      <c r="I133" s="164">
        <v>2.0760000000000002E-3</v>
      </c>
      <c r="J133" s="159">
        <f t="shared" si="62"/>
        <v>40787</v>
      </c>
      <c r="K133" s="278">
        <f t="shared" si="63"/>
        <v>2.0760000000000002E-3</v>
      </c>
      <c r="M133" s="163">
        <v>38899</v>
      </c>
      <c r="N133" s="163">
        <v>38930</v>
      </c>
      <c r="O133" s="164">
        <v>5.0000000000000001E-3</v>
      </c>
      <c r="P133" s="159">
        <f t="shared" si="76"/>
        <v>38899</v>
      </c>
      <c r="Q133" s="292">
        <f t="shared" si="73"/>
        <v>5.0000000000000001E-3</v>
      </c>
      <c r="S133" s="163">
        <v>38930</v>
      </c>
      <c r="T133" s="164">
        <v>1.26E-2</v>
      </c>
      <c r="U133" s="159">
        <f t="shared" si="64"/>
        <v>38930</v>
      </c>
      <c r="V133" s="285">
        <f t="shared" si="65"/>
        <v>1.26E-2</v>
      </c>
      <c r="BM133" s="31" t="s">
        <v>197</v>
      </c>
      <c r="BN133" s="168">
        <f t="shared" si="74"/>
        <v>37165</v>
      </c>
      <c r="BO133" s="37">
        <v>0</v>
      </c>
      <c r="BP133" s="278">
        <f t="shared" si="69"/>
        <v>0</v>
      </c>
      <c r="BQ133" s="312">
        <f t="shared" si="52"/>
        <v>1.1656213848043593</v>
      </c>
      <c r="BS133" s="31" t="s">
        <v>43</v>
      </c>
      <c r="BT133" s="159">
        <f t="shared" si="67"/>
        <v>37165</v>
      </c>
      <c r="BU133" s="162">
        <f t="shared" si="68"/>
        <v>1.5299999999999999E-2</v>
      </c>
      <c r="BV133" s="311">
        <f t="shared" si="53"/>
        <v>2.8065000000000011</v>
      </c>
      <c r="BX133" s="170" t="s">
        <v>43</v>
      </c>
      <c r="BY133" s="159">
        <f t="shared" si="70"/>
        <v>37165</v>
      </c>
      <c r="BZ133" s="162">
        <f t="shared" si="71"/>
        <v>1.5299999999999999E-2</v>
      </c>
      <c r="CA133" s="162">
        <f t="shared" si="54"/>
        <v>2.0987420000000001</v>
      </c>
      <c r="CF133" s="31" t="s">
        <v>197</v>
      </c>
      <c r="CG133" s="168">
        <f t="shared" si="75"/>
        <v>37165</v>
      </c>
      <c r="CH133" s="37">
        <v>0</v>
      </c>
      <c r="CI133" s="314">
        <f t="shared" si="72"/>
        <v>0</v>
      </c>
      <c r="CJ133" s="312">
        <f t="shared" si="55"/>
        <v>1</v>
      </c>
      <c r="CN133" s="315">
        <f t="shared" si="56"/>
        <v>37165</v>
      </c>
      <c r="CO133" s="312">
        <f t="shared" si="57"/>
        <v>1</v>
      </c>
      <c r="CQ133" s="315">
        <f t="shared" si="58"/>
        <v>37165</v>
      </c>
      <c r="CR133" s="316">
        <f t="shared" si="59"/>
        <v>2.8065000000000011</v>
      </c>
      <c r="CW133"/>
      <c r="CX133" s="242" t="str">
        <f t="shared" si="66"/>
        <v/>
      </c>
    </row>
    <row r="134" spans="2:102" ht="15" customHeight="1">
      <c r="B134" s="163">
        <v>40422</v>
      </c>
      <c r="C134" s="165">
        <v>510</v>
      </c>
      <c r="D134" s="274">
        <f t="shared" si="60"/>
        <v>40422</v>
      </c>
      <c r="E134" s="275">
        <f t="shared" si="61"/>
        <v>510</v>
      </c>
      <c r="G134" s="163">
        <v>40787</v>
      </c>
      <c r="H134" s="163">
        <v>40817</v>
      </c>
      <c r="I134" s="164">
        <v>1.003E-3</v>
      </c>
      <c r="J134" s="159">
        <f t="shared" si="62"/>
        <v>40817</v>
      </c>
      <c r="K134" s="278">
        <f t="shared" si="63"/>
        <v>1.003E-3</v>
      </c>
      <c r="M134" s="163">
        <v>38930</v>
      </c>
      <c r="N134" s="163">
        <v>38961</v>
      </c>
      <c r="O134" s="164">
        <v>5.0000000000000001E-3</v>
      </c>
      <c r="P134" s="159">
        <f t="shared" si="76"/>
        <v>38930</v>
      </c>
      <c r="Q134" s="292">
        <f t="shared" si="73"/>
        <v>5.0000000000000001E-3</v>
      </c>
      <c r="S134" s="163">
        <v>38961</v>
      </c>
      <c r="T134" s="164">
        <v>1.06E-2</v>
      </c>
      <c r="U134" s="159">
        <f t="shared" si="64"/>
        <v>38961</v>
      </c>
      <c r="V134" s="285">
        <f t="shared" si="65"/>
        <v>1.06E-2</v>
      </c>
      <c r="BM134" s="31" t="s">
        <v>197</v>
      </c>
      <c r="BN134" s="168">
        <f t="shared" si="74"/>
        <v>37196</v>
      </c>
      <c r="BO134" s="37">
        <v>0</v>
      </c>
      <c r="BP134" s="278">
        <f t="shared" si="69"/>
        <v>0</v>
      </c>
      <c r="BQ134" s="312">
        <f t="shared" ref="BQ134:BQ197" si="77">+IF(BN134="","",IF(BQ135="",1,BQ135)*(1+BP134))</f>
        <v>1.1656213848043593</v>
      </c>
      <c r="BS134" s="31" t="s">
        <v>43</v>
      </c>
      <c r="BT134" s="159">
        <f t="shared" si="67"/>
        <v>37196</v>
      </c>
      <c r="BU134" s="162">
        <f t="shared" si="68"/>
        <v>1.3899999999999999E-2</v>
      </c>
      <c r="BV134" s="311">
        <f t="shared" ref="BV134:BV197" si="78">+IF(BU134="","",IF(AND(BU134&lt;&gt;"",BU135=""),BU134,BU134+BV135))</f>
        <v>2.7912000000000012</v>
      </c>
      <c r="BX134" s="170" t="s">
        <v>43</v>
      </c>
      <c r="BY134" s="159">
        <f t="shared" si="70"/>
        <v>37196</v>
      </c>
      <c r="BZ134" s="162">
        <f t="shared" si="71"/>
        <v>1.3899999999999999E-2</v>
      </c>
      <c r="CA134" s="162">
        <f t="shared" ref="CA134:CA197" si="79">+IF(BZ134="","",BZ134+IF(CA135="",0,CA135))</f>
        <v>2.0834420000000002</v>
      </c>
      <c r="CF134" s="31" t="s">
        <v>197</v>
      </c>
      <c r="CG134" s="168">
        <f t="shared" si="75"/>
        <v>37196</v>
      </c>
      <c r="CH134" s="37">
        <v>0</v>
      </c>
      <c r="CI134" s="314">
        <f t="shared" si="72"/>
        <v>0</v>
      </c>
      <c r="CJ134" s="312">
        <f t="shared" ref="CJ134:CJ171" si="80">+IF(BQ134="","",IF(CJ135="",1,CJ135)*(1+CI134))</f>
        <v>1</v>
      </c>
      <c r="CN134" s="315">
        <f t="shared" ref="CN134:CN197" si="81">+IF(BN134="","",BN134)</f>
        <v>37196</v>
      </c>
      <c r="CO134" s="312">
        <f t="shared" ref="CO134:CO197" si="82">+IF(CN134="","",IF(COD_JCM=3,1,IF(COD_JCM=1,CJ134,BQ134)))</f>
        <v>1</v>
      </c>
      <c r="CQ134" s="315">
        <f t="shared" ref="CQ134:CQ197" si="83">+IF(BT134="","",BT134)</f>
        <v>37196</v>
      </c>
      <c r="CR134" s="316">
        <f t="shared" ref="CR134:CR197" si="84">+IF(CQ134="","",IF(COD_JCM=3,0,IF(COD_JCM=1,BV134,CA134)))</f>
        <v>2.7912000000000012</v>
      </c>
      <c r="CW134" s="652" t="s">
        <v>380</v>
      </c>
      <c r="CX134" s="242" t="str">
        <f t="shared" si="66"/>
        <v>texto branco sobre fundo azulao</v>
      </c>
    </row>
    <row r="135" spans="2:102" ht="15" customHeight="1">
      <c r="B135" s="163">
        <v>40452</v>
      </c>
      <c r="C135" s="165">
        <v>510</v>
      </c>
      <c r="D135" s="274">
        <f t="shared" ref="D135:D198" si="85">+IF(TRIM(B135)="","",TRUNC(B135,0))</f>
        <v>40452</v>
      </c>
      <c r="E135" s="275">
        <f t="shared" ref="E135:E198" si="86">+IF(TRIM(C135)="","",C135)</f>
        <v>510</v>
      </c>
      <c r="G135" s="163">
        <v>40817</v>
      </c>
      <c r="H135" s="163">
        <v>40848</v>
      </c>
      <c r="I135" s="164">
        <v>6.2E-4</v>
      </c>
      <c r="J135" s="159">
        <f t="shared" ref="J135:J198" si="87">+IF(AND(TRIM(H135)="",TRIM(H134)&lt;&gt;""),EDATE(J134,1),IF(TRIM(H135)="","",TRUNC(H135,0)))</f>
        <v>40848</v>
      </c>
      <c r="K135" s="278">
        <f t="shared" ref="K135:K198" si="88">+IF(AND(I135="",I134&lt;&gt;""),0,IF(TRIM(I135)="","",IF(AND(J135&gt;=vdt_ec113,VOP_EC113="SIM"),0,I135)))</f>
        <v>6.2E-4</v>
      </c>
      <c r="M135" s="163">
        <v>38961</v>
      </c>
      <c r="N135" s="163">
        <v>38991</v>
      </c>
      <c r="O135" s="164">
        <v>5.0000000000000001E-3</v>
      </c>
      <c r="P135" s="159">
        <f t="shared" si="76"/>
        <v>38961</v>
      </c>
      <c r="Q135" s="292">
        <f t="shared" si="73"/>
        <v>5.0000000000000001E-3</v>
      </c>
      <c r="S135" s="163">
        <v>38991</v>
      </c>
      <c r="T135" s="164">
        <v>1.09E-2</v>
      </c>
      <c r="U135" s="159">
        <f t="shared" ref="U135:U198" si="89">+IF(AND(TRIM(S135)="",TRIM(S134)&lt;&gt;""),EDATE(U134,1),IF(TRIM(S135)="","",TRUNC(S135,0)))</f>
        <v>38991</v>
      </c>
      <c r="V135" s="285">
        <f t="shared" ref="V135:V198" si="90">+IF(AND(T135="",T134&lt;&gt;""),0,IF(TRIM(T135)="","",IF(AND(U135&gt;=vdt_ec113,VOP_EC113="SIM"),0,T135)))</f>
        <v>1.09E-2</v>
      </c>
      <c r="BM135" s="31" t="s">
        <v>197</v>
      </c>
      <c r="BN135" s="168">
        <f t="shared" si="74"/>
        <v>37226</v>
      </c>
      <c r="BO135" s="37">
        <v>0</v>
      </c>
      <c r="BP135" s="278">
        <f t="shared" si="69"/>
        <v>0</v>
      </c>
      <c r="BQ135" s="312">
        <f t="shared" si="77"/>
        <v>1.1656213848043593</v>
      </c>
      <c r="BS135" s="31" t="s">
        <v>43</v>
      </c>
      <c r="BT135" s="159">
        <f t="shared" si="67"/>
        <v>37226</v>
      </c>
      <c r="BU135" s="162">
        <f t="shared" si="68"/>
        <v>1.3899999999999999E-2</v>
      </c>
      <c r="BV135" s="311">
        <f t="shared" si="78"/>
        <v>2.7773000000000012</v>
      </c>
      <c r="BX135" s="170" t="s">
        <v>43</v>
      </c>
      <c r="BY135" s="159">
        <f t="shared" si="70"/>
        <v>37226</v>
      </c>
      <c r="BZ135" s="162">
        <f t="shared" si="71"/>
        <v>1.3899999999999999E-2</v>
      </c>
      <c r="CA135" s="162">
        <f t="shared" si="79"/>
        <v>2.0695420000000002</v>
      </c>
      <c r="CF135" s="31" t="s">
        <v>197</v>
      </c>
      <c r="CG135" s="168">
        <f t="shared" si="75"/>
        <v>37226</v>
      </c>
      <c r="CH135" s="37">
        <v>0</v>
      </c>
      <c r="CI135" s="314">
        <f t="shared" si="72"/>
        <v>0</v>
      </c>
      <c r="CJ135" s="312">
        <f t="shared" si="80"/>
        <v>1</v>
      </c>
      <c r="CN135" s="315">
        <f t="shared" si="81"/>
        <v>37226</v>
      </c>
      <c r="CO135" s="312">
        <f t="shared" si="82"/>
        <v>1</v>
      </c>
      <c r="CQ135" s="315">
        <f t="shared" si="83"/>
        <v>37226</v>
      </c>
      <c r="CR135" s="316">
        <f t="shared" si="84"/>
        <v>2.7773000000000012</v>
      </c>
      <c r="CW135" s="655" t="s">
        <v>386</v>
      </c>
      <c r="CX135" s="242" t="str">
        <f t="shared" si="66"/>
        <v>Laboratórios de Inovação</v>
      </c>
    </row>
    <row r="136" spans="2:102" ht="15" customHeight="1">
      <c r="B136" s="163">
        <v>40483</v>
      </c>
      <c r="C136" s="165">
        <v>510</v>
      </c>
      <c r="D136" s="274">
        <f t="shared" si="85"/>
        <v>40483</v>
      </c>
      <c r="E136" s="275">
        <f t="shared" si="86"/>
        <v>510</v>
      </c>
      <c r="G136" s="163">
        <v>40848</v>
      </c>
      <c r="H136" s="163">
        <v>40878</v>
      </c>
      <c r="I136" s="164">
        <v>6.4499999999999996E-4</v>
      </c>
      <c r="J136" s="159">
        <f t="shared" si="87"/>
        <v>40878</v>
      </c>
      <c r="K136" s="278">
        <f t="shared" si="88"/>
        <v>6.4499999999999996E-4</v>
      </c>
      <c r="M136" s="163">
        <v>38991</v>
      </c>
      <c r="N136" s="163">
        <v>39022</v>
      </c>
      <c r="O136" s="164">
        <v>5.0000000000000001E-3</v>
      </c>
      <c r="P136" s="159">
        <f t="shared" si="76"/>
        <v>38991</v>
      </c>
      <c r="Q136" s="292">
        <f t="shared" si="73"/>
        <v>5.0000000000000001E-3</v>
      </c>
      <c r="S136" s="163">
        <v>39022</v>
      </c>
      <c r="T136" s="164">
        <v>1.0200000000000001E-2</v>
      </c>
      <c r="U136" s="159">
        <f t="shared" si="89"/>
        <v>39022</v>
      </c>
      <c r="V136" s="285">
        <f t="shared" si="90"/>
        <v>1.0200000000000001E-2</v>
      </c>
      <c r="BM136" s="31" t="s">
        <v>197</v>
      </c>
      <c r="BN136" s="168">
        <f t="shared" si="74"/>
        <v>37257</v>
      </c>
      <c r="BO136" s="37">
        <v>0</v>
      </c>
      <c r="BP136" s="278">
        <f t="shared" si="69"/>
        <v>0</v>
      </c>
      <c r="BQ136" s="312">
        <f t="shared" si="77"/>
        <v>1.1656213848043593</v>
      </c>
      <c r="BS136" s="31" t="s">
        <v>43</v>
      </c>
      <c r="BT136" s="159">
        <f t="shared" si="67"/>
        <v>37257</v>
      </c>
      <c r="BU136" s="162">
        <f t="shared" si="68"/>
        <v>1.5299999999999999E-2</v>
      </c>
      <c r="BV136" s="311">
        <f t="shared" si="78"/>
        <v>2.7634000000000012</v>
      </c>
      <c r="BX136" s="170" t="s">
        <v>43</v>
      </c>
      <c r="BY136" s="159">
        <f t="shared" si="70"/>
        <v>37257</v>
      </c>
      <c r="BZ136" s="162">
        <f t="shared" si="71"/>
        <v>1.5299999999999999E-2</v>
      </c>
      <c r="CA136" s="162">
        <f t="shared" si="79"/>
        <v>2.0556420000000002</v>
      </c>
      <c r="CF136" s="31" t="s">
        <v>197</v>
      </c>
      <c r="CG136" s="168">
        <f t="shared" si="75"/>
        <v>37257</v>
      </c>
      <c r="CH136" s="37">
        <v>0</v>
      </c>
      <c r="CI136" s="314">
        <f t="shared" si="72"/>
        <v>0</v>
      </c>
      <c r="CJ136" s="312">
        <f t="shared" si="80"/>
        <v>1</v>
      </c>
      <c r="CN136" s="315">
        <f t="shared" si="81"/>
        <v>37257</v>
      </c>
      <c r="CO136" s="312">
        <f t="shared" si="82"/>
        <v>1</v>
      </c>
      <c r="CQ136" s="315">
        <f t="shared" si="83"/>
        <v>37257</v>
      </c>
      <c r="CR136" s="316">
        <f t="shared" si="84"/>
        <v>2.7634000000000012</v>
      </c>
      <c r="CW136"/>
      <c r="CX136" s="242" t="str">
        <f t="shared" si="66"/>
        <v/>
      </c>
    </row>
    <row r="137" spans="2:102" ht="15" customHeight="1">
      <c r="B137" s="163">
        <v>40513</v>
      </c>
      <c r="C137" s="165">
        <v>510</v>
      </c>
      <c r="D137" s="274">
        <f t="shared" si="85"/>
        <v>40513</v>
      </c>
      <c r="E137" s="275">
        <f t="shared" si="86"/>
        <v>510</v>
      </c>
      <c r="G137" s="163">
        <v>40878</v>
      </c>
      <c r="H137" s="163">
        <v>40909</v>
      </c>
      <c r="I137" s="164">
        <v>9.3700000000000001E-4</v>
      </c>
      <c r="J137" s="159">
        <f t="shared" si="87"/>
        <v>40909</v>
      </c>
      <c r="K137" s="278">
        <f t="shared" si="88"/>
        <v>9.3700000000000001E-4</v>
      </c>
      <c r="M137" s="163">
        <v>39022</v>
      </c>
      <c r="N137" s="163">
        <v>39052</v>
      </c>
      <c r="O137" s="164">
        <v>5.0000000000000001E-3</v>
      </c>
      <c r="P137" s="159">
        <f t="shared" si="76"/>
        <v>39022</v>
      </c>
      <c r="Q137" s="292">
        <f t="shared" si="73"/>
        <v>5.0000000000000001E-3</v>
      </c>
      <c r="S137" s="163">
        <v>39052</v>
      </c>
      <c r="T137" s="164">
        <v>9.9000000000000008E-3</v>
      </c>
      <c r="U137" s="159">
        <f t="shared" si="89"/>
        <v>39052</v>
      </c>
      <c r="V137" s="285">
        <f t="shared" si="90"/>
        <v>9.9000000000000008E-3</v>
      </c>
      <c r="BM137" s="31" t="s">
        <v>197</v>
      </c>
      <c r="BN137" s="168">
        <f t="shared" si="74"/>
        <v>37288</v>
      </c>
      <c r="BO137" s="37">
        <v>0</v>
      </c>
      <c r="BP137" s="278">
        <f t="shared" si="69"/>
        <v>0</v>
      </c>
      <c r="BQ137" s="312">
        <f t="shared" si="77"/>
        <v>1.1656213848043593</v>
      </c>
      <c r="BS137" s="31" t="s">
        <v>43</v>
      </c>
      <c r="BT137" s="159">
        <f t="shared" si="67"/>
        <v>37288</v>
      </c>
      <c r="BU137" s="162">
        <f t="shared" si="68"/>
        <v>1.2500000000000001E-2</v>
      </c>
      <c r="BV137" s="311">
        <f t="shared" si="78"/>
        <v>2.7481000000000013</v>
      </c>
      <c r="BX137" s="170" t="s">
        <v>43</v>
      </c>
      <c r="BY137" s="159">
        <f t="shared" si="70"/>
        <v>37288</v>
      </c>
      <c r="BZ137" s="162">
        <f t="shared" si="71"/>
        <v>1.2500000000000001E-2</v>
      </c>
      <c r="CA137" s="162">
        <f t="shared" si="79"/>
        <v>2.0403420000000003</v>
      </c>
      <c r="CF137" s="31" t="s">
        <v>197</v>
      </c>
      <c r="CG137" s="168">
        <f t="shared" si="75"/>
        <v>37288</v>
      </c>
      <c r="CH137" s="37">
        <v>0</v>
      </c>
      <c r="CI137" s="314">
        <f t="shared" si="72"/>
        <v>0</v>
      </c>
      <c r="CJ137" s="312">
        <f t="shared" si="80"/>
        <v>1</v>
      </c>
      <c r="CN137" s="315">
        <f t="shared" si="81"/>
        <v>37288</v>
      </c>
      <c r="CO137" s="312">
        <f t="shared" si="82"/>
        <v>1</v>
      </c>
      <c r="CQ137" s="315">
        <f t="shared" si="83"/>
        <v>37288</v>
      </c>
      <c r="CR137" s="316">
        <f t="shared" si="84"/>
        <v>2.7481000000000013</v>
      </c>
      <c r="CW137" s="652" t="s">
        <v>380</v>
      </c>
      <c r="CX137" s="242" t="str">
        <f t="shared" si="66"/>
        <v>texto branco sobre fundo azulao</v>
      </c>
    </row>
    <row r="138" spans="2:102" ht="15" customHeight="1">
      <c r="B138" s="163">
        <v>40544</v>
      </c>
      <c r="C138" s="165">
        <v>540</v>
      </c>
      <c r="D138" s="274">
        <f t="shared" si="85"/>
        <v>40544</v>
      </c>
      <c r="E138" s="275">
        <f t="shared" si="86"/>
        <v>540</v>
      </c>
      <c r="G138" s="163">
        <v>40909</v>
      </c>
      <c r="H138" s="163">
        <v>40940</v>
      </c>
      <c r="I138" s="164">
        <v>8.6399999999999997E-4</v>
      </c>
      <c r="J138" s="159">
        <f t="shared" si="87"/>
        <v>40940</v>
      </c>
      <c r="K138" s="278">
        <f t="shared" si="88"/>
        <v>8.6399999999999997E-4</v>
      </c>
      <c r="M138" s="163">
        <v>39052</v>
      </c>
      <c r="N138" s="163">
        <v>39083</v>
      </c>
      <c r="O138" s="164">
        <v>5.0000000000000001E-3</v>
      </c>
      <c r="P138" s="159">
        <f t="shared" si="76"/>
        <v>39052</v>
      </c>
      <c r="Q138" s="292">
        <f t="shared" si="73"/>
        <v>5.0000000000000001E-3</v>
      </c>
      <c r="S138" s="163">
        <v>39083</v>
      </c>
      <c r="T138" s="164">
        <v>1.0800000000000001E-2</v>
      </c>
      <c r="U138" s="159">
        <f t="shared" si="89"/>
        <v>39083</v>
      </c>
      <c r="V138" s="285">
        <f t="shared" si="90"/>
        <v>1.0800000000000001E-2</v>
      </c>
      <c r="BM138" s="31" t="s">
        <v>197</v>
      </c>
      <c r="BN138" s="168">
        <f t="shared" si="74"/>
        <v>37316</v>
      </c>
      <c r="BO138" s="37">
        <v>0</v>
      </c>
      <c r="BP138" s="278">
        <f t="shared" si="69"/>
        <v>0</v>
      </c>
      <c r="BQ138" s="312">
        <f t="shared" si="77"/>
        <v>1.1656213848043593</v>
      </c>
      <c r="BS138" s="31" t="s">
        <v>43</v>
      </c>
      <c r="BT138" s="159">
        <f t="shared" si="67"/>
        <v>37316</v>
      </c>
      <c r="BU138" s="162">
        <f t="shared" si="68"/>
        <v>1.37E-2</v>
      </c>
      <c r="BV138" s="311">
        <f t="shared" si="78"/>
        <v>2.7356000000000011</v>
      </c>
      <c r="BX138" s="170" t="s">
        <v>43</v>
      </c>
      <c r="BY138" s="159">
        <f t="shared" si="70"/>
        <v>37316</v>
      </c>
      <c r="BZ138" s="162">
        <f t="shared" si="71"/>
        <v>1.37E-2</v>
      </c>
      <c r="CA138" s="162">
        <f t="shared" si="79"/>
        <v>2.0278420000000001</v>
      </c>
      <c r="CF138" s="31" t="s">
        <v>197</v>
      </c>
      <c r="CG138" s="168">
        <f t="shared" si="75"/>
        <v>37316</v>
      </c>
      <c r="CH138" s="37">
        <v>0</v>
      </c>
      <c r="CI138" s="314">
        <f t="shared" si="72"/>
        <v>0</v>
      </c>
      <c r="CJ138" s="312">
        <f t="shared" si="80"/>
        <v>1</v>
      </c>
      <c r="CN138" s="315">
        <f t="shared" si="81"/>
        <v>37316</v>
      </c>
      <c r="CO138" s="312">
        <f t="shared" si="82"/>
        <v>1</v>
      </c>
      <c r="CQ138" s="315">
        <f t="shared" si="83"/>
        <v>37316</v>
      </c>
      <c r="CR138" s="316">
        <f t="shared" si="84"/>
        <v>2.7356000000000011</v>
      </c>
      <c r="CW138" s="655" t="s">
        <v>387</v>
      </c>
      <c r="CX138" s="242" t="str">
        <f t="shared" si="66"/>
        <v>Memória Institucional</v>
      </c>
    </row>
    <row r="139" spans="2:102" ht="15" customHeight="1">
      <c r="B139" s="163">
        <v>40575</v>
      </c>
      <c r="C139" s="165">
        <v>540</v>
      </c>
      <c r="D139" s="274">
        <f t="shared" si="85"/>
        <v>40575</v>
      </c>
      <c r="E139" s="275">
        <f t="shared" si="86"/>
        <v>540</v>
      </c>
      <c r="G139" s="163">
        <v>40940</v>
      </c>
      <c r="H139" s="163">
        <v>40969</v>
      </c>
      <c r="I139" s="164">
        <v>0</v>
      </c>
      <c r="J139" s="159">
        <f t="shared" si="87"/>
        <v>40969</v>
      </c>
      <c r="K139" s="278">
        <f t="shared" si="88"/>
        <v>0</v>
      </c>
      <c r="M139" s="163">
        <v>39083</v>
      </c>
      <c r="N139" s="163">
        <v>39114</v>
      </c>
      <c r="O139" s="164">
        <v>5.0000000000000001E-3</v>
      </c>
      <c r="P139" s="159">
        <f t="shared" si="76"/>
        <v>39083</v>
      </c>
      <c r="Q139" s="292">
        <f t="shared" si="73"/>
        <v>5.0000000000000001E-3</v>
      </c>
      <c r="S139" s="163">
        <v>39114</v>
      </c>
      <c r="T139" s="164">
        <v>8.6999999999999994E-3</v>
      </c>
      <c r="U139" s="159">
        <f t="shared" si="89"/>
        <v>39114</v>
      </c>
      <c r="V139" s="285">
        <f t="shared" si="90"/>
        <v>8.6999999999999994E-3</v>
      </c>
      <c r="BM139" s="31" t="s">
        <v>197</v>
      </c>
      <c r="BN139" s="168">
        <f t="shared" si="74"/>
        <v>37347</v>
      </c>
      <c r="BO139" s="37">
        <v>0</v>
      </c>
      <c r="BP139" s="278">
        <f t="shared" si="69"/>
        <v>0</v>
      </c>
      <c r="BQ139" s="312">
        <f t="shared" si="77"/>
        <v>1.1656213848043593</v>
      </c>
      <c r="BS139" s="31" t="s">
        <v>43</v>
      </c>
      <c r="BT139" s="159">
        <f t="shared" si="67"/>
        <v>37347</v>
      </c>
      <c r="BU139" s="162">
        <f t="shared" si="68"/>
        <v>1.4800000000000001E-2</v>
      </c>
      <c r="BV139" s="311">
        <f t="shared" si="78"/>
        <v>2.7219000000000011</v>
      </c>
      <c r="BX139" s="170" t="s">
        <v>43</v>
      </c>
      <c r="BY139" s="159">
        <f t="shared" si="70"/>
        <v>37347</v>
      </c>
      <c r="BZ139" s="162">
        <f t="shared" si="71"/>
        <v>1.4800000000000001E-2</v>
      </c>
      <c r="CA139" s="162">
        <f t="shared" si="79"/>
        <v>2.0141420000000001</v>
      </c>
      <c r="CF139" s="31" t="s">
        <v>197</v>
      </c>
      <c r="CG139" s="168">
        <f t="shared" si="75"/>
        <v>37347</v>
      </c>
      <c r="CH139" s="37">
        <v>0</v>
      </c>
      <c r="CI139" s="314">
        <f t="shared" si="72"/>
        <v>0</v>
      </c>
      <c r="CJ139" s="312">
        <f t="shared" si="80"/>
        <v>1</v>
      </c>
      <c r="CN139" s="315">
        <f t="shared" si="81"/>
        <v>37347</v>
      </c>
      <c r="CO139" s="312">
        <f t="shared" si="82"/>
        <v>1</v>
      </c>
      <c r="CQ139" s="315">
        <f t="shared" si="83"/>
        <v>37347</v>
      </c>
      <c r="CR139" s="316">
        <f t="shared" si="84"/>
        <v>2.7219000000000011</v>
      </c>
      <c r="CW139"/>
      <c r="CX139" s="242" t="str">
        <f t="shared" ref="CX139:CX202" si="91">+IF(CW139="","",TRIM(CW139))</f>
        <v/>
      </c>
    </row>
    <row r="140" spans="2:102" ht="15" customHeight="1">
      <c r="B140" s="163">
        <v>40603</v>
      </c>
      <c r="C140" s="165">
        <v>545</v>
      </c>
      <c r="D140" s="274">
        <f t="shared" si="85"/>
        <v>40603</v>
      </c>
      <c r="E140" s="275">
        <f t="shared" si="86"/>
        <v>545</v>
      </c>
      <c r="G140" s="163">
        <v>40969</v>
      </c>
      <c r="H140" s="163">
        <v>41000</v>
      </c>
      <c r="I140" s="164">
        <v>1.0679999999999999E-3</v>
      </c>
      <c r="J140" s="159">
        <f t="shared" si="87"/>
        <v>41000</v>
      </c>
      <c r="K140" s="278">
        <f t="shared" si="88"/>
        <v>1.0679999999999999E-3</v>
      </c>
      <c r="M140" s="163">
        <v>39114</v>
      </c>
      <c r="N140" s="163">
        <v>39142</v>
      </c>
      <c r="O140" s="164">
        <v>5.0000000000000001E-3</v>
      </c>
      <c r="P140" s="159">
        <f t="shared" si="76"/>
        <v>39114</v>
      </c>
      <c r="Q140" s="292">
        <f t="shared" si="73"/>
        <v>5.0000000000000001E-3</v>
      </c>
      <c r="S140" s="163">
        <v>39142</v>
      </c>
      <c r="T140" s="164">
        <v>1.0500000000000001E-2</v>
      </c>
      <c r="U140" s="159">
        <f t="shared" si="89"/>
        <v>39142</v>
      </c>
      <c r="V140" s="285">
        <f t="shared" si="90"/>
        <v>1.0500000000000001E-2</v>
      </c>
      <c r="BM140" s="31" t="s">
        <v>197</v>
      </c>
      <c r="BN140" s="168">
        <f t="shared" si="74"/>
        <v>37377</v>
      </c>
      <c r="BO140" s="37">
        <v>0</v>
      </c>
      <c r="BP140" s="278">
        <f t="shared" si="69"/>
        <v>0</v>
      </c>
      <c r="BQ140" s="312">
        <f t="shared" si="77"/>
        <v>1.1656213848043593</v>
      </c>
      <c r="BS140" s="31" t="s">
        <v>43</v>
      </c>
      <c r="BT140" s="159">
        <f t="shared" si="67"/>
        <v>37377</v>
      </c>
      <c r="BU140" s="162">
        <f t="shared" si="68"/>
        <v>1.41E-2</v>
      </c>
      <c r="BV140" s="311">
        <f t="shared" si="78"/>
        <v>2.7071000000000009</v>
      </c>
      <c r="BX140" s="170" t="s">
        <v>43</v>
      </c>
      <c r="BY140" s="159">
        <f t="shared" si="70"/>
        <v>37377</v>
      </c>
      <c r="BZ140" s="162">
        <f t="shared" si="71"/>
        <v>1.41E-2</v>
      </c>
      <c r="CA140" s="162">
        <f t="shared" si="79"/>
        <v>1.9993420000000002</v>
      </c>
      <c r="CF140" s="31" t="s">
        <v>197</v>
      </c>
      <c r="CG140" s="168">
        <f t="shared" si="75"/>
        <v>37377</v>
      </c>
      <c r="CH140" s="37">
        <v>0</v>
      </c>
      <c r="CI140" s="314">
        <f t="shared" si="72"/>
        <v>0</v>
      </c>
      <c r="CJ140" s="312">
        <f t="shared" si="80"/>
        <v>1</v>
      </c>
      <c r="CN140" s="315">
        <f t="shared" si="81"/>
        <v>37377</v>
      </c>
      <c r="CO140" s="312">
        <f t="shared" si="82"/>
        <v>1</v>
      </c>
      <c r="CQ140" s="315">
        <f t="shared" si="83"/>
        <v>37377</v>
      </c>
      <c r="CR140" s="316">
        <f t="shared" si="84"/>
        <v>2.7071000000000009</v>
      </c>
      <c r="CW140" s="652" t="s">
        <v>380</v>
      </c>
      <c r="CX140" s="242" t="str">
        <f t="shared" si="91"/>
        <v>texto branco sobre fundo azulao</v>
      </c>
    </row>
    <row r="141" spans="2:102" ht="15" customHeight="1">
      <c r="B141" s="163">
        <v>40634</v>
      </c>
      <c r="C141" s="165">
        <v>545</v>
      </c>
      <c r="D141" s="274">
        <f t="shared" si="85"/>
        <v>40634</v>
      </c>
      <c r="E141" s="275">
        <f t="shared" si="86"/>
        <v>545</v>
      </c>
      <c r="G141" s="163">
        <v>41000</v>
      </c>
      <c r="H141" s="163">
        <v>41030</v>
      </c>
      <c r="I141" s="164">
        <v>2.2699999999999999E-4</v>
      </c>
      <c r="J141" s="159">
        <f t="shared" si="87"/>
        <v>41030</v>
      </c>
      <c r="K141" s="278">
        <f t="shared" si="88"/>
        <v>2.2699999999999999E-4</v>
      </c>
      <c r="M141" s="163">
        <v>39142</v>
      </c>
      <c r="N141" s="163">
        <v>39173</v>
      </c>
      <c r="O141" s="164">
        <v>5.0000000000000001E-3</v>
      </c>
      <c r="P141" s="159">
        <f t="shared" si="76"/>
        <v>39142</v>
      </c>
      <c r="Q141" s="292">
        <f t="shared" si="73"/>
        <v>5.0000000000000001E-3</v>
      </c>
      <c r="S141" s="163">
        <v>39173</v>
      </c>
      <c r="T141" s="164">
        <v>9.4000000000000004E-3</v>
      </c>
      <c r="U141" s="159">
        <f t="shared" si="89"/>
        <v>39173</v>
      </c>
      <c r="V141" s="285">
        <f t="shared" si="90"/>
        <v>9.4000000000000004E-3</v>
      </c>
      <c r="BM141" s="31" t="s">
        <v>197</v>
      </c>
      <c r="BN141" s="168">
        <f t="shared" si="74"/>
        <v>37408</v>
      </c>
      <c r="BO141" s="37">
        <v>0</v>
      </c>
      <c r="BP141" s="278">
        <f t="shared" si="69"/>
        <v>0</v>
      </c>
      <c r="BQ141" s="312">
        <f t="shared" si="77"/>
        <v>1.1656213848043593</v>
      </c>
      <c r="BS141" s="31" t="s">
        <v>43</v>
      </c>
      <c r="BT141" s="159">
        <f t="shared" si="67"/>
        <v>37408</v>
      </c>
      <c r="BU141" s="162">
        <f t="shared" si="68"/>
        <v>1.3299999999999999E-2</v>
      </c>
      <c r="BV141" s="311">
        <f t="shared" si="78"/>
        <v>2.6930000000000009</v>
      </c>
      <c r="BX141" s="170" t="s">
        <v>43</v>
      </c>
      <c r="BY141" s="159">
        <f t="shared" si="70"/>
        <v>37408</v>
      </c>
      <c r="BZ141" s="162">
        <f t="shared" si="71"/>
        <v>1.3299999999999999E-2</v>
      </c>
      <c r="CA141" s="162">
        <f t="shared" si="79"/>
        <v>1.9852420000000002</v>
      </c>
      <c r="CF141" s="31" t="s">
        <v>197</v>
      </c>
      <c r="CG141" s="168">
        <f t="shared" si="75"/>
        <v>37408</v>
      </c>
      <c r="CH141" s="37">
        <v>0</v>
      </c>
      <c r="CI141" s="314">
        <f t="shared" si="72"/>
        <v>0</v>
      </c>
      <c r="CJ141" s="312">
        <f t="shared" si="80"/>
        <v>1</v>
      </c>
      <c r="CN141" s="315">
        <f t="shared" si="81"/>
        <v>37408</v>
      </c>
      <c r="CO141" s="312">
        <f t="shared" si="82"/>
        <v>1</v>
      </c>
      <c r="CQ141" s="315">
        <f t="shared" si="83"/>
        <v>37408</v>
      </c>
      <c r="CR141" s="316">
        <f t="shared" si="84"/>
        <v>2.6930000000000009</v>
      </c>
      <c r="CW141" s="655" t="s">
        <v>388</v>
      </c>
      <c r="CX141" s="242" t="str">
        <f t="shared" si="91"/>
        <v>Rede Brasileira de Juízes de Enlace para a Convenção de Haia</v>
      </c>
    </row>
    <row r="142" spans="2:102" ht="15" customHeight="1">
      <c r="B142" s="163">
        <v>40664</v>
      </c>
      <c r="C142" s="165">
        <v>545</v>
      </c>
      <c r="D142" s="274">
        <f t="shared" si="85"/>
        <v>40664</v>
      </c>
      <c r="E142" s="275">
        <f t="shared" si="86"/>
        <v>545</v>
      </c>
      <c r="G142" s="163">
        <v>41030</v>
      </c>
      <c r="H142" s="163">
        <v>41061</v>
      </c>
      <c r="I142" s="164">
        <v>4.6799999999999999E-4</v>
      </c>
      <c r="J142" s="159">
        <f t="shared" si="87"/>
        <v>41061</v>
      </c>
      <c r="K142" s="278">
        <f t="shared" si="88"/>
        <v>4.6799999999999999E-4</v>
      </c>
      <c r="M142" s="163">
        <v>39173</v>
      </c>
      <c r="N142" s="163">
        <v>39203</v>
      </c>
      <c r="O142" s="164">
        <v>5.0000000000000001E-3</v>
      </c>
      <c r="P142" s="159">
        <f t="shared" si="76"/>
        <v>39173</v>
      </c>
      <c r="Q142" s="292">
        <f t="shared" si="73"/>
        <v>5.0000000000000001E-3</v>
      </c>
      <c r="S142" s="163">
        <v>39203</v>
      </c>
      <c r="T142" s="164">
        <v>1.03E-2</v>
      </c>
      <c r="U142" s="159">
        <f t="shared" si="89"/>
        <v>39203</v>
      </c>
      <c r="V142" s="285">
        <f t="shared" si="90"/>
        <v>1.03E-2</v>
      </c>
      <c r="BM142" s="31" t="s">
        <v>197</v>
      </c>
      <c r="BN142" s="168">
        <f t="shared" si="74"/>
        <v>37438</v>
      </c>
      <c r="BO142" s="37">
        <v>0</v>
      </c>
      <c r="BP142" s="278">
        <f t="shared" si="69"/>
        <v>0</v>
      </c>
      <c r="BQ142" s="312">
        <f t="shared" si="77"/>
        <v>1.1656213848043593</v>
      </c>
      <c r="BS142" s="31" t="s">
        <v>43</v>
      </c>
      <c r="BT142" s="159">
        <f t="shared" si="67"/>
        <v>37438</v>
      </c>
      <c r="BU142" s="162">
        <f t="shared" si="68"/>
        <v>1.54E-2</v>
      </c>
      <c r="BV142" s="311">
        <f t="shared" si="78"/>
        <v>2.6797000000000009</v>
      </c>
      <c r="BX142" s="170" t="s">
        <v>43</v>
      </c>
      <c r="BY142" s="159">
        <f t="shared" si="70"/>
        <v>37438</v>
      </c>
      <c r="BZ142" s="162">
        <f t="shared" si="71"/>
        <v>1.54E-2</v>
      </c>
      <c r="CA142" s="162">
        <f t="shared" si="79"/>
        <v>1.9719420000000001</v>
      </c>
      <c r="CF142" s="31" t="s">
        <v>197</v>
      </c>
      <c r="CG142" s="168">
        <f t="shared" si="75"/>
        <v>37438</v>
      </c>
      <c r="CH142" s="37">
        <v>0</v>
      </c>
      <c r="CI142" s="314">
        <f t="shared" si="72"/>
        <v>0</v>
      </c>
      <c r="CJ142" s="312">
        <f t="shared" si="80"/>
        <v>1</v>
      </c>
      <c r="CN142" s="315">
        <f t="shared" si="81"/>
        <v>37438</v>
      </c>
      <c r="CO142" s="312">
        <f t="shared" si="82"/>
        <v>1</v>
      </c>
      <c r="CQ142" s="315">
        <f t="shared" si="83"/>
        <v>37438</v>
      </c>
      <c r="CR142" s="316">
        <f t="shared" si="84"/>
        <v>2.6797000000000009</v>
      </c>
      <c r="CW142"/>
      <c r="CX142" s="242" t="str">
        <f t="shared" si="91"/>
        <v/>
      </c>
    </row>
    <row r="143" spans="2:102" ht="15" customHeight="1">
      <c r="B143" s="163">
        <v>40695</v>
      </c>
      <c r="C143" s="165">
        <v>545</v>
      </c>
      <c r="D143" s="274">
        <f t="shared" si="85"/>
        <v>40695</v>
      </c>
      <c r="E143" s="275">
        <f t="shared" si="86"/>
        <v>545</v>
      </c>
      <c r="G143" s="163">
        <v>41061</v>
      </c>
      <c r="H143" s="163">
        <v>41091</v>
      </c>
      <c r="I143" s="164">
        <v>0</v>
      </c>
      <c r="J143" s="159">
        <f t="shared" si="87"/>
        <v>41091</v>
      </c>
      <c r="K143" s="278">
        <f t="shared" si="88"/>
        <v>0</v>
      </c>
      <c r="M143" s="163">
        <v>39203</v>
      </c>
      <c r="N143" s="163">
        <v>39234</v>
      </c>
      <c r="O143" s="164">
        <v>5.0000000000000001E-3</v>
      </c>
      <c r="P143" s="159">
        <f t="shared" si="76"/>
        <v>39203</v>
      </c>
      <c r="Q143" s="292">
        <f t="shared" si="73"/>
        <v>5.0000000000000001E-3</v>
      </c>
      <c r="S143" s="163">
        <v>39234</v>
      </c>
      <c r="T143" s="164">
        <v>9.1000000000000004E-3</v>
      </c>
      <c r="U143" s="159">
        <f t="shared" si="89"/>
        <v>39234</v>
      </c>
      <c r="V143" s="285">
        <f t="shared" si="90"/>
        <v>9.1000000000000004E-3</v>
      </c>
      <c r="BM143" s="31" t="s">
        <v>197</v>
      </c>
      <c r="BN143" s="168">
        <f t="shared" si="74"/>
        <v>37469</v>
      </c>
      <c r="BO143" s="37">
        <v>0</v>
      </c>
      <c r="BP143" s="278">
        <f t="shared" si="69"/>
        <v>0</v>
      </c>
      <c r="BQ143" s="312">
        <f t="shared" si="77"/>
        <v>1.1656213848043593</v>
      </c>
      <c r="BS143" s="31" t="s">
        <v>43</v>
      </c>
      <c r="BT143" s="159">
        <f t="shared" si="67"/>
        <v>37469</v>
      </c>
      <c r="BU143" s="162">
        <f t="shared" si="68"/>
        <v>1.44E-2</v>
      </c>
      <c r="BV143" s="311">
        <f t="shared" si="78"/>
        <v>2.6643000000000008</v>
      </c>
      <c r="BX143" s="170" t="s">
        <v>43</v>
      </c>
      <c r="BY143" s="159">
        <f t="shared" si="70"/>
        <v>37469</v>
      </c>
      <c r="BZ143" s="162">
        <f t="shared" si="71"/>
        <v>1.44E-2</v>
      </c>
      <c r="CA143" s="162">
        <f t="shared" si="79"/>
        <v>1.956542</v>
      </c>
      <c r="CF143" s="31" t="s">
        <v>197</v>
      </c>
      <c r="CG143" s="168">
        <f t="shared" si="75"/>
        <v>37469</v>
      </c>
      <c r="CH143" s="37">
        <v>0</v>
      </c>
      <c r="CI143" s="314">
        <f t="shared" si="72"/>
        <v>0</v>
      </c>
      <c r="CJ143" s="312">
        <f t="shared" si="80"/>
        <v>1</v>
      </c>
      <c r="CN143" s="315">
        <f t="shared" si="81"/>
        <v>37469</v>
      </c>
      <c r="CO143" s="312">
        <f t="shared" si="82"/>
        <v>1</v>
      </c>
      <c r="CQ143" s="315">
        <f t="shared" si="83"/>
        <v>37469</v>
      </c>
      <c r="CR143" s="316">
        <f t="shared" si="84"/>
        <v>2.6643000000000008</v>
      </c>
      <c r="CW143" s="652" t="s">
        <v>380</v>
      </c>
      <c r="CX143" s="242" t="str">
        <f t="shared" si="91"/>
        <v>texto branco sobre fundo azulao</v>
      </c>
    </row>
    <row r="144" spans="2:102" ht="15" customHeight="1">
      <c r="B144" s="163">
        <v>40725</v>
      </c>
      <c r="C144" s="165">
        <v>545</v>
      </c>
      <c r="D144" s="274">
        <f t="shared" si="85"/>
        <v>40725</v>
      </c>
      <c r="E144" s="275">
        <f t="shared" si="86"/>
        <v>545</v>
      </c>
      <c r="G144" s="163">
        <v>41091</v>
      </c>
      <c r="H144" s="163">
        <v>41122</v>
      </c>
      <c r="I144" s="164">
        <v>1.44E-4</v>
      </c>
      <c r="J144" s="159">
        <f t="shared" si="87"/>
        <v>41122</v>
      </c>
      <c r="K144" s="278">
        <f t="shared" si="88"/>
        <v>1.44E-4</v>
      </c>
      <c r="M144" s="163">
        <v>39234</v>
      </c>
      <c r="N144" s="163">
        <v>39264</v>
      </c>
      <c r="O144" s="164">
        <v>5.0000000000000001E-3</v>
      </c>
      <c r="P144" s="159">
        <f t="shared" si="76"/>
        <v>39234</v>
      </c>
      <c r="Q144" s="292">
        <f t="shared" si="73"/>
        <v>5.0000000000000001E-3</v>
      </c>
      <c r="S144" s="163">
        <v>39264</v>
      </c>
      <c r="T144" s="164">
        <v>9.7000000000000003E-3</v>
      </c>
      <c r="U144" s="159">
        <f t="shared" si="89"/>
        <v>39264</v>
      </c>
      <c r="V144" s="285">
        <f t="shared" si="90"/>
        <v>9.7000000000000003E-3</v>
      </c>
      <c r="BM144" s="31" t="s">
        <v>197</v>
      </c>
      <c r="BN144" s="168">
        <f t="shared" si="74"/>
        <v>37500</v>
      </c>
      <c r="BO144" s="37">
        <v>0</v>
      </c>
      <c r="BP144" s="278">
        <f t="shared" si="69"/>
        <v>0</v>
      </c>
      <c r="BQ144" s="312">
        <f t="shared" si="77"/>
        <v>1.1656213848043593</v>
      </c>
      <c r="BS144" s="31" t="s">
        <v>43</v>
      </c>
      <c r="BT144" s="159">
        <f t="shared" ref="BT144:BT207" si="92">U86</f>
        <v>37500</v>
      </c>
      <c r="BU144" s="162">
        <f t="shared" ref="BU144:BU207" si="93">V86</f>
        <v>1.38E-2</v>
      </c>
      <c r="BV144" s="311">
        <f t="shared" si="78"/>
        <v>2.6499000000000006</v>
      </c>
      <c r="BX144" s="170" t="s">
        <v>43</v>
      </c>
      <c r="BY144" s="159">
        <f t="shared" si="70"/>
        <v>37500</v>
      </c>
      <c r="BZ144" s="162">
        <f t="shared" si="71"/>
        <v>1.38E-2</v>
      </c>
      <c r="CA144" s="162">
        <f t="shared" si="79"/>
        <v>1.942142</v>
      </c>
      <c r="CF144" s="31" t="s">
        <v>197</v>
      </c>
      <c r="CG144" s="168">
        <f t="shared" si="75"/>
        <v>37500</v>
      </c>
      <c r="CH144" s="37">
        <v>0</v>
      </c>
      <c r="CI144" s="314">
        <f t="shared" si="72"/>
        <v>0</v>
      </c>
      <c r="CJ144" s="312">
        <f t="shared" si="80"/>
        <v>1</v>
      </c>
      <c r="CN144" s="315">
        <f t="shared" si="81"/>
        <v>37500</v>
      </c>
      <c r="CO144" s="312">
        <f t="shared" si="82"/>
        <v>1</v>
      </c>
      <c r="CQ144" s="315">
        <f t="shared" si="83"/>
        <v>37500</v>
      </c>
      <c r="CR144" s="316">
        <f t="shared" si="84"/>
        <v>2.6499000000000006</v>
      </c>
      <c r="CW144" s="655" t="s">
        <v>389</v>
      </c>
      <c r="CX144" s="242" t="str">
        <f t="shared" si="91"/>
        <v>Segurança da informação</v>
      </c>
    </row>
    <row r="145" spans="2:102" ht="15" customHeight="1">
      <c r="B145" s="163">
        <v>40756</v>
      </c>
      <c r="C145" s="165">
        <v>545</v>
      </c>
      <c r="D145" s="274">
        <f t="shared" si="85"/>
        <v>40756</v>
      </c>
      <c r="E145" s="275">
        <f t="shared" si="86"/>
        <v>545</v>
      </c>
      <c r="G145" s="163">
        <v>41122</v>
      </c>
      <c r="H145" s="163">
        <v>41153</v>
      </c>
      <c r="I145" s="164">
        <v>1.2300000000000001E-4</v>
      </c>
      <c r="J145" s="159">
        <f t="shared" si="87"/>
        <v>41153</v>
      </c>
      <c r="K145" s="278">
        <f t="shared" si="88"/>
        <v>1.2300000000000001E-4</v>
      </c>
      <c r="M145" s="163">
        <v>39264</v>
      </c>
      <c r="N145" s="163">
        <v>39295</v>
      </c>
      <c r="O145" s="164">
        <v>5.0000000000000001E-3</v>
      </c>
      <c r="P145" s="159">
        <f t="shared" si="76"/>
        <v>39264</v>
      </c>
      <c r="Q145" s="292">
        <f t="shared" si="73"/>
        <v>5.0000000000000001E-3</v>
      </c>
      <c r="S145" s="163">
        <v>39295</v>
      </c>
      <c r="T145" s="164">
        <v>9.9000000000000008E-3</v>
      </c>
      <c r="U145" s="159">
        <f t="shared" si="89"/>
        <v>39295</v>
      </c>
      <c r="V145" s="285">
        <f t="shared" si="90"/>
        <v>9.9000000000000008E-3</v>
      </c>
      <c r="BM145" s="31" t="s">
        <v>197</v>
      </c>
      <c r="BN145" s="168">
        <f t="shared" si="74"/>
        <v>37530</v>
      </c>
      <c r="BO145" s="37">
        <v>0</v>
      </c>
      <c r="BP145" s="278">
        <f t="shared" si="69"/>
        <v>0</v>
      </c>
      <c r="BQ145" s="312">
        <f t="shared" si="77"/>
        <v>1.1656213848043593</v>
      </c>
      <c r="BS145" s="31" t="s">
        <v>43</v>
      </c>
      <c r="BT145" s="159">
        <f t="shared" si="92"/>
        <v>37530</v>
      </c>
      <c r="BU145" s="162">
        <f t="shared" si="93"/>
        <v>1.6500000000000001E-2</v>
      </c>
      <c r="BV145" s="311">
        <f t="shared" si="78"/>
        <v>2.6361000000000008</v>
      </c>
      <c r="BX145" s="170" t="s">
        <v>43</v>
      </c>
      <c r="BY145" s="159">
        <f t="shared" si="70"/>
        <v>37530</v>
      </c>
      <c r="BZ145" s="162">
        <f t="shared" si="71"/>
        <v>1.6500000000000001E-2</v>
      </c>
      <c r="CA145" s="162">
        <f t="shared" si="79"/>
        <v>1.928342</v>
      </c>
      <c r="CF145" s="31" t="s">
        <v>197</v>
      </c>
      <c r="CG145" s="168">
        <f t="shared" si="75"/>
        <v>37530</v>
      </c>
      <c r="CH145" s="37">
        <v>0</v>
      </c>
      <c r="CI145" s="314">
        <f t="shared" si="72"/>
        <v>0</v>
      </c>
      <c r="CJ145" s="312">
        <f t="shared" si="80"/>
        <v>1</v>
      </c>
      <c r="CN145" s="315">
        <f t="shared" si="81"/>
        <v>37530</v>
      </c>
      <c r="CO145" s="312">
        <f t="shared" si="82"/>
        <v>1</v>
      </c>
      <c r="CQ145" s="315">
        <f t="shared" si="83"/>
        <v>37530</v>
      </c>
      <c r="CR145" s="316">
        <f t="shared" si="84"/>
        <v>2.6361000000000008</v>
      </c>
      <c r="CW145"/>
      <c r="CX145" s="242" t="str">
        <f t="shared" si="91"/>
        <v/>
      </c>
    </row>
    <row r="146" spans="2:102" ht="15" customHeight="1">
      <c r="B146" s="163">
        <v>40787</v>
      </c>
      <c r="C146" s="165">
        <v>545</v>
      </c>
      <c r="D146" s="274">
        <f t="shared" si="85"/>
        <v>40787</v>
      </c>
      <c r="E146" s="275">
        <f t="shared" si="86"/>
        <v>545</v>
      </c>
      <c r="G146" s="163">
        <v>41153</v>
      </c>
      <c r="H146" s="163">
        <v>41183</v>
      </c>
      <c r="I146" s="164">
        <v>0</v>
      </c>
      <c r="J146" s="159">
        <f t="shared" si="87"/>
        <v>41183</v>
      </c>
      <c r="K146" s="278">
        <f t="shared" si="88"/>
        <v>0</v>
      </c>
      <c r="M146" s="163">
        <v>39295</v>
      </c>
      <c r="N146" s="163">
        <v>39326</v>
      </c>
      <c r="O146" s="164">
        <v>5.0000000000000001E-3</v>
      </c>
      <c r="P146" s="159">
        <f t="shared" si="76"/>
        <v>39295</v>
      </c>
      <c r="Q146" s="292">
        <f t="shared" si="73"/>
        <v>5.0000000000000001E-3</v>
      </c>
      <c r="S146" s="163">
        <v>39326</v>
      </c>
      <c r="T146" s="164">
        <v>8.0000000000000002E-3</v>
      </c>
      <c r="U146" s="159">
        <f t="shared" si="89"/>
        <v>39326</v>
      </c>
      <c r="V146" s="285">
        <f t="shared" si="90"/>
        <v>8.0000000000000002E-3</v>
      </c>
      <c r="BM146" s="31" t="s">
        <v>197</v>
      </c>
      <c r="BN146" s="168">
        <f t="shared" si="74"/>
        <v>37561</v>
      </c>
      <c r="BO146" s="37">
        <v>0</v>
      </c>
      <c r="BP146" s="278">
        <f t="shared" si="69"/>
        <v>0</v>
      </c>
      <c r="BQ146" s="312">
        <f t="shared" si="77"/>
        <v>1.1656213848043593</v>
      </c>
      <c r="BS146" s="31" t="s">
        <v>43</v>
      </c>
      <c r="BT146" s="159">
        <f t="shared" si="92"/>
        <v>37561</v>
      </c>
      <c r="BU146" s="162">
        <f t="shared" si="93"/>
        <v>1.54E-2</v>
      </c>
      <c r="BV146" s="311">
        <f t="shared" si="78"/>
        <v>2.6196000000000006</v>
      </c>
      <c r="BX146" s="170" t="s">
        <v>43</v>
      </c>
      <c r="BY146" s="159">
        <f t="shared" si="70"/>
        <v>37561</v>
      </c>
      <c r="BZ146" s="162">
        <f t="shared" si="71"/>
        <v>1.54E-2</v>
      </c>
      <c r="CA146" s="162">
        <f t="shared" si="79"/>
        <v>1.911842</v>
      </c>
      <c r="CF146" s="31" t="s">
        <v>197</v>
      </c>
      <c r="CG146" s="168">
        <f t="shared" si="75"/>
        <v>37561</v>
      </c>
      <c r="CH146" s="37">
        <v>0</v>
      </c>
      <c r="CI146" s="314">
        <f t="shared" si="72"/>
        <v>0</v>
      </c>
      <c r="CJ146" s="312">
        <f t="shared" si="80"/>
        <v>1</v>
      </c>
      <c r="CN146" s="315">
        <f t="shared" si="81"/>
        <v>37561</v>
      </c>
      <c r="CO146" s="312">
        <f t="shared" si="82"/>
        <v>1</v>
      </c>
      <c r="CQ146" s="315">
        <f t="shared" si="83"/>
        <v>37561</v>
      </c>
      <c r="CR146" s="316">
        <f t="shared" si="84"/>
        <v>2.6196000000000006</v>
      </c>
      <c r="CW146" s="652" t="s">
        <v>380</v>
      </c>
      <c r="CX146" s="242" t="str">
        <f t="shared" si="91"/>
        <v>texto branco sobre fundo azulao</v>
      </c>
    </row>
    <row r="147" spans="2:102" ht="15" customHeight="1">
      <c r="B147" s="163">
        <v>40817</v>
      </c>
      <c r="C147" s="165">
        <v>545</v>
      </c>
      <c r="D147" s="274">
        <f t="shared" si="85"/>
        <v>40817</v>
      </c>
      <c r="E147" s="275">
        <f t="shared" si="86"/>
        <v>545</v>
      </c>
      <c r="G147" s="163">
        <v>41183</v>
      </c>
      <c r="H147" s="163">
        <v>41214</v>
      </c>
      <c r="I147" s="164">
        <v>0</v>
      </c>
      <c r="J147" s="159">
        <f t="shared" si="87"/>
        <v>41214</v>
      </c>
      <c r="K147" s="278">
        <f t="shared" si="88"/>
        <v>0</v>
      </c>
      <c r="M147" s="163">
        <v>39326</v>
      </c>
      <c r="N147" s="163">
        <v>39356</v>
      </c>
      <c r="O147" s="164">
        <v>5.0000000000000001E-3</v>
      </c>
      <c r="P147" s="159">
        <f t="shared" si="76"/>
        <v>39326</v>
      </c>
      <c r="Q147" s="292">
        <f t="shared" si="73"/>
        <v>5.0000000000000001E-3</v>
      </c>
      <c r="S147" s="163">
        <v>39356</v>
      </c>
      <c r="T147" s="164">
        <v>9.2999999999999992E-3</v>
      </c>
      <c r="U147" s="159">
        <f t="shared" si="89"/>
        <v>39356</v>
      </c>
      <c r="V147" s="285">
        <f t="shared" si="90"/>
        <v>9.2999999999999992E-3</v>
      </c>
      <c r="BM147" s="31" t="s">
        <v>197</v>
      </c>
      <c r="BN147" s="168">
        <f t="shared" si="74"/>
        <v>37591</v>
      </c>
      <c r="BO147" s="37">
        <v>0</v>
      </c>
      <c r="BP147" s="278">
        <f t="shared" si="69"/>
        <v>0</v>
      </c>
      <c r="BQ147" s="312">
        <f t="shared" si="77"/>
        <v>1.1656213848043593</v>
      </c>
      <c r="BS147" s="31" t="s">
        <v>43</v>
      </c>
      <c r="BT147" s="159">
        <f t="shared" si="92"/>
        <v>37591</v>
      </c>
      <c r="BU147" s="162">
        <f t="shared" si="93"/>
        <v>1.7399999999999999E-2</v>
      </c>
      <c r="BV147" s="311">
        <f t="shared" si="78"/>
        <v>2.6042000000000005</v>
      </c>
      <c r="BX147" s="170" t="s">
        <v>43</v>
      </c>
      <c r="BY147" s="159">
        <f t="shared" si="70"/>
        <v>37591</v>
      </c>
      <c r="BZ147" s="162">
        <f t="shared" si="71"/>
        <v>1.7399999999999999E-2</v>
      </c>
      <c r="CA147" s="162">
        <f t="shared" si="79"/>
        <v>1.896442</v>
      </c>
      <c r="CF147" s="31" t="s">
        <v>197</v>
      </c>
      <c r="CG147" s="168">
        <f t="shared" si="75"/>
        <v>37591</v>
      </c>
      <c r="CH147" s="37">
        <v>0</v>
      </c>
      <c r="CI147" s="314">
        <f t="shared" si="72"/>
        <v>0</v>
      </c>
      <c r="CJ147" s="312">
        <f t="shared" si="80"/>
        <v>1</v>
      </c>
      <c r="CN147" s="315">
        <f t="shared" si="81"/>
        <v>37591</v>
      </c>
      <c r="CO147" s="312">
        <f t="shared" si="82"/>
        <v>1</v>
      </c>
      <c r="CQ147" s="315">
        <f t="shared" si="83"/>
        <v>37591</v>
      </c>
      <c r="CR147" s="316">
        <f t="shared" si="84"/>
        <v>2.6042000000000005</v>
      </c>
      <c r="CW147" s="656" t="s">
        <v>390</v>
      </c>
      <c r="CX147" s="242" t="str">
        <f t="shared" si="91"/>
        <v>logo ccjftexto branco sobre fundo</v>
      </c>
    </row>
    <row r="148" spans="2:102" ht="15" customHeight="1">
      <c r="B148" s="163">
        <v>40848</v>
      </c>
      <c r="C148" s="165">
        <v>545</v>
      </c>
      <c r="D148" s="274">
        <f t="shared" si="85"/>
        <v>40848</v>
      </c>
      <c r="E148" s="275">
        <f t="shared" si="86"/>
        <v>545</v>
      </c>
      <c r="G148" s="163">
        <v>41214</v>
      </c>
      <c r="H148" s="163">
        <v>41244</v>
      </c>
      <c r="I148" s="164">
        <v>0</v>
      </c>
      <c r="J148" s="159">
        <f t="shared" si="87"/>
        <v>41244</v>
      </c>
      <c r="K148" s="278">
        <f t="shared" si="88"/>
        <v>0</v>
      </c>
      <c r="M148" s="163">
        <v>39356</v>
      </c>
      <c r="N148" s="163">
        <v>39387</v>
      </c>
      <c r="O148" s="164">
        <v>5.0000000000000001E-3</v>
      </c>
      <c r="P148" s="159">
        <f t="shared" si="76"/>
        <v>39356</v>
      </c>
      <c r="Q148" s="292">
        <f t="shared" si="73"/>
        <v>5.0000000000000001E-3</v>
      </c>
      <c r="S148" s="163">
        <v>39387</v>
      </c>
      <c r="T148" s="164">
        <v>8.3999999999999995E-3</v>
      </c>
      <c r="U148" s="159">
        <f t="shared" si="89"/>
        <v>39387</v>
      </c>
      <c r="V148" s="285">
        <f t="shared" si="90"/>
        <v>8.3999999999999995E-3</v>
      </c>
      <c r="BM148" s="31" t="s">
        <v>197</v>
      </c>
      <c r="BN148" s="168">
        <f t="shared" si="74"/>
        <v>37622</v>
      </c>
      <c r="BO148" s="37">
        <v>0</v>
      </c>
      <c r="BP148" s="278">
        <f t="shared" si="69"/>
        <v>0</v>
      </c>
      <c r="BQ148" s="312">
        <f t="shared" si="77"/>
        <v>1.1656213848043593</v>
      </c>
      <c r="BS148" s="31" t="s">
        <v>43</v>
      </c>
      <c r="BT148" s="159">
        <f t="shared" si="92"/>
        <v>37622</v>
      </c>
      <c r="BU148" s="162">
        <f t="shared" si="93"/>
        <v>1.9699999999999999E-2</v>
      </c>
      <c r="BV148" s="311">
        <f t="shared" si="78"/>
        <v>2.5868000000000007</v>
      </c>
      <c r="BX148" s="170" t="s">
        <v>43</v>
      </c>
      <c r="BY148" s="159">
        <f t="shared" si="70"/>
        <v>37622</v>
      </c>
      <c r="BZ148" s="162">
        <f t="shared" si="71"/>
        <v>1.9699999999999999E-2</v>
      </c>
      <c r="CA148" s="162">
        <f t="shared" si="79"/>
        <v>1.8790419999999999</v>
      </c>
      <c r="CF148" s="31" t="s">
        <v>197</v>
      </c>
      <c r="CG148" s="168">
        <f t="shared" si="75"/>
        <v>37622</v>
      </c>
      <c r="CH148" s="37">
        <v>0</v>
      </c>
      <c r="CI148" s="314">
        <f t="shared" si="72"/>
        <v>0</v>
      </c>
      <c r="CJ148" s="312">
        <f t="shared" si="80"/>
        <v>1</v>
      </c>
      <c r="CN148" s="315">
        <f t="shared" si="81"/>
        <v>37622</v>
      </c>
      <c r="CO148" s="312">
        <f t="shared" si="82"/>
        <v>1</v>
      </c>
      <c r="CQ148" s="315">
        <f t="shared" si="83"/>
        <v>37622</v>
      </c>
      <c r="CR148" s="316">
        <f t="shared" si="84"/>
        <v>2.5868000000000007</v>
      </c>
      <c r="CW148" s="656" t="s">
        <v>391</v>
      </c>
      <c r="CX148" s="242" t="str">
        <f t="shared" si="91"/>
        <v>logo emarftexto branco sobre fundo</v>
      </c>
    </row>
    <row r="149" spans="2:102" ht="15" customHeight="1">
      <c r="B149" s="163">
        <v>40878</v>
      </c>
      <c r="C149" s="165">
        <v>545</v>
      </c>
      <c r="D149" s="274">
        <f t="shared" si="85"/>
        <v>40878</v>
      </c>
      <c r="E149" s="275">
        <f t="shared" si="86"/>
        <v>545</v>
      </c>
      <c r="G149" s="163">
        <v>41244</v>
      </c>
      <c r="H149" s="163">
        <v>41275</v>
      </c>
      <c r="I149" s="164">
        <v>0</v>
      </c>
      <c r="J149" s="159">
        <f t="shared" si="87"/>
        <v>41275</v>
      </c>
      <c r="K149" s="278">
        <f t="shared" si="88"/>
        <v>0</v>
      </c>
      <c r="M149" s="163">
        <v>39387</v>
      </c>
      <c r="N149" s="163">
        <v>39417</v>
      </c>
      <c r="O149" s="164">
        <v>5.0000000000000001E-3</v>
      </c>
      <c r="P149" s="159">
        <f t="shared" si="76"/>
        <v>39387</v>
      </c>
      <c r="Q149" s="292">
        <f t="shared" si="73"/>
        <v>5.0000000000000001E-3</v>
      </c>
      <c r="S149" s="163">
        <v>39417</v>
      </c>
      <c r="T149" s="164">
        <v>8.3999999999999995E-3</v>
      </c>
      <c r="U149" s="159">
        <f t="shared" si="89"/>
        <v>39417</v>
      </c>
      <c r="V149" s="285">
        <f t="shared" si="90"/>
        <v>8.3999999999999995E-3</v>
      </c>
      <c r="BM149" s="31" t="s">
        <v>197</v>
      </c>
      <c r="BN149" s="168">
        <f t="shared" si="74"/>
        <v>37653</v>
      </c>
      <c r="BO149" s="37">
        <v>0</v>
      </c>
      <c r="BP149" s="278">
        <f t="shared" si="69"/>
        <v>0</v>
      </c>
      <c r="BQ149" s="312">
        <f t="shared" si="77"/>
        <v>1.1656213848043593</v>
      </c>
      <c r="BS149" s="31" t="s">
        <v>43</v>
      </c>
      <c r="BT149" s="159">
        <f t="shared" si="92"/>
        <v>37653</v>
      </c>
      <c r="BU149" s="162">
        <f t="shared" si="93"/>
        <v>1.83E-2</v>
      </c>
      <c r="BV149" s="311">
        <f t="shared" si="78"/>
        <v>2.5671000000000008</v>
      </c>
      <c r="BX149" s="170" t="s">
        <v>43</v>
      </c>
      <c r="BY149" s="159">
        <f t="shared" si="70"/>
        <v>37653</v>
      </c>
      <c r="BZ149" s="162">
        <f t="shared" si="71"/>
        <v>1.83E-2</v>
      </c>
      <c r="CA149" s="162">
        <f t="shared" si="79"/>
        <v>1.8593419999999998</v>
      </c>
      <c r="CF149" s="31" t="s">
        <v>197</v>
      </c>
      <c r="CG149" s="168">
        <f t="shared" si="75"/>
        <v>37653</v>
      </c>
      <c r="CH149" s="37">
        <v>0</v>
      </c>
      <c r="CI149" s="314">
        <f t="shared" si="72"/>
        <v>0</v>
      </c>
      <c r="CJ149" s="312">
        <f t="shared" si="80"/>
        <v>1</v>
      </c>
      <c r="CN149" s="315">
        <f t="shared" si="81"/>
        <v>37653</v>
      </c>
      <c r="CO149" s="312">
        <f t="shared" si="82"/>
        <v>1</v>
      </c>
      <c r="CQ149" s="315">
        <f t="shared" si="83"/>
        <v>37653</v>
      </c>
      <c r="CR149" s="316">
        <f t="shared" si="84"/>
        <v>2.5671000000000008</v>
      </c>
      <c r="CW149" s="650" t="s">
        <v>392</v>
      </c>
      <c r="CX149" s="242" t="str">
        <f t="shared" si="91"/>
        <v>TRF2 alcança 100% no Ranking da Transparência do CNJ</v>
      </c>
    </row>
    <row r="150" spans="2:102" ht="15" customHeight="1">
      <c r="B150" s="163">
        <v>40909</v>
      </c>
      <c r="C150" s="165">
        <v>622</v>
      </c>
      <c r="D150" s="274">
        <f t="shared" si="85"/>
        <v>40909</v>
      </c>
      <c r="E150" s="275">
        <f t="shared" si="86"/>
        <v>622</v>
      </c>
      <c r="G150" s="163">
        <v>41275</v>
      </c>
      <c r="H150" s="163">
        <v>41306</v>
      </c>
      <c r="I150" s="164">
        <v>0</v>
      </c>
      <c r="J150" s="159">
        <f t="shared" si="87"/>
        <v>41306</v>
      </c>
      <c r="K150" s="278">
        <f t="shared" si="88"/>
        <v>0</v>
      </c>
      <c r="M150" s="163">
        <v>39417</v>
      </c>
      <c r="N150" s="163">
        <v>39448</v>
      </c>
      <c r="O150" s="164">
        <v>5.0000000000000001E-3</v>
      </c>
      <c r="P150" s="159">
        <f t="shared" si="76"/>
        <v>39417</v>
      </c>
      <c r="Q150" s="292">
        <f t="shared" si="73"/>
        <v>5.0000000000000001E-3</v>
      </c>
      <c r="S150" s="163">
        <v>39448</v>
      </c>
      <c r="T150" s="164">
        <v>9.2999999999999992E-3</v>
      </c>
      <c r="U150" s="159">
        <f t="shared" si="89"/>
        <v>39448</v>
      </c>
      <c r="V150" s="285">
        <f t="shared" si="90"/>
        <v>9.2999999999999992E-3</v>
      </c>
      <c r="BM150" s="31" t="s">
        <v>197</v>
      </c>
      <c r="BN150" s="168">
        <f t="shared" si="74"/>
        <v>37681</v>
      </c>
      <c r="BO150" s="37">
        <v>0</v>
      </c>
      <c r="BP150" s="278">
        <f t="shared" si="69"/>
        <v>0</v>
      </c>
      <c r="BQ150" s="312">
        <f t="shared" si="77"/>
        <v>1.1656213848043593</v>
      </c>
      <c r="BS150" s="31" t="s">
        <v>43</v>
      </c>
      <c r="BT150" s="159">
        <f t="shared" si="92"/>
        <v>37681</v>
      </c>
      <c r="BU150" s="162">
        <f t="shared" si="93"/>
        <v>1.78E-2</v>
      </c>
      <c r="BV150" s="311">
        <f t="shared" si="78"/>
        <v>2.5488000000000008</v>
      </c>
      <c r="BX150" s="170" t="s">
        <v>43</v>
      </c>
      <c r="BY150" s="159">
        <f t="shared" si="70"/>
        <v>37681</v>
      </c>
      <c r="BZ150" s="162">
        <f t="shared" si="71"/>
        <v>1.78E-2</v>
      </c>
      <c r="CA150" s="162">
        <f t="shared" si="79"/>
        <v>1.8410419999999998</v>
      </c>
      <c r="CF150" s="31" t="s">
        <v>197</v>
      </c>
      <c r="CG150" s="168">
        <f t="shared" si="75"/>
        <v>37681</v>
      </c>
      <c r="CH150" s="37">
        <v>0</v>
      </c>
      <c r="CI150" s="314">
        <f t="shared" si="72"/>
        <v>0</v>
      </c>
      <c r="CJ150" s="312">
        <f t="shared" si="80"/>
        <v>1</v>
      </c>
      <c r="CN150" s="315">
        <f t="shared" si="81"/>
        <v>37681</v>
      </c>
      <c r="CO150" s="312">
        <f t="shared" si="82"/>
        <v>1</v>
      </c>
      <c r="CQ150" s="315">
        <f t="shared" si="83"/>
        <v>37681</v>
      </c>
      <c r="CR150" s="316">
        <f t="shared" si="84"/>
        <v>2.5488000000000008</v>
      </c>
      <c r="CW150" s="657" t="s">
        <v>393</v>
      </c>
      <c r="CX150" s="242" t="str">
        <f t="shared" si="91"/>
        <v>24 Agosto, 2026 JF2</v>
      </c>
    </row>
    <row r="151" spans="2:102" ht="15" customHeight="1">
      <c r="B151" s="163">
        <v>40940</v>
      </c>
      <c r="C151" s="165">
        <v>622</v>
      </c>
      <c r="D151" s="274">
        <f t="shared" si="85"/>
        <v>40940</v>
      </c>
      <c r="E151" s="275">
        <f t="shared" si="86"/>
        <v>622</v>
      </c>
      <c r="G151" s="163">
        <v>41306</v>
      </c>
      <c r="H151" s="163">
        <v>41334</v>
      </c>
      <c r="I151" s="164">
        <v>0</v>
      </c>
      <c r="J151" s="159">
        <f t="shared" si="87"/>
        <v>41334</v>
      </c>
      <c r="K151" s="278">
        <f t="shared" si="88"/>
        <v>0</v>
      </c>
      <c r="M151" s="163">
        <v>39448</v>
      </c>
      <c r="N151" s="163">
        <v>39479</v>
      </c>
      <c r="O151" s="164">
        <v>5.0000000000000001E-3</v>
      </c>
      <c r="P151" s="159">
        <f t="shared" si="76"/>
        <v>39448</v>
      </c>
      <c r="Q151" s="292">
        <f t="shared" si="73"/>
        <v>5.0000000000000001E-3</v>
      </c>
      <c r="S151" s="163">
        <v>39479</v>
      </c>
      <c r="T151" s="164">
        <v>8.0000000000000002E-3</v>
      </c>
      <c r="U151" s="159">
        <f t="shared" si="89"/>
        <v>39479</v>
      </c>
      <c r="V151" s="285">
        <f t="shared" si="90"/>
        <v>8.0000000000000002E-3</v>
      </c>
      <c r="BM151" s="31" t="s">
        <v>197</v>
      </c>
      <c r="BN151" s="168">
        <f t="shared" si="74"/>
        <v>37712</v>
      </c>
      <c r="BO151" s="37">
        <v>0</v>
      </c>
      <c r="BP151" s="278">
        <f t="shared" si="69"/>
        <v>0</v>
      </c>
      <c r="BQ151" s="312">
        <f t="shared" si="77"/>
        <v>1.1656213848043593</v>
      </c>
      <c r="BS151" s="31" t="s">
        <v>43</v>
      </c>
      <c r="BT151" s="159">
        <f t="shared" si="92"/>
        <v>37712</v>
      </c>
      <c r="BU151" s="162">
        <f t="shared" si="93"/>
        <v>1.8700000000000001E-2</v>
      </c>
      <c r="BV151" s="311">
        <f t="shared" si="78"/>
        <v>2.531000000000001</v>
      </c>
      <c r="BX151" s="170" t="s">
        <v>43</v>
      </c>
      <c r="BY151" s="159">
        <f t="shared" si="70"/>
        <v>37712</v>
      </c>
      <c r="BZ151" s="162">
        <f t="shared" si="71"/>
        <v>1.8700000000000001E-2</v>
      </c>
      <c r="CA151" s="162">
        <f t="shared" si="79"/>
        <v>1.8232419999999998</v>
      </c>
      <c r="CF151" s="31" t="s">
        <v>197</v>
      </c>
      <c r="CG151" s="168">
        <f t="shared" si="75"/>
        <v>37712</v>
      </c>
      <c r="CH151" s="37">
        <v>0</v>
      </c>
      <c r="CI151" s="314">
        <f t="shared" si="72"/>
        <v>0</v>
      </c>
      <c r="CJ151" s="312">
        <f t="shared" si="80"/>
        <v>1</v>
      </c>
      <c r="CN151" s="315">
        <f t="shared" si="81"/>
        <v>37712</v>
      </c>
      <c r="CO151" s="312">
        <f t="shared" si="82"/>
        <v>1</v>
      </c>
      <c r="CQ151" s="315">
        <f t="shared" si="83"/>
        <v>37712</v>
      </c>
      <c r="CR151" s="316">
        <f t="shared" si="84"/>
        <v>2.531000000000001</v>
      </c>
      <c r="CW151" s="658" t="s">
        <v>392</v>
      </c>
      <c r="CX151" s="242" t="str">
        <f t="shared" si="91"/>
        <v>TRF2 alcança 100% no Ranking da Transparência do CNJ</v>
      </c>
    </row>
    <row r="152" spans="2:102" ht="15" customHeight="1">
      <c r="B152" s="163">
        <v>40969</v>
      </c>
      <c r="C152" s="165">
        <v>622</v>
      </c>
      <c r="D152" s="274">
        <f t="shared" si="85"/>
        <v>40969</v>
      </c>
      <c r="E152" s="275">
        <f t="shared" si="86"/>
        <v>622</v>
      </c>
      <c r="G152" s="163">
        <v>41334</v>
      </c>
      <c r="H152" s="163">
        <v>41365</v>
      </c>
      <c r="I152" s="164">
        <v>0</v>
      </c>
      <c r="J152" s="159">
        <f t="shared" si="87"/>
        <v>41365</v>
      </c>
      <c r="K152" s="278">
        <f t="shared" si="88"/>
        <v>0</v>
      </c>
      <c r="M152" s="163">
        <v>39479</v>
      </c>
      <c r="N152" s="163">
        <v>39508</v>
      </c>
      <c r="O152" s="164">
        <v>5.0000000000000001E-3</v>
      </c>
      <c r="P152" s="159">
        <f t="shared" si="76"/>
        <v>39479</v>
      </c>
      <c r="Q152" s="292">
        <f t="shared" si="73"/>
        <v>5.0000000000000001E-3</v>
      </c>
      <c r="S152" s="163">
        <v>39508</v>
      </c>
      <c r="T152" s="164">
        <v>8.3999999999999995E-3</v>
      </c>
      <c r="U152" s="159">
        <f t="shared" si="89"/>
        <v>39508</v>
      </c>
      <c r="V152" s="285">
        <f t="shared" si="90"/>
        <v>8.3999999999999995E-3</v>
      </c>
      <c r="BM152" s="31" t="s">
        <v>197</v>
      </c>
      <c r="BN152" s="168">
        <f t="shared" si="74"/>
        <v>37742</v>
      </c>
      <c r="BO152" s="37">
        <v>0</v>
      </c>
      <c r="BP152" s="278">
        <f t="shared" si="69"/>
        <v>0</v>
      </c>
      <c r="BQ152" s="312">
        <f t="shared" si="77"/>
        <v>1.1656213848043593</v>
      </c>
      <c r="BS152" s="31" t="s">
        <v>43</v>
      </c>
      <c r="BT152" s="159">
        <f t="shared" si="92"/>
        <v>37742</v>
      </c>
      <c r="BU152" s="162">
        <f t="shared" si="93"/>
        <v>1.9699999999999999E-2</v>
      </c>
      <c r="BV152" s="311">
        <f t="shared" si="78"/>
        <v>2.5123000000000011</v>
      </c>
      <c r="BX152" s="170" t="s">
        <v>43</v>
      </c>
      <c r="BY152" s="159">
        <f t="shared" si="70"/>
        <v>37742</v>
      </c>
      <c r="BZ152" s="162">
        <f t="shared" si="71"/>
        <v>1.9699999999999999E-2</v>
      </c>
      <c r="CA152" s="162">
        <f t="shared" si="79"/>
        <v>1.8045419999999999</v>
      </c>
      <c r="CF152" s="31" t="s">
        <v>197</v>
      </c>
      <c r="CG152" s="168">
        <f t="shared" si="75"/>
        <v>37742</v>
      </c>
      <c r="CH152" s="37">
        <v>0</v>
      </c>
      <c r="CI152" s="314">
        <f t="shared" si="72"/>
        <v>0</v>
      </c>
      <c r="CJ152" s="312">
        <f t="shared" si="80"/>
        <v>1</v>
      </c>
      <c r="CN152" s="315">
        <f t="shared" si="81"/>
        <v>37742</v>
      </c>
      <c r="CO152" s="312">
        <f t="shared" si="82"/>
        <v>1</v>
      </c>
      <c r="CQ152" s="315">
        <f t="shared" si="83"/>
        <v>37742</v>
      </c>
      <c r="CR152" s="316">
        <f t="shared" si="84"/>
        <v>2.5123000000000011</v>
      </c>
      <c r="CW152" s="659"/>
      <c r="CX152" s="242" t="str">
        <f t="shared" si="91"/>
        <v/>
      </c>
    </row>
    <row r="153" spans="2:102" ht="15" customHeight="1">
      <c r="B153" s="163">
        <v>41000</v>
      </c>
      <c r="C153" s="165">
        <v>622</v>
      </c>
      <c r="D153" s="274">
        <f t="shared" si="85"/>
        <v>41000</v>
      </c>
      <c r="E153" s="275">
        <f t="shared" si="86"/>
        <v>622</v>
      </c>
      <c r="G153" s="163">
        <v>41365</v>
      </c>
      <c r="H153" s="163">
        <v>41395</v>
      </c>
      <c r="I153" s="164">
        <v>0</v>
      </c>
      <c r="J153" s="159">
        <f t="shared" si="87"/>
        <v>41395</v>
      </c>
      <c r="K153" s="278">
        <f t="shared" si="88"/>
        <v>0</v>
      </c>
      <c r="M153" s="163">
        <v>39508</v>
      </c>
      <c r="N153" s="163">
        <v>39539</v>
      </c>
      <c r="O153" s="164">
        <v>5.0000000000000001E-3</v>
      </c>
      <c r="P153" s="159">
        <f t="shared" si="76"/>
        <v>39508</v>
      </c>
      <c r="Q153" s="292">
        <f t="shared" si="73"/>
        <v>5.0000000000000001E-3</v>
      </c>
      <c r="S153" s="163">
        <v>39539</v>
      </c>
      <c r="T153" s="164">
        <v>8.9999999999999993E-3</v>
      </c>
      <c r="U153" s="159">
        <f t="shared" si="89"/>
        <v>39539</v>
      </c>
      <c r="V153" s="285">
        <f t="shared" si="90"/>
        <v>8.9999999999999993E-3</v>
      </c>
      <c r="BM153" s="31" t="s">
        <v>197</v>
      </c>
      <c r="BN153" s="168">
        <f t="shared" si="74"/>
        <v>37773</v>
      </c>
      <c r="BO153" s="37">
        <v>0</v>
      </c>
      <c r="BP153" s="278">
        <f t="shared" si="69"/>
        <v>0</v>
      </c>
      <c r="BQ153" s="312">
        <f t="shared" si="77"/>
        <v>1.1656213848043593</v>
      </c>
      <c r="BS153" s="31" t="s">
        <v>43</v>
      </c>
      <c r="BT153" s="159">
        <f t="shared" si="92"/>
        <v>37773</v>
      </c>
      <c r="BU153" s="162">
        <f t="shared" si="93"/>
        <v>1.8599999999999998E-2</v>
      </c>
      <c r="BV153" s="311">
        <f t="shared" si="78"/>
        <v>2.4926000000000013</v>
      </c>
      <c r="BX153" s="170" t="s">
        <v>43</v>
      </c>
      <c r="BY153" s="159">
        <f t="shared" si="70"/>
        <v>37773</v>
      </c>
      <c r="BZ153" s="162">
        <f t="shared" si="71"/>
        <v>1.8599999999999998E-2</v>
      </c>
      <c r="CA153" s="162">
        <f t="shared" si="79"/>
        <v>1.7848419999999998</v>
      </c>
      <c r="CF153" s="31" t="s">
        <v>197</v>
      </c>
      <c r="CG153" s="168">
        <f t="shared" si="75"/>
        <v>37773</v>
      </c>
      <c r="CH153" s="37">
        <v>0</v>
      </c>
      <c r="CI153" s="314">
        <f t="shared" si="72"/>
        <v>0</v>
      </c>
      <c r="CJ153" s="312">
        <f t="shared" si="80"/>
        <v>1</v>
      </c>
      <c r="CN153" s="315">
        <f t="shared" si="81"/>
        <v>37773</v>
      </c>
      <c r="CO153" s="312">
        <f t="shared" si="82"/>
        <v>1</v>
      </c>
      <c r="CQ153" s="315">
        <f t="shared" si="83"/>
        <v>37773</v>
      </c>
      <c r="CR153" s="316">
        <f t="shared" si="84"/>
        <v>2.4926000000000013</v>
      </c>
      <c r="CW153" s="660" t="s">
        <v>394</v>
      </c>
      <c r="CX153" s="242" t="str">
        <f t="shared" si="91"/>
        <v>Anterior Próximo</v>
      </c>
    </row>
    <row r="154" spans="2:102" ht="15" customHeight="1">
      <c r="B154" s="163">
        <v>41030</v>
      </c>
      <c r="C154" s="165">
        <v>622</v>
      </c>
      <c r="D154" s="274">
        <f t="shared" si="85"/>
        <v>41030</v>
      </c>
      <c r="E154" s="275">
        <f t="shared" si="86"/>
        <v>622</v>
      </c>
      <c r="G154" s="163">
        <v>41395</v>
      </c>
      <c r="H154" s="163">
        <v>41426</v>
      </c>
      <c r="I154" s="164">
        <v>0</v>
      </c>
      <c r="J154" s="159">
        <f t="shared" si="87"/>
        <v>41426</v>
      </c>
      <c r="K154" s="278">
        <f t="shared" si="88"/>
        <v>0</v>
      </c>
      <c r="M154" s="163">
        <v>39539</v>
      </c>
      <c r="N154" s="163">
        <v>39569</v>
      </c>
      <c r="O154" s="164">
        <v>5.0000000000000001E-3</v>
      </c>
      <c r="P154" s="159">
        <f t="shared" si="76"/>
        <v>39539</v>
      </c>
      <c r="Q154" s="292">
        <f t="shared" si="73"/>
        <v>5.0000000000000001E-3</v>
      </c>
      <c r="S154" s="163">
        <v>39569</v>
      </c>
      <c r="T154" s="164">
        <v>8.8000000000000005E-3</v>
      </c>
      <c r="U154" s="159">
        <f t="shared" si="89"/>
        <v>39569</v>
      </c>
      <c r="V154" s="285">
        <f t="shared" si="90"/>
        <v>8.8000000000000005E-3</v>
      </c>
      <c r="BM154" s="31" t="s">
        <v>197</v>
      </c>
      <c r="BN154" s="168">
        <f t="shared" si="74"/>
        <v>37803</v>
      </c>
      <c r="BO154" s="37">
        <v>0</v>
      </c>
      <c r="BP154" s="278">
        <f t="shared" si="69"/>
        <v>0</v>
      </c>
      <c r="BQ154" s="312">
        <f t="shared" si="77"/>
        <v>1.1656213848043593</v>
      </c>
      <c r="BS154" s="31" t="s">
        <v>43</v>
      </c>
      <c r="BT154" s="159">
        <f t="shared" si="92"/>
        <v>37803</v>
      </c>
      <c r="BU154" s="162">
        <f t="shared" si="93"/>
        <v>2.0799999999999999E-2</v>
      </c>
      <c r="BV154" s="311">
        <f t="shared" si="78"/>
        <v>2.4740000000000011</v>
      </c>
      <c r="BX154" s="170" t="s">
        <v>43</v>
      </c>
      <c r="BY154" s="159">
        <f t="shared" si="70"/>
        <v>37803</v>
      </c>
      <c r="BZ154" s="162">
        <f t="shared" si="71"/>
        <v>2.0799999999999999E-2</v>
      </c>
      <c r="CA154" s="162">
        <f t="shared" si="79"/>
        <v>1.7662419999999999</v>
      </c>
      <c r="CF154" s="31" t="s">
        <v>197</v>
      </c>
      <c r="CG154" s="168">
        <f t="shared" si="75"/>
        <v>37803</v>
      </c>
      <c r="CH154" s="37">
        <v>0</v>
      </c>
      <c r="CI154" s="314">
        <f t="shared" si="72"/>
        <v>0</v>
      </c>
      <c r="CJ154" s="312">
        <f t="shared" si="80"/>
        <v>1</v>
      </c>
      <c r="CN154" s="315">
        <f t="shared" si="81"/>
        <v>37803</v>
      </c>
      <c r="CO154" s="312">
        <f t="shared" si="82"/>
        <v>1</v>
      </c>
      <c r="CQ154" s="315">
        <f t="shared" si="83"/>
        <v>37803</v>
      </c>
      <c r="CR154" s="316">
        <f t="shared" si="84"/>
        <v>2.4740000000000011</v>
      </c>
      <c r="CW154" s="650" t="s">
        <v>395</v>
      </c>
      <c r="CX154" s="242" t="str">
        <f t="shared" si="91"/>
        <v>Trabalhos de identificação das provas e a divulgação das notas da prova discursiva</v>
      </c>
    </row>
    <row r="155" spans="2:102" ht="15" customHeight="1">
      <c r="B155" s="163">
        <v>41061</v>
      </c>
      <c r="C155" s="165">
        <v>622</v>
      </c>
      <c r="D155" s="274">
        <f t="shared" si="85"/>
        <v>41061</v>
      </c>
      <c r="E155" s="275">
        <f t="shared" si="86"/>
        <v>622</v>
      </c>
      <c r="G155" s="163">
        <v>41426</v>
      </c>
      <c r="H155" s="163">
        <v>41456</v>
      </c>
      <c r="I155" s="164">
        <v>0</v>
      </c>
      <c r="J155" s="159">
        <f t="shared" si="87"/>
        <v>41456</v>
      </c>
      <c r="K155" s="278">
        <f t="shared" si="88"/>
        <v>0</v>
      </c>
      <c r="M155" s="163">
        <v>39569</v>
      </c>
      <c r="N155" s="163">
        <v>39600</v>
      </c>
      <c r="O155" s="164">
        <v>5.0000000000000001E-3</v>
      </c>
      <c r="P155" s="159">
        <f t="shared" si="76"/>
        <v>39569</v>
      </c>
      <c r="Q155" s="292">
        <f t="shared" si="73"/>
        <v>5.0000000000000001E-3</v>
      </c>
      <c r="S155" s="163">
        <v>39600</v>
      </c>
      <c r="T155" s="164">
        <v>9.5999999999999992E-3</v>
      </c>
      <c r="U155" s="159">
        <f t="shared" si="89"/>
        <v>39600</v>
      </c>
      <c r="V155" s="285">
        <f t="shared" si="90"/>
        <v>9.5999999999999992E-3</v>
      </c>
      <c r="BM155" s="31" t="s">
        <v>197</v>
      </c>
      <c r="BN155" s="168">
        <f t="shared" si="74"/>
        <v>37834</v>
      </c>
      <c r="BO155" s="37">
        <v>0</v>
      </c>
      <c r="BP155" s="278">
        <f t="shared" si="69"/>
        <v>0</v>
      </c>
      <c r="BQ155" s="312">
        <f t="shared" si="77"/>
        <v>1.1656213848043593</v>
      </c>
      <c r="BS155" s="31" t="s">
        <v>43</v>
      </c>
      <c r="BT155" s="159">
        <f t="shared" si="92"/>
        <v>37834</v>
      </c>
      <c r="BU155" s="162">
        <f t="shared" si="93"/>
        <v>1.77E-2</v>
      </c>
      <c r="BV155" s="311">
        <f t="shared" si="78"/>
        <v>2.4532000000000012</v>
      </c>
      <c r="BX155" s="170" t="s">
        <v>43</v>
      </c>
      <c r="BY155" s="159">
        <f t="shared" si="70"/>
        <v>37834</v>
      </c>
      <c r="BZ155" s="162">
        <f t="shared" si="71"/>
        <v>1.77E-2</v>
      </c>
      <c r="CA155" s="162">
        <f t="shared" si="79"/>
        <v>1.7454419999999999</v>
      </c>
      <c r="CF155" s="31" t="s">
        <v>197</v>
      </c>
      <c r="CG155" s="168">
        <f t="shared" si="75"/>
        <v>37834</v>
      </c>
      <c r="CH155" s="37">
        <v>0</v>
      </c>
      <c r="CI155" s="314">
        <f t="shared" si="72"/>
        <v>0</v>
      </c>
      <c r="CJ155" s="312">
        <f t="shared" si="80"/>
        <v>1</v>
      </c>
      <c r="CN155" s="315">
        <f t="shared" si="81"/>
        <v>37834</v>
      </c>
      <c r="CO155" s="312">
        <f t="shared" si="82"/>
        <v>1</v>
      </c>
      <c r="CQ155" s="315">
        <f t="shared" si="83"/>
        <v>37834</v>
      </c>
      <c r="CR155" s="316">
        <f t="shared" si="84"/>
        <v>2.4532000000000012</v>
      </c>
      <c r="CW155" s="657" t="s">
        <v>396</v>
      </c>
      <c r="CX155" s="242" t="str">
        <f t="shared" si="91"/>
        <v>11 Setembro, 2026 JF2</v>
      </c>
    </row>
    <row r="156" spans="2:102" ht="15" customHeight="1">
      <c r="B156" s="163">
        <v>41091</v>
      </c>
      <c r="C156" s="165">
        <v>622</v>
      </c>
      <c r="D156" s="274">
        <f t="shared" si="85"/>
        <v>41091</v>
      </c>
      <c r="E156" s="275">
        <f t="shared" si="86"/>
        <v>622</v>
      </c>
      <c r="G156" s="163">
        <v>41456</v>
      </c>
      <c r="H156" s="163">
        <v>41487</v>
      </c>
      <c r="I156" s="164">
        <v>2.0900000000000001E-4</v>
      </c>
      <c r="J156" s="159">
        <f t="shared" si="87"/>
        <v>41487</v>
      </c>
      <c r="K156" s="278">
        <f t="shared" si="88"/>
        <v>2.0900000000000001E-4</v>
      </c>
      <c r="M156" s="163">
        <v>39600</v>
      </c>
      <c r="N156" s="163">
        <v>39630</v>
      </c>
      <c r="O156" s="164">
        <v>5.0000000000000001E-3</v>
      </c>
      <c r="P156" s="159">
        <f t="shared" si="76"/>
        <v>39600</v>
      </c>
      <c r="Q156" s="292">
        <f t="shared" si="73"/>
        <v>5.0000000000000001E-3</v>
      </c>
      <c r="S156" s="163">
        <v>39630</v>
      </c>
      <c r="T156" s="164">
        <v>1.0699999999999999E-2</v>
      </c>
      <c r="U156" s="159">
        <f t="shared" si="89"/>
        <v>39630</v>
      </c>
      <c r="V156" s="285">
        <f t="shared" si="90"/>
        <v>1.0699999999999999E-2</v>
      </c>
      <c r="BM156" s="31" t="s">
        <v>197</v>
      </c>
      <c r="BN156" s="168">
        <f t="shared" si="74"/>
        <v>37865</v>
      </c>
      <c r="BO156" s="37">
        <v>0</v>
      </c>
      <c r="BP156" s="278">
        <f t="shared" si="69"/>
        <v>0</v>
      </c>
      <c r="BQ156" s="312">
        <f t="shared" si="77"/>
        <v>1.1656213848043593</v>
      </c>
      <c r="BS156" s="31" t="s">
        <v>43</v>
      </c>
      <c r="BT156" s="159">
        <f t="shared" si="92"/>
        <v>37865</v>
      </c>
      <c r="BU156" s="162">
        <f t="shared" si="93"/>
        <v>1.6799999999999999E-2</v>
      </c>
      <c r="BV156" s="311">
        <f t="shared" si="78"/>
        <v>2.4355000000000011</v>
      </c>
      <c r="BX156" s="170" t="s">
        <v>43</v>
      </c>
      <c r="BY156" s="159">
        <f t="shared" si="70"/>
        <v>37865</v>
      </c>
      <c r="BZ156" s="162">
        <f t="shared" si="71"/>
        <v>1.6799999999999999E-2</v>
      </c>
      <c r="CA156" s="162">
        <f t="shared" si="79"/>
        <v>1.7277419999999999</v>
      </c>
      <c r="CF156" s="31" t="s">
        <v>197</v>
      </c>
      <c r="CG156" s="168">
        <f t="shared" si="75"/>
        <v>37865</v>
      </c>
      <c r="CH156" s="37">
        <v>0</v>
      </c>
      <c r="CI156" s="314">
        <f t="shared" si="72"/>
        <v>0</v>
      </c>
      <c r="CJ156" s="312">
        <f t="shared" si="80"/>
        <v>1</v>
      </c>
      <c r="CN156" s="315">
        <f t="shared" si="81"/>
        <v>37865</v>
      </c>
      <c r="CO156" s="312">
        <f t="shared" si="82"/>
        <v>1</v>
      </c>
      <c r="CQ156" s="315">
        <f t="shared" si="83"/>
        <v>37865</v>
      </c>
      <c r="CR156" s="316">
        <f t="shared" si="84"/>
        <v>2.4355000000000011</v>
      </c>
      <c r="CW156" s="658" t="s">
        <v>397</v>
      </c>
      <c r="CX156" s="242" t="str">
        <f t="shared" si="91"/>
        <v>TRF2 adota sistema digital pioneiro em concurso para juiz federal</v>
      </c>
    </row>
    <row r="157" spans="2:102" ht="15" customHeight="1">
      <c r="B157" s="163">
        <v>41122</v>
      </c>
      <c r="C157" s="165">
        <v>622</v>
      </c>
      <c r="D157" s="274">
        <f t="shared" si="85"/>
        <v>41122</v>
      </c>
      <c r="E157" s="275">
        <f t="shared" si="86"/>
        <v>622</v>
      </c>
      <c r="G157" s="163">
        <v>41487</v>
      </c>
      <c r="H157" s="163">
        <v>41518</v>
      </c>
      <c r="I157" s="164">
        <v>0</v>
      </c>
      <c r="J157" s="159">
        <f t="shared" si="87"/>
        <v>41518</v>
      </c>
      <c r="K157" s="278">
        <f t="shared" si="88"/>
        <v>0</v>
      </c>
      <c r="M157" s="163">
        <v>39630</v>
      </c>
      <c r="N157" s="163">
        <v>39661</v>
      </c>
      <c r="O157" s="164">
        <v>5.0000000000000001E-3</v>
      </c>
      <c r="P157" s="159">
        <f t="shared" si="76"/>
        <v>39630</v>
      </c>
      <c r="Q157" s="292">
        <f t="shared" si="73"/>
        <v>5.0000000000000001E-3</v>
      </c>
      <c r="S157" s="163">
        <v>39661</v>
      </c>
      <c r="T157" s="164">
        <v>1.0200000000000001E-2</v>
      </c>
      <c r="U157" s="159">
        <f t="shared" si="89"/>
        <v>39661</v>
      </c>
      <c r="V157" s="285">
        <f t="shared" si="90"/>
        <v>1.0200000000000001E-2</v>
      </c>
      <c r="BM157" s="31" t="s">
        <v>197</v>
      </c>
      <c r="BN157" s="168">
        <f t="shared" si="74"/>
        <v>37895</v>
      </c>
      <c r="BO157" s="37">
        <v>0</v>
      </c>
      <c r="BP157" s="278">
        <f t="shared" si="69"/>
        <v>0</v>
      </c>
      <c r="BQ157" s="312">
        <f t="shared" si="77"/>
        <v>1.1656213848043593</v>
      </c>
      <c r="BS157" s="31" t="s">
        <v>43</v>
      </c>
      <c r="BT157" s="159">
        <f t="shared" si="92"/>
        <v>37895</v>
      </c>
      <c r="BU157" s="162">
        <f t="shared" si="93"/>
        <v>1.6400000000000001E-2</v>
      </c>
      <c r="BV157" s="311">
        <f t="shared" si="78"/>
        <v>2.4187000000000012</v>
      </c>
      <c r="BX157" s="170" t="s">
        <v>43</v>
      </c>
      <c r="BY157" s="159">
        <f t="shared" si="70"/>
        <v>37895</v>
      </c>
      <c r="BZ157" s="162">
        <f t="shared" si="71"/>
        <v>1.6400000000000001E-2</v>
      </c>
      <c r="CA157" s="162">
        <f t="shared" si="79"/>
        <v>1.710942</v>
      </c>
      <c r="CF157" s="31" t="s">
        <v>197</v>
      </c>
      <c r="CG157" s="168">
        <f t="shared" si="75"/>
        <v>37895</v>
      </c>
      <c r="CH157" s="37">
        <v>0</v>
      </c>
      <c r="CI157" s="314">
        <f t="shared" si="72"/>
        <v>0</v>
      </c>
      <c r="CJ157" s="312">
        <f t="shared" si="80"/>
        <v>1</v>
      </c>
      <c r="CN157" s="315">
        <f t="shared" si="81"/>
        <v>37895</v>
      </c>
      <c r="CO157" s="312">
        <f t="shared" si="82"/>
        <v>1</v>
      </c>
      <c r="CQ157" s="315">
        <f t="shared" si="83"/>
        <v>37895</v>
      </c>
      <c r="CR157" s="316">
        <f t="shared" si="84"/>
        <v>2.4187000000000012</v>
      </c>
      <c r="CW157"/>
      <c r="CX157" s="242" t="str">
        <f t="shared" si="91"/>
        <v/>
      </c>
    </row>
    <row r="158" spans="2:102" ht="15" customHeight="1">
      <c r="B158" s="163">
        <v>41153</v>
      </c>
      <c r="C158" s="165">
        <v>622</v>
      </c>
      <c r="D158" s="274">
        <f t="shared" si="85"/>
        <v>41153</v>
      </c>
      <c r="E158" s="275">
        <f t="shared" si="86"/>
        <v>622</v>
      </c>
      <c r="G158" s="163">
        <v>41518</v>
      </c>
      <c r="H158" s="163">
        <v>41548</v>
      </c>
      <c r="I158" s="164">
        <v>7.8999999999999996E-5</v>
      </c>
      <c r="J158" s="159">
        <f t="shared" si="87"/>
        <v>41548</v>
      </c>
      <c r="K158" s="278">
        <f t="shared" si="88"/>
        <v>7.8999999999999996E-5</v>
      </c>
      <c r="M158" s="163">
        <v>39661</v>
      </c>
      <c r="N158" s="163">
        <v>39692</v>
      </c>
      <c r="O158" s="164">
        <v>5.0000000000000001E-3</v>
      </c>
      <c r="P158" s="159">
        <f t="shared" si="76"/>
        <v>39661</v>
      </c>
      <c r="Q158" s="292">
        <f t="shared" si="73"/>
        <v>5.0000000000000001E-3</v>
      </c>
      <c r="S158" s="163">
        <v>39692</v>
      </c>
      <c r="T158" s="164">
        <v>1.0999999999999999E-2</v>
      </c>
      <c r="U158" s="159">
        <f t="shared" si="89"/>
        <v>39692</v>
      </c>
      <c r="V158" s="285">
        <f t="shared" si="90"/>
        <v>1.0999999999999999E-2</v>
      </c>
      <c r="BM158" s="31" t="s">
        <v>197</v>
      </c>
      <c r="BN158" s="168">
        <f t="shared" si="74"/>
        <v>37926</v>
      </c>
      <c r="BO158" s="37">
        <v>0</v>
      </c>
      <c r="BP158" s="278">
        <f t="shared" si="69"/>
        <v>0</v>
      </c>
      <c r="BQ158" s="312">
        <f t="shared" si="77"/>
        <v>1.1656213848043593</v>
      </c>
      <c r="BS158" s="31" t="s">
        <v>43</v>
      </c>
      <c r="BT158" s="159">
        <f t="shared" si="92"/>
        <v>37926</v>
      </c>
      <c r="BU158" s="162">
        <f t="shared" si="93"/>
        <v>1.34E-2</v>
      </c>
      <c r="BV158" s="311">
        <f t="shared" si="78"/>
        <v>2.4023000000000012</v>
      </c>
      <c r="BX158" s="170" t="s">
        <v>43</v>
      </c>
      <c r="BY158" s="159">
        <f t="shared" si="70"/>
        <v>37926</v>
      </c>
      <c r="BZ158" s="162">
        <f t="shared" si="71"/>
        <v>1.34E-2</v>
      </c>
      <c r="CA158" s="162">
        <f t="shared" si="79"/>
        <v>1.694542</v>
      </c>
      <c r="CF158" s="31" t="s">
        <v>197</v>
      </c>
      <c r="CG158" s="168">
        <f t="shared" si="75"/>
        <v>37926</v>
      </c>
      <c r="CH158" s="37">
        <v>0</v>
      </c>
      <c r="CI158" s="314">
        <f t="shared" si="72"/>
        <v>0</v>
      </c>
      <c r="CJ158" s="312">
        <f t="shared" si="80"/>
        <v>1</v>
      </c>
      <c r="CN158" s="315">
        <f t="shared" si="81"/>
        <v>37926</v>
      </c>
      <c r="CO158" s="312">
        <f t="shared" si="82"/>
        <v>1</v>
      </c>
      <c r="CQ158" s="315">
        <f t="shared" si="83"/>
        <v>37926</v>
      </c>
      <c r="CR158" s="316">
        <f t="shared" si="84"/>
        <v>2.4023000000000012</v>
      </c>
      <c r="CW158" s="650" t="s">
        <v>398</v>
      </c>
      <c r="CX158" s="242" t="str">
        <f t="shared" si="91"/>
        <v>Pessoa acessa o ApoIA pelo laptop</v>
      </c>
    </row>
    <row r="159" spans="2:102" ht="15" customHeight="1">
      <c r="B159" s="163">
        <v>41183</v>
      </c>
      <c r="C159" s="165">
        <v>622</v>
      </c>
      <c r="D159" s="274">
        <f t="shared" si="85"/>
        <v>41183</v>
      </c>
      <c r="E159" s="275">
        <f t="shared" si="86"/>
        <v>622</v>
      </c>
      <c r="G159" s="163">
        <v>41548</v>
      </c>
      <c r="H159" s="163">
        <v>41579</v>
      </c>
      <c r="I159" s="164">
        <v>9.2000000000000003E-4</v>
      </c>
      <c r="J159" s="159">
        <f t="shared" si="87"/>
        <v>41579</v>
      </c>
      <c r="K159" s="278">
        <f t="shared" si="88"/>
        <v>9.2000000000000003E-4</v>
      </c>
      <c r="M159" s="163">
        <v>39692</v>
      </c>
      <c r="N159" s="163">
        <v>39722</v>
      </c>
      <c r="O159" s="164">
        <v>5.0000000000000001E-3</v>
      </c>
      <c r="P159" s="159">
        <f t="shared" si="76"/>
        <v>39692</v>
      </c>
      <c r="Q159" s="292">
        <f t="shared" si="73"/>
        <v>5.0000000000000001E-3</v>
      </c>
      <c r="S159" s="163">
        <v>39722</v>
      </c>
      <c r="T159" s="164">
        <v>1.18E-2</v>
      </c>
      <c r="U159" s="159">
        <f t="shared" si="89"/>
        <v>39722</v>
      </c>
      <c r="V159" s="285">
        <f t="shared" si="90"/>
        <v>1.18E-2</v>
      </c>
      <c r="BM159" s="31" t="s">
        <v>197</v>
      </c>
      <c r="BN159" s="168">
        <f t="shared" si="74"/>
        <v>37956</v>
      </c>
      <c r="BO159" s="37">
        <v>0</v>
      </c>
      <c r="BP159" s="278">
        <f t="shared" si="69"/>
        <v>0</v>
      </c>
      <c r="BQ159" s="312">
        <f t="shared" si="77"/>
        <v>1.1656213848043593</v>
      </c>
      <c r="BS159" s="31" t="s">
        <v>43</v>
      </c>
      <c r="BT159" s="159">
        <f t="shared" si="92"/>
        <v>37956</v>
      </c>
      <c r="BU159" s="162">
        <f t="shared" si="93"/>
        <v>1.37E-2</v>
      </c>
      <c r="BV159" s="311">
        <f t="shared" si="78"/>
        <v>2.3889000000000014</v>
      </c>
      <c r="BX159" s="170" t="s">
        <v>43</v>
      </c>
      <c r="BY159" s="159">
        <f t="shared" si="70"/>
        <v>37956</v>
      </c>
      <c r="BZ159" s="162">
        <f t="shared" si="71"/>
        <v>1.37E-2</v>
      </c>
      <c r="CA159" s="162">
        <f t="shared" si="79"/>
        <v>1.6811419999999999</v>
      </c>
      <c r="CF159" s="31" t="s">
        <v>197</v>
      </c>
      <c r="CG159" s="168">
        <f t="shared" si="75"/>
        <v>37956</v>
      </c>
      <c r="CH159" s="37">
        <v>0</v>
      </c>
      <c r="CI159" s="314">
        <f t="shared" si="72"/>
        <v>0</v>
      </c>
      <c r="CJ159" s="312">
        <f t="shared" si="80"/>
        <v>1</v>
      </c>
      <c r="CN159" s="315">
        <f t="shared" si="81"/>
        <v>37956</v>
      </c>
      <c r="CO159" s="312">
        <f t="shared" si="82"/>
        <v>1</v>
      </c>
      <c r="CQ159" s="315">
        <f t="shared" si="83"/>
        <v>37956</v>
      </c>
      <c r="CR159" s="316">
        <f t="shared" si="84"/>
        <v>2.3889000000000014</v>
      </c>
      <c r="CW159" s="657" t="s">
        <v>399</v>
      </c>
      <c r="CX159" s="242" t="str">
        <f t="shared" si="91"/>
        <v>10 Setembro, 2026 JF2</v>
      </c>
    </row>
    <row r="160" spans="2:102" ht="15" customHeight="1">
      <c r="B160" s="163">
        <v>41214</v>
      </c>
      <c r="C160" s="165">
        <v>622</v>
      </c>
      <c r="D160" s="274">
        <f t="shared" si="85"/>
        <v>41214</v>
      </c>
      <c r="E160" s="275">
        <f t="shared" si="86"/>
        <v>622</v>
      </c>
      <c r="G160" s="163">
        <v>41579</v>
      </c>
      <c r="H160" s="163">
        <v>41609</v>
      </c>
      <c r="I160" s="164">
        <v>2.0699999999999999E-4</v>
      </c>
      <c r="J160" s="159">
        <f t="shared" si="87"/>
        <v>41609</v>
      </c>
      <c r="K160" s="278">
        <f t="shared" si="88"/>
        <v>2.0699999999999999E-4</v>
      </c>
      <c r="M160" s="163">
        <v>39722</v>
      </c>
      <c r="N160" s="163">
        <v>39753</v>
      </c>
      <c r="O160" s="164">
        <v>5.0000000000000001E-3</v>
      </c>
      <c r="P160" s="159">
        <f t="shared" si="76"/>
        <v>39722</v>
      </c>
      <c r="Q160" s="292">
        <f t="shared" si="73"/>
        <v>5.0000000000000001E-3</v>
      </c>
      <c r="S160" s="163">
        <v>39753</v>
      </c>
      <c r="T160" s="164">
        <v>1.0200000000000001E-2</v>
      </c>
      <c r="U160" s="159">
        <f t="shared" si="89"/>
        <v>39753</v>
      </c>
      <c r="V160" s="285">
        <f t="shared" si="90"/>
        <v>1.0200000000000001E-2</v>
      </c>
      <c r="BM160" s="31" t="s">
        <v>197</v>
      </c>
      <c r="BN160" s="168">
        <f t="shared" si="74"/>
        <v>37987</v>
      </c>
      <c r="BO160" s="37">
        <v>0</v>
      </c>
      <c r="BP160" s="278">
        <f t="shared" si="69"/>
        <v>0</v>
      </c>
      <c r="BQ160" s="312">
        <f t="shared" si="77"/>
        <v>1.1656213848043593</v>
      </c>
      <c r="BS160" s="31" t="s">
        <v>43</v>
      </c>
      <c r="BT160" s="159">
        <f t="shared" si="92"/>
        <v>37987</v>
      </c>
      <c r="BU160" s="162">
        <f t="shared" si="93"/>
        <v>1.2699999999999999E-2</v>
      </c>
      <c r="BV160" s="311">
        <f t="shared" si="78"/>
        <v>2.3752000000000013</v>
      </c>
      <c r="BX160" s="170" t="s">
        <v>43</v>
      </c>
      <c r="BY160" s="159">
        <f t="shared" si="70"/>
        <v>37987</v>
      </c>
      <c r="BZ160" s="162">
        <f t="shared" si="71"/>
        <v>1.2699999999999999E-2</v>
      </c>
      <c r="CA160" s="162">
        <f t="shared" si="79"/>
        <v>1.6674419999999999</v>
      </c>
      <c r="CF160" s="31" t="s">
        <v>197</v>
      </c>
      <c r="CG160" s="168">
        <f t="shared" si="75"/>
        <v>37987</v>
      </c>
      <c r="CH160" s="37">
        <v>0</v>
      </c>
      <c r="CI160" s="314">
        <f t="shared" si="72"/>
        <v>0</v>
      </c>
      <c r="CJ160" s="312">
        <f t="shared" si="80"/>
        <v>1</v>
      </c>
      <c r="CN160" s="315">
        <f t="shared" si="81"/>
        <v>37987</v>
      </c>
      <c r="CO160" s="312">
        <f t="shared" si="82"/>
        <v>1</v>
      </c>
      <c r="CQ160" s="315">
        <f t="shared" si="83"/>
        <v>37987</v>
      </c>
      <c r="CR160" s="316">
        <f t="shared" si="84"/>
        <v>2.3752000000000013</v>
      </c>
      <c r="CW160" s="658" t="s">
        <v>400</v>
      </c>
      <c r="CX160" s="242" t="str">
        <f t="shared" si="91"/>
        <v>ApoIA ganha integração direta com o SEI para processos administrativos</v>
      </c>
    </row>
    <row r="161" spans="2:102" ht="15" customHeight="1">
      <c r="B161" s="163">
        <v>41244</v>
      </c>
      <c r="C161" s="165">
        <v>622</v>
      </c>
      <c r="D161" s="274">
        <f t="shared" si="85"/>
        <v>41244</v>
      </c>
      <c r="E161" s="275">
        <f t="shared" si="86"/>
        <v>622</v>
      </c>
      <c r="G161" s="163">
        <v>41609</v>
      </c>
      <c r="H161" s="163">
        <v>41640</v>
      </c>
      <c r="I161" s="164">
        <v>4.9399999999999997E-4</v>
      </c>
      <c r="J161" s="159">
        <f t="shared" si="87"/>
        <v>41640</v>
      </c>
      <c r="K161" s="278">
        <f t="shared" si="88"/>
        <v>4.9399999999999997E-4</v>
      </c>
      <c r="M161" s="163">
        <v>39753</v>
      </c>
      <c r="N161" s="163">
        <v>39783</v>
      </c>
      <c r="O161" s="164">
        <v>5.0000000000000001E-3</v>
      </c>
      <c r="P161" s="159">
        <f t="shared" si="76"/>
        <v>39753</v>
      </c>
      <c r="Q161" s="292">
        <f t="shared" si="73"/>
        <v>5.0000000000000001E-3</v>
      </c>
      <c r="S161" s="163">
        <v>39783</v>
      </c>
      <c r="T161" s="164">
        <v>1.12E-2</v>
      </c>
      <c r="U161" s="159">
        <f t="shared" si="89"/>
        <v>39783</v>
      </c>
      <c r="V161" s="285">
        <f t="shared" si="90"/>
        <v>1.12E-2</v>
      </c>
      <c r="BM161" s="31" t="s">
        <v>197</v>
      </c>
      <c r="BN161" s="168">
        <f t="shared" si="74"/>
        <v>38018</v>
      </c>
      <c r="BO161" s="37">
        <v>0</v>
      </c>
      <c r="BP161" s="278">
        <f t="shared" si="69"/>
        <v>0</v>
      </c>
      <c r="BQ161" s="312">
        <f t="shared" si="77"/>
        <v>1.1656213848043593</v>
      </c>
      <c r="BS161" s="31" t="s">
        <v>43</v>
      </c>
      <c r="BT161" s="159">
        <f t="shared" si="92"/>
        <v>38018</v>
      </c>
      <c r="BU161" s="162">
        <f t="shared" si="93"/>
        <v>1.0800000000000001E-2</v>
      </c>
      <c r="BV161" s="311">
        <f t="shared" si="78"/>
        <v>2.3625000000000012</v>
      </c>
      <c r="BX161" s="170" t="s">
        <v>43</v>
      </c>
      <c r="BY161" s="159">
        <f t="shared" si="70"/>
        <v>38018</v>
      </c>
      <c r="BZ161" s="162">
        <f t="shared" si="71"/>
        <v>1.0800000000000001E-2</v>
      </c>
      <c r="CA161" s="162">
        <f t="shared" si="79"/>
        <v>1.6547419999999999</v>
      </c>
      <c r="CF161" s="31" t="s">
        <v>197</v>
      </c>
      <c r="CG161" s="168">
        <f t="shared" si="75"/>
        <v>38018</v>
      </c>
      <c r="CH161" s="37">
        <v>0</v>
      </c>
      <c r="CI161" s="314">
        <f t="shared" si="72"/>
        <v>0</v>
      </c>
      <c r="CJ161" s="312">
        <f t="shared" si="80"/>
        <v>1</v>
      </c>
      <c r="CN161" s="315">
        <f t="shared" si="81"/>
        <v>38018</v>
      </c>
      <c r="CO161" s="312">
        <f t="shared" si="82"/>
        <v>1</v>
      </c>
      <c r="CQ161" s="315">
        <f t="shared" si="83"/>
        <v>38018</v>
      </c>
      <c r="CR161" s="316">
        <f t="shared" si="84"/>
        <v>2.3625000000000012</v>
      </c>
      <c r="CW161"/>
      <c r="CX161" s="242" t="str">
        <f t="shared" si="91"/>
        <v/>
      </c>
    </row>
    <row r="162" spans="2:102" ht="15" customHeight="1">
      <c r="B162" s="163">
        <v>41275</v>
      </c>
      <c r="C162" s="165">
        <v>678</v>
      </c>
      <c r="D162" s="274">
        <f t="shared" si="85"/>
        <v>41275</v>
      </c>
      <c r="E162" s="275">
        <f t="shared" si="86"/>
        <v>678</v>
      </c>
      <c r="G162" s="163">
        <v>41640</v>
      </c>
      <c r="H162" s="163">
        <v>41671</v>
      </c>
      <c r="I162" s="164">
        <v>1.126E-3</v>
      </c>
      <c r="J162" s="159">
        <f t="shared" si="87"/>
        <v>41671</v>
      </c>
      <c r="K162" s="278">
        <f t="shared" si="88"/>
        <v>1.126E-3</v>
      </c>
      <c r="M162" s="163">
        <v>39783</v>
      </c>
      <c r="N162" s="163">
        <v>39814</v>
      </c>
      <c r="O162" s="164">
        <v>5.0000000000000001E-3</v>
      </c>
      <c r="P162" s="159">
        <f t="shared" si="76"/>
        <v>39783</v>
      </c>
      <c r="Q162" s="292">
        <f t="shared" si="73"/>
        <v>5.0000000000000001E-3</v>
      </c>
      <c r="S162" s="163">
        <v>39814</v>
      </c>
      <c r="T162" s="164">
        <v>1.0500000000000001E-2</v>
      </c>
      <c r="U162" s="159">
        <f t="shared" si="89"/>
        <v>39814</v>
      </c>
      <c r="V162" s="285">
        <f t="shared" si="90"/>
        <v>1.0500000000000001E-2</v>
      </c>
      <c r="BM162" s="31" t="s">
        <v>197</v>
      </c>
      <c r="BN162" s="168">
        <f t="shared" si="74"/>
        <v>38047</v>
      </c>
      <c r="BO162" s="37">
        <v>0</v>
      </c>
      <c r="BP162" s="278">
        <f t="shared" si="69"/>
        <v>0</v>
      </c>
      <c r="BQ162" s="312">
        <f t="shared" si="77"/>
        <v>1.1656213848043593</v>
      </c>
      <c r="BS162" s="31" t="s">
        <v>43</v>
      </c>
      <c r="BT162" s="159">
        <f t="shared" si="92"/>
        <v>38047</v>
      </c>
      <c r="BU162" s="162">
        <f t="shared" si="93"/>
        <v>1.38E-2</v>
      </c>
      <c r="BV162" s="311">
        <f t="shared" si="78"/>
        <v>2.351700000000001</v>
      </c>
      <c r="BX162" s="170" t="s">
        <v>43</v>
      </c>
      <c r="BY162" s="159">
        <f t="shared" si="70"/>
        <v>38047</v>
      </c>
      <c r="BZ162" s="162">
        <f t="shared" si="71"/>
        <v>1.38E-2</v>
      </c>
      <c r="CA162" s="162">
        <f t="shared" si="79"/>
        <v>1.643942</v>
      </c>
      <c r="CF162" s="31" t="s">
        <v>197</v>
      </c>
      <c r="CG162" s="168">
        <f t="shared" si="75"/>
        <v>38047</v>
      </c>
      <c r="CH162" s="37">
        <v>0</v>
      </c>
      <c r="CI162" s="314">
        <f t="shared" si="72"/>
        <v>0</v>
      </c>
      <c r="CJ162" s="312">
        <f t="shared" si="80"/>
        <v>1</v>
      </c>
      <c r="CN162" s="315">
        <f t="shared" si="81"/>
        <v>38047</v>
      </c>
      <c r="CO162" s="312">
        <f t="shared" si="82"/>
        <v>1</v>
      </c>
      <c r="CQ162" s="315">
        <f t="shared" si="83"/>
        <v>38047</v>
      </c>
      <c r="CR162" s="316">
        <f t="shared" si="84"/>
        <v>2.351700000000001</v>
      </c>
      <c r="CW162" s="650" t="s">
        <v>401</v>
      </c>
      <c r="CX162" s="242" t="str">
        <f t="shared" si="91"/>
        <v>O Pleno do TRF2 escolheu seus dois novos integrantes</v>
      </c>
    </row>
    <row r="163" spans="2:102" ht="15" customHeight="1">
      <c r="B163" s="163">
        <v>41306</v>
      </c>
      <c r="C163" s="165">
        <v>678</v>
      </c>
      <c r="D163" s="274">
        <f t="shared" si="85"/>
        <v>41306</v>
      </c>
      <c r="E163" s="275">
        <f t="shared" si="86"/>
        <v>678</v>
      </c>
      <c r="G163" s="163">
        <v>41671</v>
      </c>
      <c r="H163" s="163">
        <v>41699</v>
      </c>
      <c r="I163" s="164">
        <v>5.3700000000000004E-4</v>
      </c>
      <c r="J163" s="159">
        <f t="shared" si="87"/>
        <v>41699</v>
      </c>
      <c r="K163" s="278">
        <f t="shared" si="88"/>
        <v>5.3700000000000004E-4</v>
      </c>
      <c r="M163" s="163">
        <v>39814</v>
      </c>
      <c r="N163" s="163">
        <v>39845</v>
      </c>
      <c r="O163" s="164">
        <v>5.0000000000000001E-3</v>
      </c>
      <c r="P163" s="159">
        <f t="shared" si="76"/>
        <v>39814</v>
      </c>
      <c r="Q163" s="292">
        <f t="shared" si="73"/>
        <v>5.0000000000000001E-3</v>
      </c>
      <c r="S163" s="163">
        <v>39845</v>
      </c>
      <c r="T163" s="164">
        <v>8.6E-3</v>
      </c>
      <c r="U163" s="159">
        <f t="shared" si="89"/>
        <v>39845</v>
      </c>
      <c r="V163" s="285">
        <f t="shared" si="90"/>
        <v>8.6E-3</v>
      </c>
      <c r="BM163" s="31" t="s">
        <v>197</v>
      </c>
      <c r="BN163" s="168">
        <f t="shared" si="74"/>
        <v>38078</v>
      </c>
      <c r="BO163" s="37">
        <v>0</v>
      </c>
      <c r="BP163" s="278">
        <f t="shared" si="69"/>
        <v>0</v>
      </c>
      <c r="BQ163" s="312">
        <f t="shared" si="77"/>
        <v>1.1656213848043593</v>
      </c>
      <c r="BS163" s="31" t="s">
        <v>43</v>
      </c>
      <c r="BT163" s="159">
        <f t="shared" si="92"/>
        <v>38078</v>
      </c>
      <c r="BU163" s="162">
        <f t="shared" si="93"/>
        <v>1.18E-2</v>
      </c>
      <c r="BV163" s="311">
        <f t="shared" si="78"/>
        <v>2.3379000000000012</v>
      </c>
      <c r="BX163" s="170" t="s">
        <v>43</v>
      </c>
      <c r="BY163" s="159">
        <f t="shared" si="70"/>
        <v>38078</v>
      </c>
      <c r="BZ163" s="162">
        <f t="shared" si="71"/>
        <v>1.18E-2</v>
      </c>
      <c r="CA163" s="162">
        <f t="shared" si="79"/>
        <v>1.630142</v>
      </c>
      <c r="CF163" s="31" t="s">
        <v>197</v>
      </c>
      <c r="CG163" s="168">
        <f t="shared" si="75"/>
        <v>38078</v>
      </c>
      <c r="CH163" s="37">
        <v>0</v>
      </c>
      <c r="CI163" s="314">
        <f t="shared" si="72"/>
        <v>0</v>
      </c>
      <c r="CJ163" s="312">
        <f t="shared" si="80"/>
        <v>1</v>
      </c>
      <c r="CN163" s="315">
        <f t="shared" si="81"/>
        <v>38078</v>
      </c>
      <c r="CO163" s="312">
        <f t="shared" si="82"/>
        <v>1</v>
      </c>
      <c r="CQ163" s="315">
        <f t="shared" si="83"/>
        <v>38078</v>
      </c>
      <c r="CR163" s="316">
        <f t="shared" si="84"/>
        <v>2.3379000000000012</v>
      </c>
      <c r="CW163" s="657" t="s">
        <v>402</v>
      </c>
      <c r="CX163" s="242" t="str">
        <f t="shared" si="91"/>
        <v>3 Setembro, 2026 JF2</v>
      </c>
    </row>
    <row r="164" spans="2:102" ht="15" customHeight="1">
      <c r="B164" s="163">
        <v>41334</v>
      </c>
      <c r="C164" s="165">
        <v>678</v>
      </c>
      <c r="D164" s="274">
        <f t="shared" si="85"/>
        <v>41334</v>
      </c>
      <c r="E164" s="275">
        <f t="shared" si="86"/>
        <v>678</v>
      </c>
      <c r="G164" s="163">
        <v>41699</v>
      </c>
      <c r="H164" s="163">
        <v>41730</v>
      </c>
      <c r="I164" s="164">
        <v>2.6600000000000001E-4</v>
      </c>
      <c r="J164" s="159">
        <f t="shared" si="87"/>
        <v>41730</v>
      </c>
      <c r="K164" s="278">
        <f t="shared" si="88"/>
        <v>2.6600000000000001E-4</v>
      </c>
      <c r="M164" s="163">
        <v>39845</v>
      </c>
      <c r="N164" s="163">
        <v>39873</v>
      </c>
      <c r="O164" s="164">
        <v>5.0000000000000001E-3</v>
      </c>
      <c r="P164" s="159">
        <f t="shared" si="76"/>
        <v>39845</v>
      </c>
      <c r="Q164" s="292">
        <f t="shared" si="73"/>
        <v>5.0000000000000001E-3</v>
      </c>
      <c r="S164" s="163">
        <v>39873</v>
      </c>
      <c r="T164" s="164">
        <v>9.7000000000000003E-3</v>
      </c>
      <c r="U164" s="159">
        <f t="shared" si="89"/>
        <v>39873</v>
      </c>
      <c r="V164" s="285">
        <f t="shared" si="90"/>
        <v>9.7000000000000003E-3</v>
      </c>
      <c r="BM164" s="31" t="s">
        <v>197</v>
      </c>
      <c r="BN164" s="168">
        <f t="shared" si="74"/>
        <v>38108</v>
      </c>
      <c r="BO164" s="37">
        <v>0</v>
      </c>
      <c r="BP164" s="278">
        <f t="shared" si="69"/>
        <v>0</v>
      </c>
      <c r="BQ164" s="312">
        <f t="shared" si="77"/>
        <v>1.1656213848043593</v>
      </c>
      <c r="BS164" s="31" t="s">
        <v>43</v>
      </c>
      <c r="BT164" s="159">
        <f t="shared" si="92"/>
        <v>38108</v>
      </c>
      <c r="BU164" s="162">
        <f t="shared" si="93"/>
        <v>1.23E-2</v>
      </c>
      <c r="BV164" s="311">
        <f t="shared" si="78"/>
        <v>2.3261000000000012</v>
      </c>
      <c r="BX164" s="170" t="s">
        <v>43</v>
      </c>
      <c r="BY164" s="159">
        <f t="shared" si="70"/>
        <v>38108</v>
      </c>
      <c r="BZ164" s="162">
        <f t="shared" si="71"/>
        <v>1.23E-2</v>
      </c>
      <c r="CA164" s="162">
        <f t="shared" si="79"/>
        <v>1.6183419999999999</v>
      </c>
      <c r="CF164" s="31" t="s">
        <v>197</v>
      </c>
      <c r="CG164" s="168">
        <f t="shared" si="75"/>
        <v>38108</v>
      </c>
      <c r="CH164" s="37">
        <v>0</v>
      </c>
      <c r="CI164" s="314">
        <f t="shared" si="72"/>
        <v>0</v>
      </c>
      <c r="CJ164" s="312">
        <f t="shared" si="80"/>
        <v>1</v>
      </c>
      <c r="CN164" s="315">
        <f t="shared" si="81"/>
        <v>38108</v>
      </c>
      <c r="CO164" s="312">
        <f t="shared" si="82"/>
        <v>1</v>
      </c>
      <c r="CQ164" s="315">
        <f t="shared" si="83"/>
        <v>38108</v>
      </c>
      <c r="CR164" s="316">
        <f t="shared" si="84"/>
        <v>2.3261000000000012</v>
      </c>
      <c r="CW164" s="658" t="s">
        <v>403</v>
      </c>
      <c r="CX164" s="242" t="str">
        <f t="shared" si="91"/>
        <v>Juíza Federal Geraldine Castro é a primeira promovida por merecimento no TRF2 em lista só de mulheres; Juiz Federal Wilney Magno é promovido por antiguidade</v>
      </c>
    </row>
    <row r="165" spans="2:102" ht="15" customHeight="1">
      <c r="B165" s="163">
        <v>41365</v>
      </c>
      <c r="C165" s="165">
        <v>678</v>
      </c>
      <c r="D165" s="274">
        <f t="shared" si="85"/>
        <v>41365</v>
      </c>
      <c r="E165" s="275">
        <f t="shared" si="86"/>
        <v>678</v>
      </c>
      <c r="G165" s="163">
        <v>41730</v>
      </c>
      <c r="H165" s="163">
        <v>41760</v>
      </c>
      <c r="I165" s="164">
        <v>4.5899999999999999E-4</v>
      </c>
      <c r="J165" s="159">
        <f t="shared" si="87"/>
        <v>41760</v>
      </c>
      <c r="K165" s="278">
        <f t="shared" si="88"/>
        <v>4.5899999999999999E-4</v>
      </c>
      <c r="M165" s="163">
        <v>39873</v>
      </c>
      <c r="N165" s="163">
        <v>39904</v>
      </c>
      <c r="O165" s="164">
        <v>5.0000000000000001E-3</v>
      </c>
      <c r="P165" s="159">
        <f t="shared" si="76"/>
        <v>39873</v>
      </c>
      <c r="Q165" s="292">
        <f t="shared" si="73"/>
        <v>5.0000000000000001E-3</v>
      </c>
      <c r="S165" s="163">
        <v>39904</v>
      </c>
      <c r="T165" s="164">
        <v>8.3999999999999995E-3</v>
      </c>
      <c r="U165" s="159">
        <f t="shared" si="89"/>
        <v>39904</v>
      </c>
      <c r="V165" s="285">
        <f t="shared" si="90"/>
        <v>8.3999999999999995E-3</v>
      </c>
      <c r="BM165" s="31" t="s">
        <v>197</v>
      </c>
      <c r="BN165" s="168">
        <f t="shared" si="74"/>
        <v>38139</v>
      </c>
      <c r="BO165" s="37">
        <v>0</v>
      </c>
      <c r="BP165" s="278">
        <f t="shared" si="69"/>
        <v>0</v>
      </c>
      <c r="BQ165" s="312">
        <f t="shared" si="77"/>
        <v>1.1656213848043593</v>
      </c>
      <c r="BS165" s="31" t="s">
        <v>43</v>
      </c>
      <c r="BT165" s="159">
        <f t="shared" si="92"/>
        <v>38139</v>
      </c>
      <c r="BU165" s="162">
        <f t="shared" si="93"/>
        <v>1.23E-2</v>
      </c>
      <c r="BV165" s="311">
        <f t="shared" si="78"/>
        <v>2.313800000000001</v>
      </c>
      <c r="BX165" s="170" t="s">
        <v>43</v>
      </c>
      <c r="BY165" s="159">
        <f t="shared" si="70"/>
        <v>38139</v>
      </c>
      <c r="BZ165" s="162">
        <f t="shared" si="71"/>
        <v>1.23E-2</v>
      </c>
      <c r="CA165" s="162">
        <f t="shared" si="79"/>
        <v>1.606042</v>
      </c>
      <c r="CF165" s="31" t="s">
        <v>197</v>
      </c>
      <c r="CG165" s="168">
        <f t="shared" si="75"/>
        <v>38139</v>
      </c>
      <c r="CH165" s="37">
        <v>0</v>
      </c>
      <c r="CI165" s="314">
        <f t="shared" si="72"/>
        <v>0</v>
      </c>
      <c r="CJ165" s="312">
        <f t="shared" si="80"/>
        <v>1</v>
      </c>
      <c r="CN165" s="315">
        <f t="shared" si="81"/>
        <v>38139</v>
      </c>
      <c r="CO165" s="312">
        <f t="shared" si="82"/>
        <v>1</v>
      </c>
      <c r="CQ165" s="315">
        <f t="shared" si="83"/>
        <v>38139</v>
      </c>
      <c r="CR165" s="316">
        <f t="shared" si="84"/>
        <v>2.313800000000001</v>
      </c>
      <c r="CW165"/>
      <c r="CX165" s="242" t="str">
        <f t="shared" si="91"/>
        <v/>
      </c>
    </row>
    <row r="166" spans="2:102" ht="15" customHeight="1">
      <c r="B166" s="163">
        <v>41395</v>
      </c>
      <c r="C166" s="165">
        <v>678</v>
      </c>
      <c r="D166" s="274">
        <f t="shared" si="85"/>
        <v>41395</v>
      </c>
      <c r="E166" s="275">
        <f t="shared" si="86"/>
        <v>678</v>
      </c>
      <c r="G166" s="163">
        <v>41760</v>
      </c>
      <c r="H166" s="163">
        <v>41791</v>
      </c>
      <c r="I166" s="164">
        <v>6.0400000000000004E-4</v>
      </c>
      <c r="J166" s="159">
        <f t="shared" si="87"/>
        <v>41791</v>
      </c>
      <c r="K166" s="278">
        <f t="shared" si="88"/>
        <v>6.0400000000000004E-4</v>
      </c>
      <c r="M166" s="163">
        <v>39904</v>
      </c>
      <c r="N166" s="163">
        <v>39934</v>
      </c>
      <c r="O166" s="164">
        <v>5.0000000000000001E-3</v>
      </c>
      <c r="P166" s="159">
        <f t="shared" si="76"/>
        <v>39904</v>
      </c>
      <c r="Q166" s="292">
        <f t="shared" si="73"/>
        <v>5.0000000000000001E-3</v>
      </c>
      <c r="S166" s="163">
        <v>39934</v>
      </c>
      <c r="T166" s="164">
        <v>7.7000000000000002E-3</v>
      </c>
      <c r="U166" s="159">
        <f t="shared" si="89"/>
        <v>39934</v>
      </c>
      <c r="V166" s="285">
        <f t="shared" si="90"/>
        <v>7.7000000000000002E-3</v>
      </c>
      <c r="BM166" s="31" t="s">
        <v>197</v>
      </c>
      <c r="BN166" s="168">
        <f t="shared" si="74"/>
        <v>38169</v>
      </c>
      <c r="BO166" s="37">
        <v>0</v>
      </c>
      <c r="BP166" s="278">
        <f t="shared" si="69"/>
        <v>0</v>
      </c>
      <c r="BQ166" s="312">
        <f t="shared" si="77"/>
        <v>1.1656213848043593</v>
      </c>
      <c r="BS166" s="31" t="s">
        <v>43</v>
      </c>
      <c r="BT166" s="159">
        <f t="shared" si="92"/>
        <v>38169</v>
      </c>
      <c r="BU166" s="162">
        <f t="shared" si="93"/>
        <v>1.29E-2</v>
      </c>
      <c r="BV166" s="311">
        <f t="shared" si="78"/>
        <v>2.3015000000000008</v>
      </c>
      <c r="BX166" s="170" t="s">
        <v>43</v>
      </c>
      <c r="BY166" s="159">
        <f t="shared" si="70"/>
        <v>38169</v>
      </c>
      <c r="BZ166" s="162">
        <f t="shared" si="71"/>
        <v>1.29E-2</v>
      </c>
      <c r="CA166" s="162">
        <f t="shared" si="79"/>
        <v>1.593742</v>
      </c>
      <c r="CF166" s="31" t="s">
        <v>197</v>
      </c>
      <c r="CG166" s="168">
        <f t="shared" si="75"/>
        <v>38169</v>
      </c>
      <c r="CH166" s="37">
        <v>0</v>
      </c>
      <c r="CI166" s="314">
        <f t="shared" si="72"/>
        <v>0</v>
      </c>
      <c r="CJ166" s="312">
        <f t="shared" si="80"/>
        <v>1</v>
      </c>
      <c r="CN166" s="315">
        <f t="shared" si="81"/>
        <v>38169</v>
      </c>
      <c r="CO166" s="312">
        <f t="shared" si="82"/>
        <v>1</v>
      </c>
      <c r="CQ166" s="315">
        <f t="shared" si="83"/>
        <v>38169</v>
      </c>
      <c r="CR166" s="316">
        <f t="shared" si="84"/>
        <v>2.3015000000000008</v>
      </c>
      <c r="CW166" s="650" t="s">
        <v>404</v>
      </c>
      <c r="CX166" s="242" t="str">
        <f t="shared" si="91"/>
        <v>PopRuaJud 2026</v>
      </c>
    </row>
    <row r="167" spans="2:102" ht="15" customHeight="1">
      <c r="B167" s="163">
        <v>41426</v>
      </c>
      <c r="C167" s="165">
        <v>678</v>
      </c>
      <c r="D167" s="274">
        <f t="shared" si="85"/>
        <v>41426</v>
      </c>
      <c r="E167" s="275">
        <f t="shared" si="86"/>
        <v>678</v>
      </c>
      <c r="G167" s="163">
        <v>41791</v>
      </c>
      <c r="H167" s="163">
        <v>41821</v>
      </c>
      <c r="I167" s="164">
        <v>4.6500000000000003E-4</v>
      </c>
      <c r="J167" s="159">
        <f t="shared" si="87"/>
        <v>41821</v>
      </c>
      <c r="K167" s="278">
        <f t="shared" si="88"/>
        <v>4.6500000000000003E-4</v>
      </c>
      <c r="M167" s="163">
        <v>39934</v>
      </c>
      <c r="N167" s="163">
        <v>39965</v>
      </c>
      <c r="O167" s="164">
        <v>5.0000000000000001E-3</v>
      </c>
      <c r="P167" s="159">
        <f t="shared" si="76"/>
        <v>39934</v>
      </c>
      <c r="Q167" s="292">
        <f t="shared" si="73"/>
        <v>5.0000000000000001E-3</v>
      </c>
      <c r="S167" s="163">
        <v>39965</v>
      </c>
      <c r="T167" s="164">
        <v>7.6E-3</v>
      </c>
      <c r="U167" s="159">
        <f t="shared" si="89"/>
        <v>39965</v>
      </c>
      <c r="V167" s="285">
        <f t="shared" si="90"/>
        <v>7.6E-3</v>
      </c>
      <c r="BM167" s="31" t="s">
        <v>197</v>
      </c>
      <c r="BN167" s="168">
        <f t="shared" si="74"/>
        <v>38200</v>
      </c>
      <c r="BO167" s="37">
        <v>0</v>
      </c>
      <c r="BP167" s="278">
        <f t="shared" si="69"/>
        <v>0</v>
      </c>
      <c r="BQ167" s="312">
        <f t="shared" si="77"/>
        <v>1.1656213848043593</v>
      </c>
      <c r="BS167" s="31" t="s">
        <v>43</v>
      </c>
      <c r="BT167" s="159">
        <f t="shared" si="92"/>
        <v>38200</v>
      </c>
      <c r="BU167" s="162">
        <f t="shared" si="93"/>
        <v>1.29E-2</v>
      </c>
      <c r="BV167" s="311">
        <f t="shared" si="78"/>
        <v>2.2886000000000006</v>
      </c>
      <c r="BX167" s="170" t="s">
        <v>43</v>
      </c>
      <c r="BY167" s="159">
        <f t="shared" si="70"/>
        <v>38200</v>
      </c>
      <c r="BZ167" s="162">
        <f t="shared" si="71"/>
        <v>1.29E-2</v>
      </c>
      <c r="CA167" s="162">
        <f t="shared" si="79"/>
        <v>1.5808420000000001</v>
      </c>
      <c r="CF167" s="31" t="s">
        <v>197</v>
      </c>
      <c r="CG167" s="168">
        <f t="shared" si="75"/>
        <v>38200</v>
      </c>
      <c r="CH167" s="37">
        <v>0</v>
      </c>
      <c r="CI167" s="314">
        <f t="shared" si="72"/>
        <v>0</v>
      </c>
      <c r="CJ167" s="312">
        <f t="shared" si="80"/>
        <v>1</v>
      </c>
      <c r="CN167" s="315">
        <f t="shared" si="81"/>
        <v>38200</v>
      </c>
      <c r="CO167" s="312">
        <f t="shared" si="82"/>
        <v>1</v>
      </c>
      <c r="CQ167" s="315">
        <f t="shared" si="83"/>
        <v>38200</v>
      </c>
      <c r="CR167" s="316">
        <f t="shared" si="84"/>
        <v>2.2886000000000006</v>
      </c>
      <c r="CW167" s="657" t="s">
        <v>402</v>
      </c>
      <c r="CX167" s="242" t="str">
        <f t="shared" si="91"/>
        <v>3 Setembro, 2026 JF2</v>
      </c>
    </row>
    <row r="168" spans="2:102" ht="15" customHeight="1">
      <c r="B168" s="163">
        <v>41456</v>
      </c>
      <c r="C168" s="165">
        <v>678</v>
      </c>
      <c r="D168" s="274">
        <f t="shared" si="85"/>
        <v>41456</v>
      </c>
      <c r="E168" s="275">
        <f t="shared" si="86"/>
        <v>678</v>
      </c>
      <c r="G168" s="163">
        <v>41821</v>
      </c>
      <c r="H168" s="163">
        <v>41852</v>
      </c>
      <c r="I168" s="164">
        <v>1.054E-3</v>
      </c>
      <c r="J168" s="159">
        <f t="shared" si="87"/>
        <v>41852</v>
      </c>
      <c r="K168" s="278">
        <f t="shared" si="88"/>
        <v>1.054E-3</v>
      </c>
      <c r="M168" s="163">
        <v>39965</v>
      </c>
      <c r="N168" s="163">
        <v>39995</v>
      </c>
      <c r="O168" s="164">
        <v>5.0000000000000001E-3</v>
      </c>
      <c r="P168" s="159">
        <f t="shared" si="76"/>
        <v>39965</v>
      </c>
      <c r="Q168" s="292">
        <f t="shared" si="73"/>
        <v>5.0000000000000001E-3</v>
      </c>
      <c r="S168" s="163">
        <v>39995</v>
      </c>
      <c r="T168" s="164">
        <v>7.9000000000000008E-3</v>
      </c>
      <c r="U168" s="159">
        <f t="shared" si="89"/>
        <v>39995</v>
      </c>
      <c r="V168" s="285">
        <f t="shared" si="90"/>
        <v>7.9000000000000008E-3</v>
      </c>
      <c r="BM168" s="31" t="s">
        <v>197</v>
      </c>
      <c r="BN168" s="168">
        <f t="shared" si="74"/>
        <v>38231</v>
      </c>
      <c r="BO168" s="37">
        <v>0</v>
      </c>
      <c r="BP168" s="278">
        <f t="shared" si="69"/>
        <v>0</v>
      </c>
      <c r="BQ168" s="312">
        <f t="shared" si="77"/>
        <v>1.1656213848043593</v>
      </c>
      <c r="BS168" s="31" t="s">
        <v>43</v>
      </c>
      <c r="BT168" s="159">
        <f t="shared" si="92"/>
        <v>38231</v>
      </c>
      <c r="BU168" s="162">
        <f t="shared" si="93"/>
        <v>1.2500000000000001E-2</v>
      </c>
      <c r="BV168" s="311">
        <f t="shared" si="78"/>
        <v>2.2757000000000005</v>
      </c>
      <c r="BX168" s="170" t="s">
        <v>43</v>
      </c>
      <c r="BY168" s="159">
        <f t="shared" si="70"/>
        <v>38231</v>
      </c>
      <c r="BZ168" s="162">
        <f t="shared" si="71"/>
        <v>1.2500000000000001E-2</v>
      </c>
      <c r="CA168" s="162">
        <f t="shared" si="79"/>
        <v>1.5679420000000002</v>
      </c>
      <c r="CF168" s="31" t="s">
        <v>197</v>
      </c>
      <c r="CG168" s="168">
        <f t="shared" si="75"/>
        <v>38231</v>
      </c>
      <c r="CH168" s="37">
        <v>0</v>
      </c>
      <c r="CI168" s="314">
        <f t="shared" si="72"/>
        <v>0</v>
      </c>
      <c r="CJ168" s="312">
        <f t="shared" si="80"/>
        <v>1</v>
      </c>
      <c r="CN168" s="315">
        <f t="shared" si="81"/>
        <v>38231</v>
      </c>
      <c r="CO168" s="312">
        <f t="shared" si="82"/>
        <v>1</v>
      </c>
      <c r="CQ168" s="315">
        <f t="shared" si="83"/>
        <v>38231</v>
      </c>
      <c r="CR168" s="316">
        <f t="shared" si="84"/>
        <v>2.2757000000000005</v>
      </c>
      <c r="CW168" s="658" t="s">
        <v>405</v>
      </c>
      <c r="CX168" s="242" t="str">
        <f t="shared" si="91"/>
        <v>PopRuaJud-Rio realiza mais de 17,7 mil atendimentos e revela perfil da população em situação de rua</v>
      </c>
    </row>
    <row r="169" spans="2:102" ht="15" customHeight="1">
      <c r="B169" s="163">
        <v>41487</v>
      </c>
      <c r="C169" s="165">
        <v>678</v>
      </c>
      <c r="D169" s="274">
        <f t="shared" si="85"/>
        <v>41487</v>
      </c>
      <c r="E169" s="275">
        <f t="shared" si="86"/>
        <v>678</v>
      </c>
      <c r="G169" s="163">
        <v>41852</v>
      </c>
      <c r="H169" s="163">
        <v>41883</v>
      </c>
      <c r="I169" s="164">
        <v>6.02E-4</v>
      </c>
      <c r="J169" s="159">
        <f t="shared" si="87"/>
        <v>41883</v>
      </c>
      <c r="K169" s="278">
        <f t="shared" si="88"/>
        <v>6.02E-4</v>
      </c>
      <c r="M169" s="163">
        <v>39995</v>
      </c>
      <c r="N169" s="163">
        <v>40026</v>
      </c>
      <c r="O169" s="164">
        <v>5.0000000000000001E-3</v>
      </c>
      <c r="P169" s="159">
        <f t="shared" si="76"/>
        <v>39995</v>
      </c>
      <c r="Q169" s="292">
        <f t="shared" si="73"/>
        <v>5.0000000000000001E-3</v>
      </c>
      <c r="S169" s="163">
        <v>40026</v>
      </c>
      <c r="T169" s="164">
        <v>6.8999999999999999E-3</v>
      </c>
      <c r="U169" s="159">
        <f t="shared" si="89"/>
        <v>40026</v>
      </c>
      <c r="V169" s="285">
        <f t="shared" si="90"/>
        <v>6.8999999999999999E-3</v>
      </c>
      <c r="BM169" s="31" t="s">
        <v>197</v>
      </c>
      <c r="BN169" s="168">
        <f t="shared" si="74"/>
        <v>38261</v>
      </c>
      <c r="BO169" s="37">
        <v>0</v>
      </c>
      <c r="BP169" s="278">
        <f t="shared" si="69"/>
        <v>0</v>
      </c>
      <c r="BQ169" s="312">
        <f t="shared" si="77"/>
        <v>1.1656213848043593</v>
      </c>
      <c r="BS169" s="31" t="s">
        <v>43</v>
      </c>
      <c r="BT169" s="159">
        <f t="shared" si="92"/>
        <v>38261</v>
      </c>
      <c r="BU169" s="162">
        <f t="shared" si="93"/>
        <v>1.21E-2</v>
      </c>
      <c r="BV169" s="311">
        <f t="shared" si="78"/>
        <v>2.2632000000000003</v>
      </c>
      <c r="BX169" s="170" t="s">
        <v>43</v>
      </c>
      <c r="BY169" s="159">
        <f t="shared" si="70"/>
        <v>38261</v>
      </c>
      <c r="BZ169" s="162">
        <f t="shared" si="71"/>
        <v>1.21E-2</v>
      </c>
      <c r="CA169" s="162">
        <f t="shared" si="79"/>
        <v>1.5554420000000002</v>
      </c>
      <c r="CF169" s="31" t="s">
        <v>197</v>
      </c>
      <c r="CG169" s="168">
        <f t="shared" si="75"/>
        <v>38261</v>
      </c>
      <c r="CH169" s="37">
        <v>0</v>
      </c>
      <c r="CI169" s="314">
        <f t="shared" si="72"/>
        <v>0</v>
      </c>
      <c r="CJ169" s="312">
        <f t="shared" si="80"/>
        <v>1</v>
      </c>
      <c r="CN169" s="315">
        <f t="shared" si="81"/>
        <v>38261</v>
      </c>
      <c r="CO169" s="312">
        <f t="shared" si="82"/>
        <v>1</v>
      </c>
      <c r="CQ169" s="315">
        <f t="shared" si="83"/>
        <v>38261</v>
      </c>
      <c r="CR169" s="316">
        <f t="shared" si="84"/>
        <v>2.2632000000000003</v>
      </c>
      <c r="CW169"/>
      <c r="CX169" s="242" t="str">
        <f t="shared" si="91"/>
        <v/>
      </c>
    </row>
    <row r="170" spans="2:102" ht="15" customHeight="1">
      <c r="B170" s="163">
        <v>41518</v>
      </c>
      <c r="C170" s="165">
        <v>678</v>
      </c>
      <c r="D170" s="274">
        <f t="shared" si="85"/>
        <v>41518</v>
      </c>
      <c r="E170" s="275">
        <f t="shared" si="86"/>
        <v>678</v>
      </c>
      <c r="G170" s="163">
        <v>41883</v>
      </c>
      <c r="H170" s="163">
        <v>41913</v>
      </c>
      <c r="I170" s="164">
        <v>8.7299999999999997E-4</v>
      </c>
      <c r="J170" s="159">
        <f t="shared" si="87"/>
        <v>41913</v>
      </c>
      <c r="K170" s="278">
        <f t="shared" si="88"/>
        <v>8.7299999999999997E-4</v>
      </c>
      <c r="M170" s="163">
        <v>40026</v>
      </c>
      <c r="N170" s="163">
        <v>40057</v>
      </c>
      <c r="O170" s="164">
        <v>5.0000000000000001E-3</v>
      </c>
      <c r="P170" s="159">
        <f t="shared" si="76"/>
        <v>40026</v>
      </c>
      <c r="Q170" s="292">
        <f t="shared" si="73"/>
        <v>5.0000000000000001E-3</v>
      </c>
      <c r="S170" s="163">
        <v>40057</v>
      </c>
      <c r="T170" s="164">
        <v>6.8999999999999999E-3</v>
      </c>
      <c r="U170" s="159">
        <f t="shared" si="89"/>
        <v>40057</v>
      </c>
      <c r="V170" s="285">
        <f t="shared" si="90"/>
        <v>6.8999999999999999E-3</v>
      </c>
      <c r="BM170" s="31" t="s">
        <v>197</v>
      </c>
      <c r="BN170" s="168">
        <f t="shared" si="74"/>
        <v>38292</v>
      </c>
      <c r="BO170" s="37">
        <v>0</v>
      </c>
      <c r="BP170" s="278">
        <f t="shared" si="69"/>
        <v>0</v>
      </c>
      <c r="BQ170" s="312">
        <f t="shared" si="77"/>
        <v>1.1656213848043593</v>
      </c>
      <c r="BS170" s="31" t="s">
        <v>43</v>
      </c>
      <c r="BT170" s="159">
        <f t="shared" si="92"/>
        <v>38292</v>
      </c>
      <c r="BU170" s="162">
        <f t="shared" si="93"/>
        <v>1.2500000000000001E-2</v>
      </c>
      <c r="BV170" s="311">
        <f t="shared" si="78"/>
        <v>2.2511000000000001</v>
      </c>
      <c r="BX170" s="170" t="s">
        <v>43</v>
      </c>
      <c r="BY170" s="159">
        <f t="shared" si="70"/>
        <v>38292</v>
      </c>
      <c r="BZ170" s="162">
        <f t="shared" si="71"/>
        <v>1.2500000000000001E-2</v>
      </c>
      <c r="CA170" s="162">
        <f t="shared" si="79"/>
        <v>1.5433420000000002</v>
      </c>
      <c r="CF170" s="31" t="s">
        <v>197</v>
      </c>
      <c r="CG170" s="168">
        <f t="shared" si="75"/>
        <v>38292</v>
      </c>
      <c r="CH170" s="37">
        <v>0</v>
      </c>
      <c r="CI170" s="314">
        <f t="shared" si="72"/>
        <v>0</v>
      </c>
      <c r="CJ170" s="312">
        <f t="shared" si="80"/>
        <v>1</v>
      </c>
      <c r="CN170" s="315">
        <f t="shared" si="81"/>
        <v>38292</v>
      </c>
      <c r="CO170" s="312">
        <f t="shared" si="82"/>
        <v>1</v>
      </c>
      <c r="CQ170" s="315">
        <f t="shared" si="83"/>
        <v>38292</v>
      </c>
      <c r="CR170" s="316">
        <f t="shared" si="84"/>
        <v>2.2511000000000001</v>
      </c>
      <c r="CW170" s="650" t="s">
        <v>406</v>
      </c>
      <c r="CX170" s="242" t="str">
        <f t="shared" si="91"/>
        <v>Todos</v>
      </c>
    </row>
    <row r="171" spans="2:102" ht="15" customHeight="1">
      <c r="B171" s="163">
        <v>41548</v>
      </c>
      <c r="C171" s="165">
        <v>678</v>
      </c>
      <c r="D171" s="274">
        <f t="shared" si="85"/>
        <v>41548</v>
      </c>
      <c r="E171" s="275">
        <f t="shared" si="86"/>
        <v>678</v>
      </c>
      <c r="G171" s="163">
        <v>41913</v>
      </c>
      <c r="H171" s="163">
        <v>41944</v>
      </c>
      <c r="I171" s="164">
        <v>1.0380000000000001E-3</v>
      </c>
      <c r="J171" s="159">
        <f t="shared" si="87"/>
        <v>41944</v>
      </c>
      <c r="K171" s="278">
        <f t="shared" si="88"/>
        <v>1.0380000000000001E-3</v>
      </c>
      <c r="M171" s="163">
        <v>40057</v>
      </c>
      <c r="N171" s="163">
        <v>40087</v>
      </c>
      <c r="O171" s="164">
        <v>5.0000000000000001E-3</v>
      </c>
      <c r="P171" s="159">
        <f t="shared" si="76"/>
        <v>40057</v>
      </c>
      <c r="Q171" s="292">
        <f t="shared" si="73"/>
        <v>5.0000000000000001E-3</v>
      </c>
      <c r="S171" s="163">
        <v>40087</v>
      </c>
      <c r="T171" s="164">
        <v>6.8999999999999999E-3</v>
      </c>
      <c r="U171" s="159">
        <f t="shared" si="89"/>
        <v>40087</v>
      </c>
      <c r="V171" s="285">
        <f t="shared" si="90"/>
        <v>6.8999999999999999E-3</v>
      </c>
      <c r="BM171" s="31" t="s">
        <v>197</v>
      </c>
      <c r="BN171" s="168">
        <f t="shared" si="74"/>
        <v>38322</v>
      </c>
      <c r="BO171" s="37">
        <v>0</v>
      </c>
      <c r="BP171" s="278">
        <f t="shared" si="69"/>
        <v>0</v>
      </c>
      <c r="BQ171" s="312">
        <f t="shared" si="77"/>
        <v>1.1656213848043593</v>
      </c>
      <c r="BS171" s="31" t="s">
        <v>43</v>
      </c>
      <c r="BT171" s="159">
        <f t="shared" si="92"/>
        <v>38322</v>
      </c>
      <c r="BU171" s="162">
        <f t="shared" si="93"/>
        <v>1.4800000000000001E-2</v>
      </c>
      <c r="BV171" s="311">
        <f t="shared" si="78"/>
        <v>2.2385999999999999</v>
      </c>
      <c r="BX171" s="170" t="s">
        <v>43</v>
      </c>
      <c r="BY171" s="159">
        <f t="shared" si="70"/>
        <v>38322</v>
      </c>
      <c r="BZ171" s="162">
        <f t="shared" si="71"/>
        <v>1.4800000000000001E-2</v>
      </c>
      <c r="CA171" s="162">
        <f t="shared" si="79"/>
        <v>1.5308420000000003</v>
      </c>
      <c r="CF171" s="31" t="s">
        <v>197</v>
      </c>
      <c r="CG171" s="168">
        <f t="shared" si="75"/>
        <v>38322</v>
      </c>
      <c r="CH171" s="37">
        <v>0</v>
      </c>
      <c r="CI171" s="314">
        <f t="shared" si="72"/>
        <v>0</v>
      </c>
      <c r="CJ171" s="312">
        <f t="shared" si="80"/>
        <v>1</v>
      </c>
      <c r="CN171" s="315">
        <f t="shared" si="81"/>
        <v>38322</v>
      </c>
      <c r="CO171" s="312">
        <f t="shared" si="82"/>
        <v>1</v>
      </c>
      <c r="CQ171" s="315">
        <f t="shared" si="83"/>
        <v>38322</v>
      </c>
      <c r="CR171" s="316">
        <f t="shared" si="84"/>
        <v>2.2385999999999999</v>
      </c>
      <c r="CW171" s="657" t="s">
        <v>407</v>
      </c>
      <c r="CX171" s="242" t="str">
        <f t="shared" si="91"/>
        <v>1 Setembro, 2026 JF2</v>
      </c>
    </row>
    <row r="172" spans="2:102" ht="15" customHeight="1">
      <c r="B172" s="163">
        <v>41579</v>
      </c>
      <c r="C172" s="165">
        <v>678</v>
      </c>
      <c r="D172" s="274">
        <f t="shared" si="85"/>
        <v>41579</v>
      </c>
      <c r="E172" s="275">
        <f t="shared" si="86"/>
        <v>678</v>
      </c>
      <c r="G172" s="163">
        <v>41944</v>
      </c>
      <c r="H172" s="163">
        <v>41974</v>
      </c>
      <c r="I172" s="164">
        <v>4.8299999999999998E-4</v>
      </c>
      <c r="J172" s="159">
        <f t="shared" si="87"/>
        <v>41974</v>
      </c>
      <c r="K172" s="278">
        <f t="shared" si="88"/>
        <v>4.8299999999999998E-4</v>
      </c>
      <c r="M172" s="163">
        <v>40087</v>
      </c>
      <c r="N172" s="163">
        <v>40118</v>
      </c>
      <c r="O172" s="164">
        <v>5.0000000000000001E-3</v>
      </c>
      <c r="P172" s="159">
        <f t="shared" si="76"/>
        <v>40087</v>
      </c>
      <c r="Q172" s="292">
        <f t="shared" si="73"/>
        <v>5.0000000000000001E-3</v>
      </c>
      <c r="S172" s="163">
        <v>40118</v>
      </c>
      <c r="T172" s="164">
        <v>6.6E-3</v>
      </c>
      <c r="U172" s="159">
        <f t="shared" si="89"/>
        <v>40118</v>
      </c>
      <c r="V172" s="285">
        <f t="shared" si="90"/>
        <v>6.6E-3</v>
      </c>
      <c r="BM172" s="31" t="s">
        <v>197</v>
      </c>
      <c r="BN172" s="168">
        <f t="shared" si="74"/>
        <v>38353</v>
      </c>
      <c r="BO172" s="37">
        <v>0</v>
      </c>
      <c r="BP172" s="278">
        <f t="shared" si="69"/>
        <v>0</v>
      </c>
      <c r="BQ172" s="312">
        <f t="shared" si="77"/>
        <v>1.1656213848043593</v>
      </c>
      <c r="BS172" s="31" t="s">
        <v>43</v>
      </c>
      <c r="BT172" s="159">
        <f t="shared" si="92"/>
        <v>38353</v>
      </c>
      <c r="BU172" s="162">
        <f t="shared" si="93"/>
        <v>1.38E-2</v>
      </c>
      <c r="BV172" s="311">
        <f t="shared" si="78"/>
        <v>2.2237999999999998</v>
      </c>
      <c r="BX172" s="170" t="s">
        <v>43</v>
      </c>
      <c r="BY172" s="159">
        <f t="shared" si="70"/>
        <v>38353</v>
      </c>
      <c r="BZ172" s="162">
        <f t="shared" si="71"/>
        <v>1.38E-2</v>
      </c>
      <c r="CA172" s="162">
        <f t="shared" si="79"/>
        <v>1.5160420000000003</v>
      </c>
      <c r="CF172" s="31" t="s">
        <v>197</v>
      </c>
      <c r="CG172" s="168">
        <f t="shared" si="75"/>
        <v>38353</v>
      </c>
      <c r="CH172" s="37">
        <v>0</v>
      </c>
      <c r="CI172" s="314">
        <f t="shared" si="72"/>
        <v>0</v>
      </c>
      <c r="CJ172" s="312">
        <f t="shared" ref="CJ172:CJ197" si="94">+IF(BQ172="","",IF(CJ173="",1,CJ173)*(1+CI172))</f>
        <v>1</v>
      </c>
      <c r="CN172" s="315">
        <f t="shared" si="81"/>
        <v>38353</v>
      </c>
      <c r="CO172" s="312">
        <f t="shared" si="82"/>
        <v>1</v>
      </c>
      <c r="CQ172" s="315">
        <f t="shared" si="83"/>
        <v>38353</v>
      </c>
      <c r="CR172" s="316">
        <f t="shared" si="84"/>
        <v>2.2237999999999998</v>
      </c>
      <c r="CW172" s="658" t="s">
        <v>408</v>
      </c>
      <c r="CX172" s="242" t="str">
        <f t="shared" si="91"/>
        <v>Comissão de Cidadania e Direitos Humanos do TRF2 aproxima alunos de programa de educação de jovens e adultos do Judiciário</v>
      </c>
    </row>
    <row r="173" spans="2:102" ht="15" customHeight="1">
      <c r="B173" s="163">
        <v>41609</v>
      </c>
      <c r="C173" s="165">
        <v>678</v>
      </c>
      <c r="D173" s="274">
        <f t="shared" si="85"/>
        <v>41609</v>
      </c>
      <c r="E173" s="275">
        <f t="shared" si="86"/>
        <v>678</v>
      </c>
      <c r="G173" s="163">
        <v>41974</v>
      </c>
      <c r="H173" s="163">
        <v>42005</v>
      </c>
      <c r="I173" s="164">
        <v>1.0529999999999999E-3</v>
      </c>
      <c r="J173" s="159">
        <f t="shared" si="87"/>
        <v>42005</v>
      </c>
      <c r="K173" s="278">
        <f t="shared" si="88"/>
        <v>1.0529999999999999E-3</v>
      </c>
      <c r="M173" s="163">
        <v>40118</v>
      </c>
      <c r="N173" s="163">
        <v>40148</v>
      </c>
      <c r="O173" s="164">
        <v>5.0000000000000001E-3</v>
      </c>
      <c r="P173" s="159">
        <f t="shared" si="76"/>
        <v>40118</v>
      </c>
      <c r="Q173" s="292">
        <f t="shared" si="73"/>
        <v>5.0000000000000001E-3</v>
      </c>
      <c r="S173" s="163">
        <v>40148</v>
      </c>
      <c r="T173" s="164">
        <v>7.3000000000000001E-3</v>
      </c>
      <c r="U173" s="159">
        <f t="shared" si="89"/>
        <v>40148</v>
      </c>
      <c r="V173" s="285">
        <f t="shared" si="90"/>
        <v>7.3000000000000001E-3</v>
      </c>
      <c r="BM173" s="31" t="s">
        <v>197</v>
      </c>
      <c r="BN173" s="168">
        <f t="shared" si="74"/>
        <v>38384</v>
      </c>
      <c r="BO173" s="37">
        <v>0</v>
      </c>
      <c r="BP173" s="278">
        <f t="shared" si="69"/>
        <v>0</v>
      </c>
      <c r="BQ173" s="312">
        <f t="shared" si="77"/>
        <v>1.1656213848043593</v>
      </c>
      <c r="BS173" s="31" t="s">
        <v>43</v>
      </c>
      <c r="BT173" s="159">
        <f t="shared" si="92"/>
        <v>38384</v>
      </c>
      <c r="BU173" s="162">
        <f t="shared" si="93"/>
        <v>1.2200000000000001E-2</v>
      </c>
      <c r="BV173" s="311">
        <f t="shared" si="78"/>
        <v>2.21</v>
      </c>
      <c r="BX173" s="170" t="s">
        <v>43</v>
      </c>
      <c r="BY173" s="159">
        <f t="shared" si="70"/>
        <v>38384</v>
      </c>
      <c r="BZ173" s="162">
        <f t="shared" si="71"/>
        <v>1.2200000000000001E-2</v>
      </c>
      <c r="CA173" s="162">
        <f t="shared" si="79"/>
        <v>1.5022420000000003</v>
      </c>
      <c r="CF173" s="31" t="s">
        <v>197</v>
      </c>
      <c r="CG173" s="168">
        <f t="shared" si="75"/>
        <v>38384</v>
      </c>
      <c r="CH173" s="37">
        <v>0</v>
      </c>
      <c r="CI173" s="314">
        <f t="shared" si="72"/>
        <v>0</v>
      </c>
      <c r="CJ173" s="312">
        <f t="shared" si="94"/>
        <v>1</v>
      </c>
      <c r="CN173" s="315">
        <f t="shared" si="81"/>
        <v>38384</v>
      </c>
      <c r="CO173" s="312">
        <f t="shared" si="82"/>
        <v>1</v>
      </c>
      <c r="CQ173" s="315">
        <f t="shared" si="83"/>
        <v>38384</v>
      </c>
      <c r="CR173" s="316">
        <f t="shared" si="84"/>
        <v>2.21</v>
      </c>
      <c r="CW173"/>
      <c r="CX173" s="242" t="str">
        <f t="shared" si="91"/>
        <v/>
      </c>
    </row>
    <row r="174" spans="2:102" ht="15" customHeight="1">
      <c r="B174" s="163">
        <v>41640</v>
      </c>
      <c r="C174" s="165">
        <v>724</v>
      </c>
      <c r="D174" s="274">
        <f t="shared" si="85"/>
        <v>41640</v>
      </c>
      <c r="E174" s="275">
        <f t="shared" si="86"/>
        <v>724</v>
      </c>
      <c r="G174" s="163">
        <v>42005</v>
      </c>
      <c r="H174" s="163">
        <v>42036</v>
      </c>
      <c r="I174" s="164">
        <v>8.7799999999999998E-4</v>
      </c>
      <c r="J174" s="159">
        <f t="shared" si="87"/>
        <v>42036</v>
      </c>
      <c r="K174" s="278">
        <f t="shared" si="88"/>
        <v>8.7799999999999998E-4</v>
      </c>
      <c r="M174" s="163">
        <v>40148</v>
      </c>
      <c r="N174" s="163">
        <v>40179</v>
      </c>
      <c r="O174" s="164">
        <v>5.0000000000000001E-3</v>
      </c>
      <c r="P174" s="159">
        <f t="shared" si="76"/>
        <v>40148</v>
      </c>
      <c r="Q174" s="292">
        <f t="shared" si="73"/>
        <v>5.0000000000000001E-3</v>
      </c>
      <c r="S174" s="163">
        <v>40179</v>
      </c>
      <c r="T174" s="164">
        <v>6.6E-3</v>
      </c>
      <c r="U174" s="159">
        <f t="shared" si="89"/>
        <v>40179</v>
      </c>
      <c r="V174" s="285">
        <f t="shared" si="90"/>
        <v>6.6E-3</v>
      </c>
      <c r="BM174" s="31" t="s">
        <v>197</v>
      </c>
      <c r="BN174" s="168">
        <f t="shared" si="74"/>
        <v>38412</v>
      </c>
      <c r="BO174" s="37">
        <v>0</v>
      </c>
      <c r="BP174" s="278">
        <f t="shared" si="69"/>
        <v>0</v>
      </c>
      <c r="BQ174" s="312">
        <f t="shared" si="77"/>
        <v>1.1656213848043593</v>
      </c>
      <c r="BS174" s="31" t="s">
        <v>43</v>
      </c>
      <c r="BT174" s="159">
        <f t="shared" si="92"/>
        <v>38412</v>
      </c>
      <c r="BU174" s="162">
        <f t="shared" si="93"/>
        <v>1.5299999999999999E-2</v>
      </c>
      <c r="BV174" s="311">
        <f t="shared" si="78"/>
        <v>2.1978</v>
      </c>
      <c r="BX174" s="170" t="s">
        <v>43</v>
      </c>
      <c r="BY174" s="159">
        <f t="shared" si="70"/>
        <v>38412</v>
      </c>
      <c r="BZ174" s="162">
        <f t="shared" si="71"/>
        <v>1.5299999999999999E-2</v>
      </c>
      <c r="CA174" s="162">
        <f t="shared" si="79"/>
        <v>1.4900420000000003</v>
      </c>
      <c r="CF174" s="31" t="s">
        <v>197</v>
      </c>
      <c r="CG174" s="168">
        <f t="shared" si="75"/>
        <v>38412</v>
      </c>
      <c r="CH174" s="37">
        <v>0</v>
      </c>
      <c r="CI174" s="314">
        <f t="shared" si="72"/>
        <v>0</v>
      </c>
      <c r="CJ174" s="312">
        <f t="shared" si="94"/>
        <v>1</v>
      </c>
      <c r="CN174" s="315">
        <f t="shared" si="81"/>
        <v>38412</v>
      </c>
      <c r="CO174" s="312">
        <f t="shared" si="82"/>
        <v>1</v>
      </c>
      <c r="CQ174" s="315">
        <f t="shared" si="83"/>
        <v>38412</v>
      </c>
      <c r="CR174" s="316">
        <f t="shared" si="84"/>
        <v>2.1978</v>
      </c>
      <c r="CW174" s="650" t="s">
        <v>409</v>
      </c>
      <c r="CX174" s="242" t="str">
        <f t="shared" si="91"/>
        <v>Imagem de homem acessando o ApoIA pelo computador</v>
      </c>
    </row>
    <row r="175" spans="2:102" ht="15" customHeight="1">
      <c r="B175" s="163">
        <v>41671</v>
      </c>
      <c r="C175" s="165">
        <v>724</v>
      </c>
      <c r="D175" s="274">
        <f t="shared" si="85"/>
        <v>41671</v>
      </c>
      <c r="E175" s="275">
        <f t="shared" si="86"/>
        <v>724</v>
      </c>
      <c r="G175" s="163">
        <v>42036</v>
      </c>
      <c r="H175" s="163">
        <v>42064</v>
      </c>
      <c r="I175" s="164">
        <v>1.6799999999999999E-4</v>
      </c>
      <c r="J175" s="159">
        <f t="shared" si="87"/>
        <v>42064</v>
      </c>
      <c r="K175" s="278">
        <f t="shared" si="88"/>
        <v>1.6799999999999999E-4</v>
      </c>
      <c r="M175" s="163">
        <v>40179</v>
      </c>
      <c r="N175" s="163">
        <v>40210</v>
      </c>
      <c r="O175" s="164">
        <v>5.0000000000000001E-3</v>
      </c>
      <c r="P175" s="159">
        <f t="shared" si="76"/>
        <v>40179</v>
      </c>
      <c r="Q175" s="292">
        <f t="shared" si="73"/>
        <v>5.0000000000000001E-3</v>
      </c>
      <c r="S175" s="163">
        <v>40210</v>
      </c>
      <c r="T175" s="164">
        <v>5.8999999999999999E-3</v>
      </c>
      <c r="U175" s="159">
        <f t="shared" si="89"/>
        <v>40210</v>
      </c>
      <c r="V175" s="285">
        <f t="shared" si="90"/>
        <v>5.8999999999999999E-3</v>
      </c>
      <c r="BM175" s="31" t="s">
        <v>197</v>
      </c>
      <c r="BN175" s="168">
        <f t="shared" si="74"/>
        <v>38443</v>
      </c>
      <c r="BO175" s="37">
        <v>0</v>
      </c>
      <c r="BP175" s="278">
        <f t="shared" si="69"/>
        <v>0</v>
      </c>
      <c r="BQ175" s="312">
        <f t="shared" si="77"/>
        <v>1.1656213848043593</v>
      </c>
      <c r="BS175" s="31" t="s">
        <v>43</v>
      </c>
      <c r="BT175" s="159">
        <f t="shared" si="92"/>
        <v>38443</v>
      </c>
      <c r="BU175" s="162">
        <f t="shared" si="93"/>
        <v>1.41E-2</v>
      </c>
      <c r="BV175" s="311">
        <f t="shared" si="78"/>
        <v>2.1825000000000001</v>
      </c>
      <c r="BX175" s="170" t="s">
        <v>43</v>
      </c>
      <c r="BY175" s="159">
        <f t="shared" si="70"/>
        <v>38443</v>
      </c>
      <c r="BZ175" s="162">
        <f t="shared" si="71"/>
        <v>1.41E-2</v>
      </c>
      <c r="CA175" s="162">
        <f t="shared" si="79"/>
        <v>1.4747420000000002</v>
      </c>
      <c r="CF175" s="31" t="s">
        <v>197</v>
      </c>
      <c r="CG175" s="168">
        <f t="shared" si="75"/>
        <v>38443</v>
      </c>
      <c r="CH175" s="37">
        <v>0</v>
      </c>
      <c r="CI175" s="314">
        <f t="shared" si="72"/>
        <v>0</v>
      </c>
      <c r="CJ175" s="312">
        <f t="shared" si="94"/>
        <v>1</v>
      </c>
      <c r="CN175" s="315">
        <f t="shared" si="81"/>
        <v>38443</v>
      </c>
      <c r="CO175" s="312">
        <f t="shared" si="82"/>
        <v>1</v>
      </c>
      <c r="CQ175" s="315">
        <f t="shared" si="83"/>
        <v>38443</v>
      </c>
      <c r="CR175" s="316">
        <f t="shared" si="84"/>
        <v>2.1825000000000001</v>
      </c>
      <c r="CW175" s="657" t="s">
        <v>410</v>
      </c>
      <c r="CX175" s="242" t="str">
        <f t="shared" si="91"/>
        <v>25 Agosto, 2026 JF2</v>
      </c>
    </row>
    <row r="176" spans="2:102" ht="15" customHeight="1">
      <c r="B176" s="163">
        <v>41699</v>
      </c>
      <c r="C176" s="165">
        <v>724</v>
      </c>
      <c r="D176" s="274">
        <f t="shared" si="85"/>
        <v>41699</v>
      </c>
      <c r="E176" s="275">
        <f t="shared" si="86"/>
        <v>724</v>
      </c>
      <c r="G176" s="163">
        <v>42064</v>
      </c>
      <c r="H176" s="163">
        <v>42095</v>
      </c>
      <c r="I176" s="164">
        <v>1.2960000000000001E-3</v>
      </c>
      <c r="J176" s="159">
        <f t="shared" si="87"/>
        <v>42095</v>
      </c>
      <c r="K176" s="278">
        <f t="shared" si="88"/>
        <v>1.2960000000000001E-3</v>
      </c>
      <c r="M176" s="163">
        <v>40210</v>
      </c>
      <c r="N176" s="163">
        <v>40238</v>
      </c>
      <c r="O176" s="164">
        <v>5.0000000000000001E-3</v>
      </c>
      <c r="P176" s="159">
        <f t="shared" si="76"/>
        <v>40210</v>
      </c>
      <c r="Q176" s="292">
        <f t="shared" si="73"/>
        <v>5.0000000000000001E-3</v>
      </c>
      <c r="S176" s="163">
        <v>40238</v>
      </c>
      <c r="T176" s="164">
        <v>7.6E-3</v>
      </c>
      <c r="U176" s="159">
        <f t="shared" si="89"/>
        <v>40238</v>
      </c>
      <c r="V176" s="285">
        <f t="shared" si="90"/>
        <v>7.6E-3</v>
      </c>
      <c r="BM176" s="31" t="s">
        <v>197</v>
      </c>
      <c r="BN176" s="168">
        <f t="shared" si="74"/>
        <v>38473</v>
      </c>
      <c r="BO176" s="37">
        <v>0</v>
      </c>
      <c r="BP176" s="278">
        <f t="shared" si="69"/>
        <v>0</v>
      </c>
      <c r="BQ176" s="312">
        <f t="shared" si="77"/>
        <v>1.1656213848043593</v>
      </c>
      <c r="BS176" s="31" t="s">
        <v>43</v>
      </c>
      <c r="BT176" s="159">
        <f t="shared" si="92"/>
        <v>38473</v>
      </c>
      <c r="BU176" s="162">
        <f t="shared" si="93"/>
        <v>1.4999999999999999E-2</v>
      </c>
      <c r="BV176" s="311">
        <f t="shared" si="78"/>
        <v>2.1684000000000001</v>
      </c>
      <c r="BX176" s="170" t="s">
        <v>43</v>
      </c>
      <c r="BY176" s="159">
        <f t="shared" si="70"/>
        <v>38473</v>
      </c>
      <c r="BZ176" s="162">
        <f t="shared" si="71"/>
        <v>1.4999999999999999E-2</v>
      </c>
      <c r="CA176" s="162">
        <f t="shared" si="79"/>
        <v>1.4606420000000002</v>
      </c>
      <c r="CF176" s="31" t="s">
        <v>197</v>
      </c>
      <c r="CG176" s="168">
        <f t="shared" si="75"/>
        <v>38473</v>
      </c>
      <c r="CH176" s="37">
        <v>0</v>
      </c>
      <c r="CI176" s="314">
        <f t="shared" si="72"/>
        <v>0</v>
      </c>
      <c r="CJ176" s="312">
        <f t="shared" si="94"/>
        <v>1</v>
      </c>
      <c r="CN176" s="315">
        <f t="shared" si="81"/>
        <v>38473</v>
      </c>
      <c r="CO176" s="312">
        <f t="shared" si="82"/>
        <v>1</v>
      </c>
      <c r="CQ176" s="315">
        <f t="shared" si="83"/>
        <v>38473</v>
      </c>
      <c r="CR176" s="316">
        <f t="shared" si="84"/>
        <v>2.1684000000000001</v>
      </c>
      <c r="CW176" s="658" t="s">
        <v>411</v>
      </c>
      <c r="CX176" s="242" t="str">
        <f t="shared" si="91"/>
        <v>Apoia já permite acesso de dados processuais por ferramentas externas de inteligência artificial</v>
      </c>
    </row>
    <row r="177" spans="2:102" ht="15" customHeight="1">
      <c r="B177" s="163">
        <v>41730</v>
      </c>
      <c r="C177" s="165">
        <v>724</v>
      </c>
      <c r="D177" s="274">
        <f t="shared" si="85"/>
        <v>41730</v>
      </c>
      <c r="E177" s="275">
        <f t="shared" si="86"/>
        <v>724</v>
      </c>
      <c r="G177" s="163">
        <v>42095</v>
      </c>
      <c r="H177" s="163">
        <v>42125</v>
      </c>
      <c r="I177" s="164">
        <v>1.0740000000000001E-3</v>
      </c>
      <c r="J177" s="159">
        <f t="shared" si="87"/>
        <v>42125</v>
      </c>
      <c r="K177" s="278">
        <f t="shared" si="88"/>
        <v>1.0740000000000001E-3</v>
      </c>
      <c r="M177" s="163">
        <v>40238</v>
      </c>
      <c r="N177" s="163">
        <v>40269</v>
      </c>
      <c r="O177" s="164">
        <v>5.0000000000000001E-3</v>
      </c>
      <c r="P177" s="159">
        <f t="shared" si="76"/>
        <v>40238</v>
      </c>
      <c r="Q177" s="292">
        <f t="shared" si="73"/>
        <v>5.0000000000000001E-3</v>
      </c>
      <c r="S177" s="163">
        <v>40269</v>
      </c>
      <c r="T177" s="164">
        <v>6.7000000000000002E-3</v>
      </c>
      <c r="U177" s="159">
        <f t="shared" si="89"/>
        <v>40269</v>
      </c>
      <c r="V177" s="285">
        <f t="shared" si="90"/>
        <v>6.7000000000000002E-3</v>
      </c>
      <c r="BM177" s="31" t="s">
        <v>197</v>
      </c>
      <c r="BN177" s="168">
        <f t="shared" si="74"/>
        <v>38504</v>
      </c>
      <c r="BO177" s="37">
        <v>0</v>
      </c>
      <c r="BP177" s="278">
        <f t="shared" si="69"/>
        <v>0</v>
      </c>
      <c r="BQ177" s="312">
        <f t="shared" si="77"/>
        <v>1.1656213848043593</v>
      </c>
      <c r="BS177" s="31" t="s">
        <v>43</v>
      </c>
      <c r="BT177" s="159">
        <f t="shared" si="92"/>
        <v>38504</v>
      </c>
      <c r="BU177" s="162">
        <f t="shared" si="93"/>
        <v>1.5900000000000001E-2</v>
      </c>
      <c r="BV177" s="311">
        <f t="shared" si="78"/>
        <v>2.1534</v>
      </c>
      <c r="BX177" s="170" t="s">
        <v>43</v>
      </c>
      <c r="BY177" s="159">
        <f t="shared" si="70"/>
        <v>38504</v>
      </c>
      <c r="BZ177" s="162">
        <f t="shared" si="71"/>
        <v>1.5900000000000001E-2</v>
      </c>
      <c r="CA177" s="162">
        <f t="shared" si="79"/>
        <v>1.4456420000000003</v>
      </c>
      <c r="CF177" s="31" t="s">
        <v>197</v>
      </c>
      <c r="CG177" s="168">
        <f t="shared" si="75"/>
        <v>38504</v>
      </c>
      <c r="CH177" s="37">
        <v>0</v>
      </c>
      <c r="CI177" s="314">
        <f t="shared" si="72"/>
        <v>0</v>
      </c>
      <c r="CJ177" s="312">
        <f t="shared" si="94"/>
        <v>1</v>
      </c>
      <c r="CN177" s="315">
        <f t="shared" si="81"/>
        <v>38504</v>
      </c>
      <c r="CO177" s="312">
        <f t="shared" si="82"/>
        <v>1</v>
      </c>
      <c r="CQ177" s="315">
        <f t="shared" si="83"/>
        <v>38504</v>
      </c>
      <c r="CR177" s="316">
        <f t="shared" si="84"/>
        <v>2.1534</v>
      </c>
      <c r="CW177"/>
      <c r="CX177" s="242" t="str">
        <f t="shared" si="91"/>
        <v/>
      </c>
    </row>
    <row r="178" spans="2:102" ht="15" customHeight="1">
      <c r="B178" s="163">
        <v>41760</v>
      </c>
      <c r="C178" s="165">
        <v>724</v>
      </c>
      <c r="D178" s="274">
        <f t="shared" si="85"/>
        <v>41760</v>
      </c>
      <c r="E178" s="275">
        <f t="shared" si="86"/>
        <v>724</v>
      </c>
      <c r="G178" s="163">
        <v>42125</v>
      </c>
      <c r="H178" s="163">
        <v>42156</v>
      </c>
      <c r="I178" s="164">
        <v>1.1529999999999999E-3</v>
      </c>
      <c r="J178" s="159">
        <f t="shared" si="87"/>
        <v>42156</v>
      </c>
      <c r="K178" s="278">
        <f t="shared" si="88"/>
        <v>1.1529999999999999E-3</v>
      </c>
      <c r="M178" s="163">
        <v>40269</v>
      </c>
      <c r="N178" s="163">
        <v>40299</v>
      </c>
      <c r="O178" s="164">
        <v>5.0000000000000001E-3</v>
      </c>
      <c r="P178" s="159">
        <f t="shared" si="76"/>
        <v>40269</v>
      </c>
      <c r="Q178" s="292">
        <f t="shared" si="73"/>
        <v>5.0000000000000001E-3</v>
      </c>
      <c r="S178" s="163">
        <v>40299</v>
      </c>
      <c r="T178" s="164">
        <v>7.4999999999999997E-3</v>
      </c>
      <c r="U178" s="159">
        <f t="shared" si="89"/>
        <v>40299</v>
      </c>
      <c r="V178" s="285">
        <f t="shared" si="90"/>
        <v>7.4999999999999997E-3</v>
      </c>
      <c r="BM178" s="31" t="s">
        <v>197</v>
      </c>
      <c r="BN178" s="168">
        <f t="shared" si="74"/>
        <v>38534</v>
      </c>
      <c r="BO178" s="37">
        <v>0</v>
      </c>
      <c r="BP178" s="278">
        <f t="shared" si="69"/>
        <v>0</v>
      </c>
      <c r="BQ178" s="312">
        <f t="shared" si="77"/>
        <v>1.1656213848043593</v>
      </c>
      <c r="BS178" s="31" t="s">
        <v>43</v>
      </c>
      <c r="BT178" s="159">
        <f t="shared" si="92"/>
        <v>38534</v>
      </c>
      <c r="BU178" s="162">
        <f t="shared" si="93"/>
        <v>1.5100000000000001E-2</v>
      </c>
      <c r="BV178" s="311">
        <f t="shared" si="78"/>
        <v>2.1375000000000002</v>
      </c>
      <c r="BX178" s="170" t="s">
        <v>43</v>
      </c>
      <c r="BY178" s="159">
        <f t="shared" si="70"/>
        <v>38534</v>
      </c>
      <c r="BZ178" s="162">
        <f t="shared" si="71"/>
        <v>1.5100000000000001E-2</v>
      </c>
      <c r="CA178" s="162">
        <f t="shared" si="79"/>
        <v>1.4297420000000003</v>
      </c>
      <c r="CF178" s="31" t="s">
        <v>197</v>
      </c>
      <c r="CG178" s="168">
        <f t="shared" si="75"/>
        <v>38534</v>
      </c>
      <c r="CH178" s="37">
        <v>0</v>
      </c>
      <c r="CI178" s="314">
        <f t="shared" si="72"/>
        <v>0</v>
      </c>
      <c r="CJ178" s="312">
        <f t="shared" si="94"/>
        <v>1</v>
      </c>
      <c r="CN178" s="315">
        <f t="shared" si="81"/>
        <v>38534</v>
      </c>
      <c r="CO178" s="312">
        <f t="shared" si="82"/>
        <v>1</v>
      </c>
      <c r="CQ178" s="315">
        <f t="shared" si="83"/>
        <v>38534</v>
      </c>
      <c r="CR178" s="316">
        <f t="shared" si="84"/>
        <v>2.1375000000000002</v>
      </c>
      <c r="CW178" s="650" t="s">
        <v>412</v>
      </c>
      <c r="CX178" s="242" t="str">
        <f t="shared" si="91"/>
        <v>fundo lilar, mão no canto esquerdo como se pedisse para parar, letras em roxo</v>
      </c>
    </row>
    <row r="179" spans="2:102" ht="15" customHeight="1">
      <c r="B179" s="163">
        <v>41791</v>
      </c>
      <c r="C179" s="165">
        <v>724</v>
      </c>
      <c r="D179" s="274">
        <f t="shared" si="85"/>
        <v>41791</v>
      </c>
      <c r="E179" s="275">
        <f t="shared" si="86"/>
        <v>724</v>
      </c>
      <c r="G179" s="163">
        <v>42156</v>
      </c>
      <c r="H179" s="163">
        <v>42186</v>
      </c>
      <c r="I179" s="164">
        <v>1.8129999999999999E-3</v>
      </c>
      <c r="J179" s="159">
        <f t="shared" si="87"/>
        <v>42186</v>
      </c>
      <c r="K179" s="278">
        <f t="shared" si="88"/>
        <v>1.8129999999999999E-3</v>
      </c>
      <c r="M179" s="163">
        <v>40299</v>
      </c>
      <c r="N179" s="163">
        <v>40330</v>
      </c>
      <c r="O179" s="164">
        <v>5.0000000000000001E-3</v>
      </c>
      <c r="P179" s="159">
        <f t="shared" si="76"/>
        <v>40299</v>
      </c>
      <c r="Q179" s="292">
        <f t="shared" si="73"/>
        <v>5.0000000000000001E-3</v>
      </c>
      <c r="S179" s="163">
        <v>40330</v>
      </c>
      <c r="T179" s="164">
        <v>7.9000000000000008E-3</v>
      </c>
      <c r="U179" s="159">
        <f t="shared" si="89"/>
        <v>40330</v>
      </c>
      <c r="V179" s="285">
        <f t="shared" si="90"/>
        <v>7.9000000000000008E-3</v>
      </c>
      <c r="BM179" s="31" t="s">
        <v>197</v>
      </c>
      <c r="BN179" s="168">
        <f t="shared" si="74"/>
        <v>38565</v>
      </c>
      <c r="BO179" s="37">
        <v>0</v>
      </c>
      <c r="BP179" s="278">
        <f t="shared" si="69"/>
        <v>0</v>
      </c>
      <c r="BQ179" s="312">
        <f t="shared" si="77"/>
        <v>1.1656213848043593</v>
      </c>
      <c r="BS179" s="31" t="s">
        <v>43</v>
      </c>
      <c r="BT179" s="159">
        <f t="shared" si="92"/>
        <v>38565</v>
      </c>
      <c r="BU179" s="162">
        <f t="shared" si="93"/>
        <v>1.66E-2</v>
      </c>
      <c r="BV179" s="311">
        <f t="shared" si="78"/>
        <v>2.1224000000000003</v>
      </c>
      <c r="BX179" s="170" t="s">
        <v>43</v>
      </c>
      <c r="BY179" s="159">
        <f t="shared" si="70"/>
        <v>38565</v>
      </c>
      <c r="BZ179" s="162">
        <f t="shared" si="71"/>
        <v>1.66E-2</v>
      </c>
      <c r="CA179" s="162">
        <f t="shared" si="79"/>
        <v>1.4146420000000004</v>
      </c>
      <c r="CF179" s="31" t="s">
        <v>197</v>
      </c>
      <c r="CG179" s="168">
        <f t="shared" si="75"/>
        <v>38565</v>
      </c>
      <c r="CH179" s="37">
        <v>0</v>
      </c>
      <c r="CI179" s="314">
        <f t="shared" si="72"/>
        <v>0</v>
      </c>
      <c r="CJ179" s="312">
        <f t="shared" si="94"/>
        <v>1</v>
      </c>
      <c r="CN179" s="315">
        <f t="shared" si="81"/>
        <v>38565</v>
      </c>
      <c r="CO179" s="312">
        <f t="shared" si="82"/>
        <v>1</v>
      </c>
      <c r="CQ179" s="315">
        <f t="shared" si="83"/>
        <v>38565</v>
      </c>
      <c r="CR179" s="316">
        <f t="shared" si="84"/>
        <v>2.1224000000000003</v>
      </c>
      <c r="CW179" s="657" t="s">
        <v>410</v>
      </c>
      <c r="CX179" s="242" t="str">
        <f t="shared" si="91"/>
        <v>25 Agosto, 2026 JF2</v>
      </c>
    </row>
    <row r="180" spans="2:102" ht="15" customHeight="1">
      <c r="B180" s="163">
        <v>41821</v>
      </c>
      <c r="C180" s="165">
        <v>724</v>
      </c>
      <c r="D180" s="274">
        <f t="shared" si="85"/>
        <v>41821</v>
      </c>
      <c r="E180" s="275">
        <f t="shared" si="86"/>
        <v>724</v>
      </c>
      <c r="G180" s="163">
        <v>42186</v>
      </c>
      <c r="H180" s="163">
        <v>42217</v>
      </c>
      <c r="I180" s="164">
        <v>2.3050000000000002E-3</v>
      </c>
      <c r="J180" s="159">
        <f t="shared" si="87"/>
        <v>42217</v>
      </c>
      <c r="K180" s="278">
        <f t="shared" si="88"/>
        <v>2.3050000000000002E-3</v>
      </c>
      <c r="M180" s="163">
        <v>40330</v>
      </c>
      <c r="N180" s="163">
        <v>40360</v>
      </c>
      <c r="O180" s="164">
        <v>5.0000000000000001E-3</v>
      </c>
      <c r="P180" s="159">
        <f t="shared" si="76"/>
        <v>40330</v>
      </c>
      <c r="Q180" s="292">
        <f t="shared" si="73"/>
        <v>5.0000000000000001E-3</v>
      </c>
      <c r="S180" s="163">
        <v>40360</v>
      </c>
      <c r="T180" s="164">
        <v>8.6E-3</v>
      </c>
      <c r="U180" s="159">
        <f t="shared" si="89"/>
        <v>40360</v>
      </c>
      <c r="V180" s="285">
        <f t="shared" si="90"/>
        <v>8.6E-3</v>
      </c>
      <c r="BM180" s="31" t="s">
        <v>197</v>
      </c>
      <c r="BN180" s="168">
        <f t="shared" si="74"/>
        <v>38596</v>
      </c>
      <c r="BO180" s="37">
        <v>0</v>
      </c>
      <c r="BP180" s="278">
        <f t="shared" si="69"/>
        <v>0</v>
      </c>
      <c r="BQ180" s="312">
        <f t="shared" si="77"/>
        <v>1.1656213848043593</v>
      </c>
      <c r="BS180" s="31" t="s">
        <v>43</v>
      </c>
      <c r="BT180" s="159">
        <f t="shared" si="92"/>
        <v>38596</v>
      </c>
      <c r="BU180" s="162">
        <f t="shared" si="93"/>
        <v>1.4999999999999999E-2</v>
      </c>
      <c r="BV180" s="311">
        <f t="shared" si="78"/>
        <v>2.1058000000000003</v>
      </c>
      <c r="BX180" s="170" t="s">
        <v>43</v>
      </c>
      <c r="BY180" s="159">
        <f t="shared" si="70"/>
        <v>38596</v>
      </c>
      <c r="BZ180" s="162">
        <f t="shared" si="71"/>
        <v>1.4999999999999999E-2</v>
      </c>
      <c r="CA180" s="162">
        <f t="shared" si="79"/>
        <v>1.3980420000000005</v>
      </c>
      <c r="CF180" s="31" t="s">
        <v>197</v>
      </c>
      <c r="CG180" s="168">
        <f t="shared" si="75"/>
        <v>38596</v>
      </c>
      <c r="CH180" s="37">
        <v>0</v>
      </c>
      <c r="CI180" s="314">
        <f t="shared" si="72"/>
        <v>0</v>
      </c>
      <c r="CJ180" s="312">
        <f t="shared" si="94"/>
        <v>1</v>
      </c>
      <c r="CN180" s="315">
        <f t="shared" si="81"/>
        <v>38596</v>
      </c>
      <c r="CO180" s="312">
        <f t="shared" si="82"/>
        <v>1</v>
      </c>
      <c r="CQ180" s="315">
        <f t="shared" si="83"/>
        <v>38596</v>
      </c>
      <c r="CR180" s="316">
        <f t="shared" si="84"/>
        <v>2.1058000000000003</v>
      </c>
      <c r="CW180" s="658" t="s">
        <v>413</v>
      </c>
      <c r="CX180" s="242" t="str">
        <f t="shared" si="91"/>
        <v>TRF2 marca os 20 anos de vigência da Lei Maria da Penha</v>
      </c>
    </row>
    <row r="181" spans="2:102" ht="15" customHeight="1">
      <c r="B181" s="163">
        <v>41852</v>
      </c>
      <c r="C181" s="165">
        <v>724</v>
      </c>
      <c r="D181" s="274">
        <f t="shared" si="85"/>
        <v>41852</v>
      </c>
      <c r="E181" s="275">
        <f t="shared" si="86"/>
        <v>724</v>
      </c>
      <c r="G181" s="163">
        <v>42217</v>
      </c>
      <c r="H181" s="163">
        <v>42248</v>
      </c>
      <c r="I181" s="164">
        <v>1.867E-3</v>
      </c>
      <c r="J181" s="159">
        <f t="shared" si="87"/>
        <v>42248</v>
      </c>
      <c r="K181" s="278">
        <f t="shared" si="88"/>
        <v>1.867E-3</v>
      </c>
      <c r="M181" s="163">
        <v>40360</v>
      </c>
      <c r="N181" s="163">
        <v>40391</v>
      </c>
      <c r="O181" s="164">
        <v>5.0000000000000001E-3</v>
      </c>
      <c r="P181" s="159">
        <f t="shared" si="76"/>
        <v>40360</v>
      </c>
      <c r="Q181" s="292">
        <f t="shared" si="73"/>
        <v>5.0000000000000001E-3</v>
      </c>
      <c r="S181" s="163">
        <v>40391</v>
      </c>
      <c r="T181" s="164">
        <v>8.8999999999999999E-3</v>
      </c>
      <c r="U181" s="159">
        <f t="shared" si="89"/>
        <v>40391</v>
      </c>
      <c r="V181" s="285">
        <f t="shared" si="90"/>
        <v>8.8999999999999999E-3</v>
      </c>
      <c r="BM181" s="31" t="s">
        <v>197</v>
      </c>
      <c r="BN181" s="168">
        <f t="shared" si="74"/>
        <v>38626</v>
      </c>
      <c r="BO181" s="37">
        <v>0</v>
      </c>
      <c r="BP181" s="278">
        <f t="shared" si="69"/>
        <v>0</v>
      </c>
      <c r="BQ181" s="312">
        <f t="shared" si="77"/>
        <v>1.1656213848043593</v>
      </c>
      <c r="BS181" s="31" t="s">
        <v>43</v>
      </c>
      <c r="BT181" s="159">
        <f t="shared" si="92"/>
        <v>38626</v>
      </c>
      <c r="BU181" s="162">
        <f t="shared" si="93"/>
        <v>1.41E-2</v>
      </c>
      <c r="BV181" s="311">
        <f t="shared" si="78"/>
        <v>2.0908000000000002</v>
      </c>
      <c r="BX181" s="170" t="s">
        <v>43</v>
      </c>
      <c r="BY181" s="159">
        <f t="shared" si="70"/>
        <v>38626</v>
      </c>
      <c r="BZ181" s="162">
        <f t="shared" si="71"/>
        <v>1.41E-2</v>
      </c>
      <c r="CA181" s="162">
        <f t="shared" si="79"/>
        <v>1.3830420000000005</v>
      </c>
      <c r="CF181" s="31" t="s">
        <v>197</v>
      </c>
      <c r="CG181" s="168">
        <f t="shared" si="75"/>
        <v>38626</v>
      </c>
      <c r="CH181" s="37">
        <v>0</v>
      </c>
      <c r="CI181" s="314">
        <f t="shared" si="72"/>
        <v>0</v>
      </c>
      <c r="CJ181" s="312">
        <f t="shared" si="94"/>
        <v>1</v>
      </c>
      <c r="CN181" s="315">
        <f t="shared" si="81"/>
        <v>38626</v>
      </c>
      <c r="CO181" s="312">
        <f t="shared" si="82"/>
        <v>1</v>
      </c>
      <c r="CQ181" s="315">
        <f t="shared" si="83"/>
        <v>38626</v>
      </c>
      <c r="CR181" s="316">
        <f t="shared" si="84"/>
        <v>2.0908000000000002</v>
      </c>
      <c r="CW181"/>
      <c r="CX181" s="242" t="str">
        <f t="shared" si="91"/>
        <v/>
      </c>
    </row>
    <row r="182" spans="2:102" ht="15" customHeight="1">
      <c r="B182" s="163">
        <v>41883</v>
      </c>
      <c r="C182" s="165">
        <v>724</v>
      </c>
      <c r="D182" s="274">
        <f t="shared" si="85"/>
        <v>41883</v>
      </c>
      <c r="E182" s="275">
        <f t="shared" si="86"/>
        <v>724</v>
      </c>
      <c r="G182" s="163">
        <v>42248</v>
      </c>
      <c r="H182" s="163">
        <v>42278</v>
      </c>
      <c r="I182" s="164">
        <v>1.92E-3</v>
      </c>
      <c r="J182" s="159">
        <f t="shared" si="87"/>
        <v>42278</v>
      </c>
      <c r="K182" s="278">
        <f t="shared" si="88"/>
        <v>1.92E-3</v>
      </c>
      <c r="M182" s="163">
        <v>40391</v>
      </c>
      <c r="N182" s="163">
        <v>40422</v>
      </c>
      <c r="O182" s="164">
        <v>5.0000000000000001E-3</v>
      </c>
      <c r="P182" s="159">
        <f t="shared" si="76"/>
        <v>40391</v>
      </c>
      <c r="Q182" s="292">
        <f t="shared" si="73"/>
        <v>5.0000000000000001E-3</v>
      </c>
      <c r="S182" s="163">
        <v>40422</v>
      </c>
      <c r="T182" s="164">
        <v>8.5000000000000006E-3</v>
      </c>
      <c r="U182" s="159">
        <f t="shared" si="89"/>
        <v>40422</v>
      </c>
      <c r="V182" s="285">
        <f t="shared" si="90"/>
        <v>8.5000000000000006E-3</v>
      </c>
      <c r="BM182" s="31" t="s">
        <v>197</v>
      </c>
      <c r="BN182" s="168">
        <f t="shared" si="74"/>
        <v>38657</v>
      </c>
      <c r="BO182" s="37">
        <v>0</v>
      </c>
      <c r="BP182" s="278">
        <f t="shared" si="69"/>
        <v>0</v>
      </c>
      <c r="BQ182" s="312">
        <f t="shared" si="77"/>
        <v>1.1656213848043593</v>
      </c>
      <c r="BS182" s="31" t="s">
        <v>43</v>
      </c>
      <c r="BT182" s="159">
        <f t="shared" si="92"/>
        <v>38657</v>
      </c>
      <c r="BU182" s="162">
        <f t="shared" si="93"/>
        <v>1.38E-2</v>
      </c>
      <c r="BV182" s="311">
        <f t="shared" si="78"/>
        <v>2.0767000000000002</v>
      </c>
      <c r="BX182" s="170" t="s">
        <v>43</v>
      </c>
      <c r="BY182" s="159">
        <f t="shared" si="70"/>
        <v>38657</v>
      </c>
      <c r="BZ182" s="162">
        <f t="shared" si="71"/>
        <v>1.38E-2</v>
      </c>
      <c r="CA182" s="162">
        <f t="shared" si="79"/>
        <v>1.3689420000000005</v>
      </c>
      <c r="CF182" s="31" t="s">
        <v>197</v>
      </c>
      <c r="CG182" s="168">
        <f t="shared" si="75"/>
        <v>38657</v>
      </c>
      <c r="CH182" s="37">
        <v>0</v>
      </c>
      <c r="CI182" s="314">
        <f t="shared" si="72"/>
        <v>0</v>
      </c>
      <c r="CJ182" s="312">
        <f t="shared" si="94"/>
        <v>1</v>
      </c>
      <c r="CN182" s="315">
        <f t="shared" si="81"/>
        <v>38657</v>
      </c>
      <c r="CO182" s="312">
        <f t="shared" si="82"/>
        <v>1</v>
      </c>
      <c r="CQ182" s="315">
        <f t="shared" si="83"/>
        <v>38657</v>
      </c>
      <c r="CR182" s="316">
        <f t="shared" si="84"/>
        <v>2.0767000000000002</v>
      </c>
      <c r="CW182" s="650" t="s">
        <v>414</v>
      </c>
      <c r="CX182" s="242" t="str">
        <f t="shared" si="91"/>
        <v>Duas pessoas apertando as mãos.</v>
      </c>
    </row>
    <row r="183" spans="2:102" ht="15" customHeight="1">
      <c r="B183" s="163">
        <v>41913</v>
      </c>
      <c r="C183" s="165">
        <v>724</v>
      </c>
      <c r="D183" s="274">
        <f t="shared" si="85"/>
        <v>41913</v>
      </c>
      <c r="E183" s="275">
        <f t="shared" si="86"/>
        <v>724</v>
      </c>
      <c r="G183" s="163">
        <v>42278</v>
      </c>
      <c r="H183" s="163">
        <v>42309</v>
      </c>
      <c r="I183" s="164">
        <v>1.7899999999999999E-3</v>
      </c>
      <c r="J183" s="159">
        <f t="shared" si="87"/>
        <v>42309</v>
      </c>
      <c r="K183" s="278">
        <f t="shared" si="88"/>
        <v>1.7899999999999999E-3</v>
      </c>
      <c r="M183" s="163">
        <v>40422</v>
      </c>
      <c r="N183" s="163">
        <v>40452</v>
      </c>
      <c r="O183" s="164">
        <v>5.0000000000000001E-3</v>
      </c>
      <c r="P183" s="159">
        <f t="shared" si="76"/>
        <v>40422</v>
      </c>
      <c r="Q183" s="292">
        <f t="shared" si="73"/>
        <v>5.0000000000000001E-3</v>
      </c>
      <c r="S183" s="163">
        <v>40452</v>
      </c>
      <c r="T183" s="164">
        <v>8.0999999999999996E-3</v>
      </c>
      <c r="U183" s="159">
        <f t="shared" si="89"/>
        <v>40452</v>
      </c>
      <c r="V183" s="285">
        <f t="shared" si="90"/>
        <v>8.0999999999999996E-3</v>
      </c>
      <c r="BM183" s="31" t="s">
        <v>197</v>
      </c>
      <c r="BN183" s="168">
        <f t="shared" si="74"/>
        <v>38687</v>
      </c>
      <c r="BO183" s="37">
        <v>0</v>
      </c>
      <c r="BP183" s="278">
        <f t="shared" si="69"/>
        <v>0</v>
      </c>
      <c r="BQ183" s="312">
        <f t="shared" si="77"/>
        <v>1.1656213848043593</v>
      </c>
      <c r="BS183" s="31" t="s">
        <v>43</v>
      </c>
      <c r="BT183" s="159">
        <f t="shared" si="92"/>
        <v>38687</v>
      </c>
      <c r="BU183" s="162">
        <f t="shared" si="93"/>
        <v>1.47E-2</v>
      </c>
      <c r="BV183" s="311">
        <f t="shared" si="78"/>
        <v>2.0629000000000004</v>
      </c>
      <c r="BX183" s="170" t="s">
        <v>43</v>
      </c>
      <c r="BY183" s="159">
        <f t="shared" si="70"/>
        <v>38687</v>
      </c>
      <c r="BZ183" s="162">
        <f t="shared" si="71"/>
        <v>1.47E-2</v>
      </c>
      <c r="CA183" s="162">
        <f t="shared" si="79"/>
        <v>1.3551420000000005</v>
      </c>
      <c r="CF183" s="31" t="s">
        <v>197</v>
      </c>
      <c r="CG183" s="168">
        <f t="shared" si="75"/>
        <v>38687</v>
      </c>
      <c r="CH183" s="37">
        <v>0</v>
      </c>
      <c r="CI183" s="314">
        <f t="shared" si="72"/>
        <v>0</v>
      </c>
      <c r="CJ183" s="312">
        <f t="shared" si="94"/>
        <v>1</v>
      </c>
      <c r="CN183" s="315">
        <f t="shared" si="81"/>
        <v>38687</v>
      </c>
      <c r="CO183" s="312">
        <f t="shared" si="82"/>
        <v>1</v>
      </c>
      <c r="CQ183" s="315">
        <f t="shared" si="83"/>
        <v>38687</v>
      </c>
      <c r="CR183" s="316">
        <f t="shared" si="84"/>
        <v>2.0629000000000004</v>
      </c>
      <c r="CW183" s="657" t="s">
        <v>415</v>
      </c>
      <c r="CX183" s="242" t="str">
        <f t="shared" si="91"/>
        <v>22 Agosto, 2026 JF2</v>
      </c>
    </row>
    <row r="184" spans="2:102" ht="15" customHeight="1">
      <c r="B184" s="163">
        <v>41944</v>
      </c>
      <c r="C184" s="165">
        <v>724</v>
      </c>
      <c r="D184" s="274">
        <f t="shared" si="85"/>
        <v>41944</v>
      </c>
      <c r="E184" s="275">
        <f t="shared" si="86"/>
        <v>724</v>
      </c>
      <c r="G184" s="163">
        <v>42309</v>
      </c>
      <c r="H184" s="163">
        <v>42339</v>
      </c>
      <c r="I184" s="164">
        <v>1.297E-3</v>
      </c>
      <c r="J184" s="159">
        <f t="shared" si="87"/>
        <v>42339</v>
      </c>
      <c r="K184" s="278">
        <f t="shared" si="88"/>
        <v>1.297E-3</v>
      </c>
      <c r="M184" s="163">
        <v>40452</v>
      </c>
      <c r="N184" s="163">
        <v>40483</v>
      </c>
      <c r="O184" s="164">
        <v>5.0000000000000001E-3</v>
      </c>
      <c r="P184" s="159">
        <f t="shared" si="76"/>
        <v>40452</v>
      </c>
      <c r="Q184" s="292">
        <f t="shared" si="73"/>
        <v>5.0000000000000001E-3</v>
      </c>
      <c r="S184" s="163">
        <v>40483</v>
      </c>
      <c r="T184" s="164">
        <v>8.0999999999999996E-3</v>
      </c>
      <c r="U184" s="159">
        <f t="shared" si="89"/>
        <v>40483</v>
      </c>
      <c r="V184" s="285">
        <f t="shared" si="90"/>
        <v>8.0999999999999996E-3</v>
      </c>
      <c r="BM184" s="31" t="s">
        <v>197</v>
      </c>
      <c r="BN184" s="168">
        <f t="shared" si="74"/>
        <v>38718</v>
      </c>
      <c r="BO184" s="37">
        <v>0</v>
      </c>
      <c r="BP184" s="278">
        <f t="shared" si="69"/>
        <v>0</v>
      </c>
      <c r="BQ184" s="312">
        <f t="shared" si="77"/>
        <v>1.1656213848043593</v>
      </c>
      <c r="BS184" s="31" t="s">
        <v>43</v>
      </c>
      <c r="BT184" s="159">
        <f t="shared" si="92"/>
        <v>38718</v>
      </c>
      <c r="BU184" s="162">
        <f t="shared" si="93"/>
        <v>1.43E-2</v>
      </c>
      <c r="BV184" s="311">
        <f t="shared" si="78"/>
        <v>2.0482000000000005</v>
      </c>
      <c r="BX184" s="170" t="s">
        <v>43</v>
      </c>
      <c r="BY184" s="159">
        <f t="shared" si="70"/>
        <v>38718</v>
      </c>
      <c r="BZ184" s="162">
        <f t="shared" si="71"/>
        <v>1.43E-2</v>
      </c>
      <c r="CA184" s="162">
        <f t="shared" si="79"/>
        <v>1.3404420000000006</v>
      </c>
      <c r="CF184" s="31" t="s">
        <v>197</v>
      </c>
      <c r="CG184" s="168">
        <f t="shared" si="75"/>
        <v>38718</v>
      </c>
      <c r="CH184" s="37">
        <v>0</v>
      </c>
      <c r="CI184" s="314">
        <f t="shared" si="72"/>
        <v>0</v>
      </c>
      <c r="CJ184" s="312">
        <f t="shared" si="94"/>
        <v>1</v>
      </c>
      <c r="CN184" s="315">
        <f t="shared" si="81"/>
        <v>38718</v>
      </c>
      <c r="CO184" s="312">
        <f t="shared" si="82"/>
        <v>1</v>
      </c>
      <c r="CQ184" s="315">
        <f t="shared" si="83"/>
        <v>38718</v>
      </c>
      <c r="CR184" s="316">
        <f t="shared" si="84"/>
        <v>2.0482000000000005</v>
      </c>
      <c r="CW184" s="658" t="s">
        <v>416</v>
      </c>
      <c r="CX184" s="242" t="str">
        <f t="shared" si="91"/>
        <v>Divulgados vencedores da XVI edição do Prêmio Conciliar é Legal. Destaque para o Projeto Conciliadores Mirins, do TRF2</v>
      </c>
    </row>
    <row r="185" spans="2:102" ht="15" customHeight="1">
      <c r="B185" s="163">
        <v>41974</v>
      </c>
      <c r="C185" s="165">
        <v>724</v>
      </c>
      <c r="D185" s="274">
        <f t="shared" si="85"/>
        <v>41974</v>
      </c>
      <c r="E185" s="275">
        <f t="shared" si="86"/>
        <v>724</v>
      </c>
      <c r="G185" s="163">
        <v>42339</v>
      </c>
      <c r="H185" s="163">
        <v>42370</v>
      </c>
      <c r="I185" s="164">
        <v>2.2499999999999998E-3</v>
      </c>
      <c r="J185" s="159">
        <f t="shared" si="87"/>
        <v>42370</v>
      </c>
      <c r="K185" s="278">
        <f t="shared" si="88"/>
        <v>2.2499999999999998E-3</v>
      </c>
      <c r="M185" s="163">
        <v>40483</v>
      </c>
      <c r="N185" s="163">
        <v>40513</v>
      </c>
      <c r="O185" s="164">
        <v>5.0000000000000001E-3</v>
      </c>
      <c r="P185" s="159">
        <f t="shared" si="76"/>
        <v>40483</v>
      </c>
      <c r="Q185" s="292">
        <f t="shared" si="73"/>
        <v>5.0000000000000001E-3</v>
      </c>
      <c r="S185" s="163">
        <v>40513</v>
      </c>
      <c r="T185" s="164">
        <v>9.2999999999999992E-3</v>
      </c>
      <c r="U185" s="159">
        <f t="shared" si="89"/>
        <v>40513</v>
      </c>
      <c r="V185" s="285">
        <f t="shared" si="90"/>
        <v>9.2999999999999992E-3</v>
      </c>
      <c r="BM185" s="31" t="s">
        <v>197</v>
      </c>
      <c r="BN185" s="168">
        <f t="shared" si="74"/>
        <v>38749</v>
      </c>
      <c r="BO185" s="37">
        <v>0</v>
      </c>
      <c r="BP185" s="278">
        <f t="shared" si="69"/>
        <v>0</v>
      </c>
      <c r="BQ185" s="312">
        <f t="shared" si="77"/>
        <v>1.1656213848043593</v>
      </c>
      <c r="BS185" s="31" t="s">
        <v>43</v>
      </c>
      <c r="BT185" s="159">
        <f t="shared" si="92"/>
        <v>38749</v>
      </c>
      <c r="BU185" s="162">
        <f t="shared" si="93"/>
        <v>1.15E-2</v>
      </c>
      <c r="BV185" s="311">
        <f t="shared" si="78"/>
        <v>2.0339000000000005</v>
      </c>
      <c r="BX185" s="170" t="s">
        <v>43</v>
      </c>
      <c r="BY185" s="159">
        <f t="shared" si="70"/>
        <v>38749</v>
      </c>
      <c r="BZ185" s="162">
        <f t="shared" si="71"/>
        <v>1.15E-2</v>
      </c>
      <c r="CA185" s="162">
        <f t="shared" si="79"/>
        <v>1.3261420000000006</v>
      </c>
      <c r="CF185" s="31" t="s">
        <v>197</v>
      </c>
      <c r="CG185" s="168">
        <f t="shared" si="75"/>
        <v>38749</v>
      </c>
      <c r="CH185" s="37">
        <v>0</v>
      </c>
      <c r="CI185" s="314">
        <f t="shared" si="72"/>
        <v>0</v>
      </c>
      <c r="CJ185" s="312">
        <f t="shared" si="94"/>
        <v>1</v>
      </c>
      <c r="CN185" s="315">
        <f t="shared" si="81"/>
        <v>38749</v>
      </c>
      <c r="CO185" s="312">
        <f t="shared" si="82"/>
        <v>1</v>
      </c>
      <c r="CQ185" s="315">
        <f t="shared" si="83"/>
        <v>38749</v>
      </c>
      <c r="CR185" s="316">
        <f t="shared" si="84"/>
        <v>2.0339000000000005</v>
      </c>
      <c r="CW185"/>
      <c r="CX185" s="242" t="str">
        <f t="shared" si="91"/>
        <v/>
      </c>
    </row>
    <row r="186" spans="2:102" ht="15" customHeight="1">
      <c r="B186" s="163">
        <v>42005</v>
      </c>
      <c r="C186" s="165">
        <v>788</v>
      </c>
      <c r="D186" s="274">
        <f t="shared" si="85"/>
        <v>42005</v>
      </c>
      <c r="E186" s="275">
        <f t="shared" si="86"/>
        <v>788</v>
      </c>
      <c r="G186" s="163">
        <v>42370</v>
      </c>
      <c r="H186" s="163">
        <v>42401</v>
      </c>
      <c r="I186" s="164">
        <v>1.32E-3</v>
      </c>
      <c r="J186" s="159">
        <f t="shared" si="87"/>
        <v>42401</v>
      </c>
      <c r="K186" s="278">
        <f t="shared" si="88"/>
        <v>1.32E-3</v>
      </c>
      <c r="M186" s="163">
        <v>40513</v>
      </c>
      <c r="N186" s="163">
        <v>40544</v>
      </c>
      <c r="O186" s="164">
        <v>5.0000000000000001E-3</v>
      </c>
      <c r="P186" s="159">
        <f t="shared" si="76"/>
        <v>40513</v>
      </c>
      <c r="Q186" s="292">
        <f t="shared" si="73"/>
        <v>5.0000000000000001E-3</v>
      </c>
      <c r="S186" s="163">
        <v>40544</v>
      </c>
      <c r="T186" s="164">
        <v>8.6E-3</v>
      </c>
      <c r="U186" s="159">
        <f t="shared" si="89"/>
        <v>40544</v>
      </c>
      <c r="V186" s="285">
        <f t="shared" si="90"/>
        <v>8.6E-3</v>
      </c>
      <c r="BM186" s="31" t="s">
        <v>197</v>
      </c>
      <c r="BN186" s="168">
        <f t="shared" si="74"/>
        <v>38777</v>
      </c>
      <c r="BO186" s="37">
        <v>0</v>
      </c>
      <c r="BP186" s="278">
        <f t="shared" si="69"/>
        <v>0</v>
      </c>
      <c r="BQ186" s="312">
        <f t="shared" si="77"/>
        <v>1.1656213848043593</v>
      </c>
      <c r="BS186" s="31" t="s">
        <v>43</v>
      </c>
      <c r="BT186" s="159">
        <f t="shared" si="92"/>
        <v>38777</v>
      </c>
      <c r="BU186" s="162">
        <f t="shared" si="93"/>
        <v>1.4200000000000001E-2</v>
      </c>
      <c r="BV186" s="311">
        <f t="shared" si="78"/>
        <v>2.0224000000000006</v>
      </c>
      <c r="BX186" s="170" t="s">
        <v>43</v>
      </c>
      <c r="BY186" s="159">
        <f t="shared" si="70"/>
        <v>38777</v>
      </c>
      <c r="BZ186" s="162">
        <f t="shared" si="71"/>
        <v>1.4200000000000001E-2</v>
      </c>
      <c r="CA186" s="162">
        <f t="shared" si="79"/>
        <v>1.3146420000000005</v>
      </c>
      <c r="CF186" s="31" t="s">
        <v>197</v>
      </c>
      <c r="CG186" s="168">
        <f t="shared" si="75"/>
        <v>38777</v>
      </c>
      <c r="CH186" s="37">
        <v>0</v>
      </c>
      <c r="CI186" s="314">
        <f t="shared" si="72"/>
        <v>0</v>
      </c>
      <c r="CJ186" s="312">
        <f t="shared" si="94"/>
        <v>1</v>
      </c>
      <c r="CN186" s="315">
        <f t="shared" si="81"/>
        <v>38777</v>
      </c>
      <c r="CO186" s="312">
        <f t="shared" si="82"/>
        <v>1</v>
      </c>
      <c r="CQ186" s="315">
        <f t="shared" si="83"/>
        <v>38777</v>
      </c>
      <c r="CR186" s="316">
        <f t="shared" si="84"/>
        <v>2.0224000000000006</v>
      </c>
      <c r="CW186" s="650" t="s">
        <v>417</v>
      </c>
      <c r="CX186" s="242" t="str">
        <f t="shared" si="91"/>
        <v>Presidente do TRF2 compareceu à cerimônia de posse da nova gestão do TRF6</v>
      </c>
    </row>
    <row r="187" spans="2:102" ht="15" customHeight="1">
      <c r="B187" s="163">
        <v>42036</v>
      </c>
      <c r="C187" s="165">
        <v>788</v>
      </c>
      <c r="D187" s="274">
        <f t="shared" si="85"/>
        <v>42036</v>
      </c>
      <c r="E187" s="275">
        <f t="shared" si="86"/>
        <v>788</v>
      </c>
      <c r="G187" s="163">
        <v>42401</v>
      </c>
      <c r="H187" s="163">
        <v>42430</v>
      </c>
      <c r="I187" s="164">
        <v>9.5699999999999995E-4</v>
      </c>
      <c r="J187" s="159">
        <f t="shared" si="87"/>
        <v>42430</v>
      </c>
      <c r="K187" s="278">
        <f t="shared" si="88"/>
        <v>9.5699999999999995E-4</v>
      </c>
      <c r="M187" s="163">
        <v>40544</v>
      </c>
      <c r="N187" s="163">
        <v>40575</v>
      </c>
      <c r="O187" s="164">
        <v>5.0000000000000001E-3</v>
      </c>
      <c r="P187" s="159">
        <f t="shared" si="76"/>
        <v>40544</v>
      </c>
      <c r="Q187" s="292">
        <f t="shared" si="73"/>
        <v>5.0000000000000001E-3</v>
      </c>
      <c r="S187" s="163">
        <v>40575</v>
      </c>
      <c r="T187" s="164">
        <v>8.3999999999999995E-3</v>
      </c>
      <c r="U187" s="159">
        <f t="shared" si="89"/>
        <v>40575</v>
      </c>
      <c r="V187" s="285">
        <f t="shared" si="90"/>
        <v>8.3999999999999995E-3</v>
      </c>
      <c r="BM187" s="31" t="s">
        <v>197</v>
      </c>
      <c r="BN187" s="168">
        <f t="shared" si="74"/>
        <v>38808</v>
      </c>
      <c r="BO187" s="37">
        <v>0</v>
      </c>
      <c r="BP187" s="278">
        <f t="shared" si="69"/>
        <v>0</v>
      </c>
      <c r="BQ187" s="312">
        <f t="shared" si="77"/>
        <v>1.1656213848043593</v>
      </c>
      <c r="BS187" s="31" t="s">
        <v>43</v>
      </c>
      <c r="BT187" s="159">
        <f t="shared" si="92"/>
        <v>38808</v>
      </c>
      <c r="BU187" s="162">
        <f t="shared" si="93"/>
        <v>1.0800000000000001E-2</v>
      </c>
      <c r="BV187" s="311">
        <f t="shared" si="78"/>
        <v>2.0082000000000004</v>
      </c>
      <c r="BX187" s="170" t="s">
        <v>43</v>
      </c>
      <c r="BY187" s="159">
        <f t="shared" si="70"/>
        <v>38808</v>
      </c>
      <c r="BZ187" s="162">
        <f t="shared" si="71"/>
        <v>1.0800000000000001E-2</v>
      </c>
      <c r="CA187" s="162">
        <f t="shared" si="79"/>
        <v>1.3004420000000005</v>
      </c>
      <c r="CF187" s="31" t="s">
        <v>197</v>
      </c>
      <c r="CG187" s="168">
        <f t="shared" si="75"/>
        <v>38808</v>
      </c>
      <c r="CH187" s="37">
        <v>0</v>
      </c>
      <c r="CI187" s="314">
        <f t="shared" si="72"/>
        <v>0</v>
      </c>
      <c r="CJ187" s="312">
        <f t="shared" si="94"/>
        <v>1</v>
      </c>
      <c r="CN187" s="315">
        <f t="shared" si="81"/>
        <v>38808</v>
      </c>
      <c r="CO187" s="312">
        <f t="shared" si="82"/>
        <v>1</v>
      </c>
      <c r="CQ187" s="315">
        <f t="shared" si="83"/>
        <v>38808</v>
      </c>
      <c r="CR187" s="316">
        <f t="shared" si="84"/>
        <v>2.0082000000000004</v>
      </c>
      <c r="CW187" s="657" t="s">
        <v>418</v>
      </c>
      <c r="CX187" s="242" t="str">
        <f t="shared" si="91"/>
        <v>20 Agosto, 2026 JF2</v>
      </c>
    </row>
    <row r="188" spans="2:102" ht="15" customHeight="1">
      <c r="B188" s="163">
        <v>42064</v>
      </c>
      <c r="C188" s="165">
        <v>788</v>
      </c>
      <c r="D188" s="274">
        <f t="shared" si="85"/>
        <v>42064</v>
      </c>
      <c r="E188" s="275">
        <f t="shared" si="86"/>
        <v>788</v>
      </c>
      <c r="G188" s="163">
        <v>42430</v>
      </c>
      <c r="H188" s="163">
        <v>42461</v>
      </c>
      <c r="I188" s="164">
        <v>2.1679999999999998E-3</v>
      </c>
      <c r="J188" s="159">
        <f t="shared" si="87"/>
        <v>42461</v>
      </c>
      <c r="K188" s="278">
        <f t="shared" si="88"/>
        <v>2.1679999999999998E-3</v>
      </c>
      <c r="M188" s="163">
        <v>40575</v>
      </c>
      <c r="N188" s="163">
        <v>40603</v>
      </c>
      <c r="O188" s="164">
        <v>5.0000000000000001E-3</v>
      </c>
      <c r="P188" s="159">
        <f t="shared" si="76"/>
        <v>40575</v>
      </c>
      <c r="Q188" s="292">
        <f t="shared" si="73"/>
        <v>5.0000000000000001E-3</v>
      </c>
      <c r="S188" s="163">
        <v>40603</v>
      </c>
      <c r="T188" s="164">
        <v>9.1999999999999998E-3</v>
      </c>
      <c r="U188" s="159">
        <f t="shared" si="89"/>
        <v>40603</v>
      </c>
      <c r="V188" s="285">
        <f t="shared" si="90"/>
        <v>9.1999999999999998E-3</v>
      </c>
      <c r="BM188" s="31" t="s">
        <v>197</v>
      </c>
      <c r="BN188" s="168">
        <f t="shared" si="74"/>
        <v>38838</v>
      </c>
      <c r="BO188" s="37">
        <v>0</v>
      </c>
      <c r="BP188" s="278">
        <f t="shared" si="69"/>
        <v>0</v>
      </c>
      <c r="BQ188" s="312">
        <f t="shared" si="77"/>
        <v>1.1656213848043593</v>
      </c>
      <c r="BS188" s="31" t="s">
        <v>43</v>
      </c>
      <c r="BT188" s="159">
        <f t="shared" si="92"/>
        <v>38838</v>
      </c>
      <c r="BU188" s="162">
        <f t="shared" si="93"/>
        <v>1.2800000000000001E-2</v>
      </c>
      <c r="BV188" s="311">
        <f t="shared" si="78"/>
        <v>1.9974000000000003</v>
      </c>
      <c r="BX188" s="170" t="s">
        <v>43</v>
      </c>
      <c r="BY188" s="159">
        <f t="shared" si="70"/>
        <v>38838</v>
      </c>
      <c r="BZ188" s="162">
        <f t="shared" si="71"/>
        <v>1.2800000000000001E-2</v>
      </c>
      <c r="CA188" s="162">
        <f t="shared" si="79"/>
        <v>1.2896420000000006</v>
      </c>
      <c r="CF188" s="31" t="s">
        <v>197</v>
      </c>
      <c r="CG188" s="168">
        <f t="shared" si="75"/>
        <v>38838</v>
      </c>
      <c r="CH188" s="37">
        <v>0</v>
      </c>
      <c r="CI188" s="314">
        <f t="shared" si="72"/>
        <v>0</v>
      </c>
      <c r="CJ188" s="312">
        <f t="shared" si="94"/>
        <v>1</v>
      </c>
      <c r="CN188" s="315">
        <f t="shared" si="81"/>
        <v>38838</v>
      </c>
      <c r="CO188" s="312">
        <f t="shared" si="82"/>
        <v>1</v>
      </c>
      <c r="CQ188" s="315">
        <f t="shared" si="83"/>
        <v>38838</v>
      </c>
      <c r="CR188" s="316">
        <f t="shared" si="84"/>
        <v>1.9974000000000003</v>
      </c>
      <c r="CW188" s="658" t="s">
        <v>419</v>
      </c>
      <c r="CX188" s="242" t="str">
        <f t="shared" si="91"/>
        <v>Presidente do TRF2 participa da posse da nova gestão do TRF6</v>
      </c>
    </row>
    <row r="189" spans="2:102" ht="15" customHeight="1">
      <c r="B189" s="163">
        <v>42095</v>
      </c>
      <c r="C189" s="165">
        <v>788</v>
      </c>
      <c r="D189" s="274">
        <f t="shared" si="85"/>
        <v>42095</v>
      </c>
      <c r="E189" s="275">
        <f t="shared" si="86"/>
        <v>788</v>
      </c>
      <c r="G189" s="163">
        <v>42461</v>
      </c>
      <c r="H189" s="163">
        <v>42491</v>
      </c>
      <c r="I189" s="164">
        <v>1.304E-3</v>
      </c>
      <c r="J189" s="159">
        <f t="shared" si="87"/>
        <v>42491</v>
      </c>
      <c r="K189" s="278">
        <f t="shared" si="88"/>
        <v>1.304E-3</v>
      </c>
      <c r="M189" s="163">
        <v>40603</v>
      </c>
      <c r="N189" s="163">
        <v>40634</v>
      </c>
      <c r="O189" s="164">
        <v>5.0000000000000001E-3</v>
      </c>
      <c r="P189" s="159">
        <f t="shared" si="76"/>
        <v>40603</v>
      </c>
      <c r="Q189" s="292">
        <f t="shared" si="73"/>
        <v>5.0000000000000001E-3</v>
      </c>
      <c r="S189" s="163">
        <v>40634</v>
      </c>
      <c r="T189" s="164">
        <v>8.3999999999999995E-3</v>
      </c>
      <c r="U189" s="159">
        <f t="shared" si="89"/>
        <v>40634</v>
      </c>
      <c r="V189" s="285">
        <f t="shared" si="90"/>
        <v>8.3999999999999995E-3</v>
      </c>
      <c r="BM189" s="31" t="s">
        <v>197</v>
      </c>
      <c r="BN189" s="168">
        <f t="shared" si="74"/>
        <v>38869</v>
      </c>
      <c r="BO189" s="37">
        <v>0</v>
      </c>
      <c r="BP189" s="278">
        <f t="shared" si="69"/>
        <v>0</v>
      </c>
      <c r="BQ189" s="312">
        <f t="shared" si="77"/>
        <v>1.1656213848043593</v>
      </c>
      <c r="BS189" s="31" t="s">
        <v>43</v>
      </c>
      <c r="BT189" s="159">
        <f t="shared" si="92"/>
        <v>38869</v>
      </c>
      <c r="BU189" s="162">
        <f t="shared" si="93"/>
        <v>1.18E-2</v>
      </c>
      <c r="BV189" s="311">
        <f t="shared" si="78"/>
        <v>1.9846000000000004</v>
      </c>
      <c r="BX189" s="170" t="s">
        <v>43</v>
      </c>
      <c r="BY189" s="159">
        <f t="shared" si="70"/>
        <v>38869</v>
      </c>
      <c r="BZ189" s="162">
        <f t="shared" si="71"/>
        <v>1.18E-2</v>
      </c>
      <c r="CA189" s="162">
        <f t="shared" si="79"/>
        <v>1.2768420000000007</v>
      </c>
      <c r="CF189" s="31" t="s">
        <v>197</v>
      </c>
      <c r="CG189" s="168">
        <f t="shared" si="75"/>
        <v>38869</v>
      </c>
      <c r="CH189" s="37">
        <v>0</v>
      </c>
      <c r="CI189" s="314">
        <f t="shared" si="72"/>
        <v>0</v>
      </c>
      <c r="CJ189" s="312">
        <f t="shared" si="94"/>
        <v>1</v>
      </c>
      <c r="CN189" s="315">
        <f t="shared" si="81"/>
        <v>38869</v>
      </c>
      <c r="CO189" s="312">
        <f t="shared" si="82"/>
        <v>1</v>
      </c>
      <c r="CQ189" s="315">
        <f t="shared" si="83"/>
        <v>38869</v>
      </c>
      <c r="CR189" s="316">
        <f t="shared" si="84"/>
        <v>1.9846000000000004</v>
      </c>
      <c r="CW189"/>
      <c r="CX189" s="242" t="str">
        <f t="shared" si="91"/>
        <v/>
      </c>
    </row>
    <row r="190" spans="2:102" ht="15" customHeight="1">
      <c r="B190" s="163">
        <v>42125</v>
      </c>
      <c r="C190" s="165">
        <v>788</v>
      </c>
      <c r="D190" s="274">
        <f t="shared" si="85"/>
        <v>42125</v>
      </c>
      <c r="E190" s="275">
        <f t="shared" si="86"/>
        <v>788</v>
      </c>
      <c r="G190" s="163">
        <v>42491</v>
      </c>
      <c r="H190" s="163">
        <v>42522</v>
      </c>
      <c r="I190" s="164">
        <v>1.5330000000000001E-3</v>
      </c>
      <c r="J190" s="159">
        <f t="shared" si="87"/>
        <v>42522</v>
      </c>
      <c r="K190" s="278">
        <f t="shared" si="88"/>
        <v>1.5330000000000001E-3</v>
      </c>
      <c r="M190" s="163">
        <v>40634</v>
      </c>
      <c r="N190" s="163">
        <v>40664</v>
      </c>
      <c r="O190" s="164">
        <v>5.0000000000000001E-3</v>
      </c>
      <c r="P190" s="159">
        <f t="shared" si="76"/>
        <v>40634</v>
      </c>
      <c r="Q190" s="292">
        <f t="shared" si="73"/>
        <v>5.0000000000000001E-3</v>
      </c>
      <c r="S190" s="163">
        <v>40664</v>
      </c>
      <c r="T190" s="164">
        <v>9.9000000000000008E-3</v>
      </c>
      <c r="U190" s="159">
        <f t="shared" si="89"/>
        <v>40664</v>
      </c>
      <c r="V190" s="285">
        <f t="shared" si="90"/>
        <v>9.9000000000000008E-3</v>
      </c>
      <c r="BM190" s="31" t="s">
        <v>197</v>
      </c>
      <c r="BN190" s="168">
        <f t="shared" si="74"/>
        <v>38899</v>
      </c>
      <c r="BO190" s="37">
        <v>0</v>
      </c>
      <c r="BP190" s="278">
        <f t="shared" si="69"/>
        <v>0</v>
      </c>
      <c r="BQ190" s="312">
        <f t="shared" si="77"/>
        <v>1.1656213848043593</v>
      </c>
      <c r="BS190" s="31" t="s">
        <v>43</v>
      </c>
      <c r="BT190" s="159">
        <f t="shared" si="92"/>
        <v>38899</v>
      </c>
      <c r="BU190" s="162">
        <f t="shared" si="93"/>
        <v>1.17E-2</v>
      </c>
      <c r="BV190" s="311">
        <f t="shared" si="78"/>
        <v>1.9728000000000003</v>
      </c>
      <c r="BX190" s="170" t="s">
        <v>43</v>
      </c>
      <c r="BY190" s="159">
        <f t="shared" si="70"/>
        <v>38899</v>
      </c>
      <c r="BZ190" s="162">
        <f t="shared" si="71"/>
        <v>1.17E-2</v>
      </c>
      <c r="CA190" s="162">
        <f t="shared" si="79"/>
        <v>1.2650420000000007</v>
      </c>
      <c r="CF190" s="31" t="s">
        <v>197</v>
      </c>
      <c r="CG190" s="168">
        <f t="shared" si="75"/>
        <v>38899</v>
      </c>
      <c r="CH190" s="37">
        <v>0</v>
      </c>
      <c r="CI190" s="314">
        <f t="shared" si="72"/>
        <v>0</v>
      </c>
      <c r="CJ190" s="312">
        <f t="shared" si="94"/>
        <v>1</v>
      </c>
      <c r="CN190" s="315">
        <f t="shared" si="81"/>
        <v>38899</v>
      </c>
      <c r="CO190" s="312">
        <f t="shared" si="82"/>
        <v>1</v>
      </c>
      <c r="CQ190" s="315">
        <f t="shared" si="83"/>
        <v>38899</v>
      </c>
      <c r="CR190" s="316">
        <f t="shared" si="84"/>
        <v>1.9728000000000003</v>
      </c>
      <c r="CW190" s="650" t="s">
        <v>420</v>
      </c>
      <c r="CX190" s="242" t="str">
        <f t="shared" si="91"/>
        <v>Foto geral do Plenário do STJ</v>
      </c>
    </row>
    <row r="191" spans="2:102" ht="15" customHeight="1">
      <c r="B191" s="163">
        <v>42156</v>
      </c>
      <c r="C191" s="165">
        <v>788</v>
      </c>
      <c r="D191" s="274">
        <f t="shared" si="85"/>
        <v>42156</v>
      </c>
      <c r="E191" s="275">
        <f t="shared" si="86"/>
        <v>788</v>
      </c>
      <c r="G191" s="163">
        <v>42522</v>
      </c>
      <c r="H191" s="163">
        <v>42552</v>
      </c>
      <c r="I191" s="164">
        <v>2.0430000000000001E-3</v>
      </c>
      <c r="J191" s="159">
        <f t="shared" si="87"/>
        <v>42552</v>
      </c>
      <c r="K191" s="278">
        <f t="shared" si="88"/>
        <v>2.0430000000000001E-3</v>
      </c>
      <c r="M191" s="163">
        <v>40664</v>
      </c>
      <c r="N191" s="163">
        <v>40695</v>
      </c>
      <c r="O191" s="164">
        <v>5.0000000000000001E-3</v>
      </c>
      <c r="P191" s="159">
        <f t="shared" si="76"/>
        <v>40664</v>
      </c>
      <c r="Q191" s="292">
        <f t="shared" si="73"/>
        <v>5.0000000000000001E-3</v>
      </c>
      <c r="S191" s="163">
        <v>40695</v>
      </c>
      <c r="T191" s="164">
        <v>9.5999999999999992E-3</v>
      </c>
      <c r="U191" s="159">
        <f t="shared" si="89"/>
        <v>40695</v>
      </c>
      <c r="V191" s="285">
        <f t="shared" si="90"/>
        <v>9.5999999999999992E-3</v>
      </c>
      <c r="BM191" s="31" t="s">
        <v>197</v>
      </c>
      <c r="BN191" s="168">
        <f t="shared" si="74"/>
        <v>38930</v>
      </c>
      <c r="BO191" s="37">
        <v>0</v>
      </c>
      <c r="BP191" s="278">
        <f t="shared" si="69"/>
        <v>0</v>
      </c>
      <c r="BQ191" s="312">
        <f t="shared" si="77"/>
        <v>1.1656213848043593</v>
      </c>
      <c r="BS191" s="31" t="s">
        <v>43</v>
      </c>
      <c r="BT191" s="159">
        <f t="shared" si="92"/>
        <v>38930</v>
      </c>
      <c r="BU191" s="162">
        <f t="shared" si="93"/>
        <v>1.26E-2</v>
      </c>
      <c r="BV191" s="311">
        <f t="shared" si="78"/>
        <v>1.9611000000000003</v>
      </c>
      <c r="BX191" s="170" t="s">
        <v>43</v>
      </c>
      <c r="BY191" s="159">
        <f t="shared" si="70"/>
        <v>38930</v>
      </c>
      <c r="BZ191" s="162">
        <f t="shared" si="71"/>
        <v>1.26E-2</v>
      </c>
      <c r="CA191" s="162">
        <f t="shared" si="79"/>
        <v>1.2533420000000006</v>
      </c>
      <c r="CF191" s="31" t="s">
        <v>197</v>
      </c>
      <c r="CG191" s="168">
        <f t="shared" si="75"/>
        <v>38930</v>
      </c>
      <c r="CH191" s="37">
        <v>0</v>
      </c>
      <c r="CI191" s="314">
        <f t="shared" si="72"/>
        <v>0</v>
      </c>
      <c r="CJ191" s="312">
        <f t="shared" si="94"/>
        <v>1</v>
      </c>
      <c r="CN191" s="315">
        <f t="shared" si="81"/>
        <v>38930</v>
      </c>
      <c r="CO191" s="312">
        <f t="shared" si="82"/>
        <v>1</v>
      </c>
      <c r="CQ191" s="315">
        <f t="shared" si="83"/>
        <v>38930</v>
      </c>
      <c r="CR191" s="316">
        <f t="shared" si="84"/>
        <v>1.9611000000000003</v>
      </c>
      <c r="CW191" s="657" t="s">
        <v>418</v>
      </c>
      <c r="CX191" s="242" t="str">
        <f t="shared" si="91"/>
        <v>20 Agosto, 2026 JF2</v>
      </c>
    </row>
    <row r="192" spans="2:102" ht="15" customHeight="1">
      <c r="B192" s="163">
        <v>42186</v>
      </c>
      <c r="C192" s="165">
        <v>788</v>
      </c>
      <c r="D192" s="274">
        <f t="shared" si="85"/>
        <v>42186</v>
      </c>
      <c r="E192" s="275">
        <f t="shared" si="86"/>
        <v>788</v>
      </c>
      <c r="G192" s="163">
        <v>42552</v>
      </c>
      <c r="H192" s="163">
        <v>42583</v>
      </c>
      <c r="I192" s="164">
        <v>1.621E-3</v>
      </c>
      <c r="J192" s="159">
        <f t="shared" si="87"/>
        <v>42583</v>
      </c>
      <c r="K192" s="278">
        <f t="shared" si="88"/>
        <v>1.621E-3</v>
      </c>
      <c r="M192" s="163">
        <v>40695</v>
      </c>
      <c r="N192" s="163">
        <v>40725</v>
      </c>
      <c r="O192" s="164">
        <v>5.0000000000000001E-3</v>
      </c>
      <c r="P192" s="159">
        <f t="shared" si="76"/>
        <v>40695</v>
      </c>
      <c r="Q192" s="292">
        <f t="shared" si="73"/>
        <v>5.0000000000000001E-3</v>
      </c>
      <c r="S192" s="163">
        <v>40725</v>
      </c>
      <c r="T192" s="164">
        <v>9.7000000000000003E-3</v>
      </c>
      <c r="U192" s="159">
        <f t="shared" si="89"/>
        <v>40725</v>
      </c>
      <c r="V192" s="285">
        <f t="shared" si="90"/>
        <v>9.7000000000000003E-3</v>
      </c>
      <c r="BM192" s="31" t="s">
        <v>197</v>
      </c>
      <c r="BN192" s="168">
        <f t="shared" si="74"/>
        <v>38961</v>
      </c>
      <c r="BO192" s="37">
        <v>0</v>
      </c>
      <c r="BP192" s="278">
        <f t="shared" si="69"/>
        <v>0</v>
      </c>
      <c r="BQ192" s="312">
        <f t="shared" si="77"/>
        <v>1.1656213848043593</v>
      </c>
      <c r="BS192" s="31" t="s">
        <v>43</v>
      </c>
      <c r="BT192" s="159">
        <f t="shared" si="92"/>
        <v>38961</v>
      </c>
      <c r="BU192" s="162">
        <f t="shared" si="93"/>
        <v>1.06E-2</v>
      </c>
      <c r="BV192" s="311">
        <f t="shared" si="78"/>
        <v>1.9485000000000003</v>
      </c>
      <c r="BX192" s="170" t="s">
        <v>43</v>
      </c>
      <c r="BY192" s="159">
        <f t="shared" si="70"/>
        <v>38961</v>
      </c>
      <c r="BZ192" s="162">
        <f t="shared" si="71"/>
        <v>1.06E-2</v>
      </c>
      <c r="CA192" s="162">
        <f t="shared" si="79"/>
        <v>1.2407420000000007</v>
      </c>
      <c r="CF192" s="31" t="s">
        <v>197</v>
      </c>
      <c r="CG192" s="168">
        <f t="shared" si="75"/>
        <v>38961</v>
      </c>
      <c r="CH192" s="37">
        <v>0</v>
      </c>
      <c r="CI192" s="314">
        <f t="shared" si="72"/>
        <v>0</v>
      </c>
      <c r="CJ192" s="312">
        <f t="shared" si="94"/>
        <v>1</v>
      </c>
      <c r="CN192" s="315">
        <f t="shared" si="81"/>
        <v>38961</v>
      </c>
      <c r="CO192" s="312">
        <f t="shared" si="82"/>
        <v>1</v>
      </c>
      <c r="CQ192" s="315">
        <f t="shared" si="83"/>
        <v>38961</v>
      </c>
      <c r="CR192" s="316">
        <f t="shared" si="84"/>
        <v>1.9485000000000003</v>
      </c>
      <c r="CW192" s="658" t="s">
        <v>421</v>
      </c>
      <c r="CX192" s="242" t="str">
        <f t="shared" si="91"/>
        <v>Presidente do TRF2 marca presença na solenidade de posse da gestão do STJ para o biênio 2026-2028</v>
      </c>
    </row>
    <row r="193" spans="2:102" ht="15" customHeight="1">
      <c r="B193" s="163">
        <v>42217</v>
      </c>
      <c r="C193" s="165">
        <v>788</v>
      </c>
      <c r="D193" s="274">
        <f t="shared" si="85"/>
        <v>42217</v>
      </c>
      <c r="E193" s="275">
        <f t="shared" si="86"/>
        <v>788</v>
      </c>
      <c r="G193" s="163">
        <v>42583</v>
      </c>
      <c r="H193" s="163">
        <v>42614</v>
      </c>
      <c r="I193" s="164">
        <v>2.545E-3</v>
      </c>
      <c r="J193" s="159">
        <f t="shared" si="87"/>
        <v>42614</v>
      </c>
      <c r="K193" s="278">
        <f t="shared" si="88"/>
        <v>2.545E-3</v>
      </c>
      <c r="M193" s="163">
        <v>40725</v>
      </c>
      <c r="N193" s="163">
        <v>40756</v>
      </c>
      <c r="O193" s="164">
        <v>5.0000000000000001E-3</v>
      </c>
      <c r="P193" s="159">
        <f t="shared" si="76"/>
        <v>40725</v>
      </c>
      <c r="Q193" s="292">
        <f t="shared" si="73"/>
        <v>5.0000000000000001E-3</v>
      </c>
      <c r="S193" s="163">
        <v>40756</v>
      </c>
      <c r="T193" s="164">
        <v>1.0699999999999999E-2</v>
      </c>
      <c r="U193" s="159">
        <f t="shared" si="89"/>
        <v>40756</v>
      </c>
      <c r="V193" s="285">
        <f t="shared" si="90"/>
        <v>1.0699999999999999E-2</v>
      </c>
      <c r="BM193" s="31" t="s">
        <v>197</v>
      </c>
      <c r="BN193" s="168">
        <f t="shared" si="74"/>
        <v>38991</v>
      </c>
      <c r="BO193" s="37">
        <v>0</v>
      </c>
      <c r="BP193" s="278">
        <f t="shared" ref="BP193:BP254" si="95">+BO193</f>
        <v>0</v>
      </c>
      <c r="BQ193" s="312">
        <f t="shared" si="77"/>
        <v>1.1656213848043593</v>
      </c>
      <c r="BS193" s="31" t="s">
        <v>43</v>
      </c>
      <c r="BT193" s="159">
        <f t="shared" si="92"/>
        <v>38991</v>
      </c>
      <c r="BU193" s="162">
        <f t="shared" si="93"/>
        <v>1.09E-2</v>
      </c>
      <c r="BV193" s="311">
        <f t="shared" si="78"/>
        <v>1.9379000000000004</v>
      </c>
      <c r="BX193" s="170" t="s">
        <v>43</v>
      </c>
      <c r="BY193" s="159">
        <f t="shared" ref="BY193:BY225" si="96">BT193</f>
        <v>38991</v>
      </c>
      <c r="BZ193" s="162">
        <f t="shared" ref="BZ193:BZ224" si="97">BU193</f>
        <v>1.09E-2</v>
      </c>
      <c r="CA193" s="162">
        <f t="shared" si="79"/>
        <v>1.2301420000000007</v>
      </c>
      <c r="CF193" s="31" t="s">
        <v>197</v>
      </c>
      <c r="CG193" s="168">
        <f t="shared" si="75"/>
        <v>38991</v>
      </c>
      <c r="CH193" s="37">
        <v>0</v>
      </c>
      <c r="CI193" s="314">
        <f t="shared" ref="CI193:CI256" si="98">+CH193</f>
        <v>0</v>
      </c>
      <c r="CJ193" s="312">
        <f t="shared" si="94"/>
        <v>1</v>
      </c>
      <c r="CN193" s="315">
        <f t="shared" si="81"/>
        <v>38991</v>
      </c>
      <c r="CO193" s="312">
        <f t="shared" si="82"/>
        <v>1</v>
      </c>
      <c r="CQ193" s="315">
        <f t="shared" si="83"/>
        <v>38991</v>
      </c>
      <c r="CR193" s="316">
        <f t="shared" si="84"/>
        <v>1.9379000000000004</v>
      </c>
      <c r="CW193" s="659"/>
      <c r="CX193" s="242" t="str">
        <f t="shared" si="91"/>
        <v/>
      </c>
    </row>
    <row r="194" spans="2:102" ht="15" customHeight="1">
      <c r="B194" s="163">
        <v>42248</v>
      </c>
      <c r="C194" s="165">
        <v>788</v>
      </c>
      <c r="D194" s="274">
        <f t="shared" si="85"/>
        <v>42248</v>
      </c>
      <c r="E194" s="275">
        <f t="shared" si="86"/>
        <v>788</v>
      </c>
      <c r="G194" s="163">
        <v>42614</v>
      </c>
      <c r="H194" s="163">
        <v>42644</v>
      </c>
      <c r="I194" s="164">
        <v>1.575E-3</v>
      </c>
      <c r="J194" s="159">
        <f t="shared" si="87"/>
        <v>42644</v>
      </c>
      <c r="K194" s="278">
        <f t="shared" si="88"/>
        <v>1.575E-3</v>
      </c>
      <c r="M194" s="163">
        <v>40756</v>
      </c>
      <c r="N194" s="163">
        <v>40787</v>
      </c>
      <c r="O194" s="164">
        <v>5.0000000000000001E-3</v>
      </c>
      <c r="P194" s="159">
        <f t="shared" si="76"/>
        <v>40756</v>
      </c>
      <c r="Q194" s="292">
        <f t="shared" si="73"/>
        <v>5.0000000000000001E-3</v>
      </c>
      <c r="S194" s="163">
        <v>40787</v>
      </c>
      <c r="T194" s="164">
        <v>9.4000000000000004E-3</v>
      </c>
      <c r="U194" s="159">
        <f t="shared" si="89"/>
        <v>40787</v>
      </c>
      <c r="V194" s="285">
        <f t="shared" si="90"/>
        <v>9.4000000000000004E-3</v>
      </c>
      <c r="BM194" s="31" t="s">
        <v>197</v>
      </c>
      <c r="BN194" s="168">
        <f t="shared" si="74"/>
        <v>39022</v>
      </c>
      <c r="BO194" s="37">
        <v>0</v>
      </c>
      <c r="BP194" s="278">
        <f t="shared" si="95"/>
        <v>0</v>
      </c>
      <c r="BQ194" s="312">
        <f t="shared" si="77"/>
        <v>1.1656213848043593</v>
      </c>
      <c r="BS194" s="31" t="s">
        <v>43</v>
      </c>
      <c r="BT194" s="159">
        <f t="shared" si="92"/>
        <v>39022</v>
      </c>
      <c r="BU194" s="162">
        <f t="shared" si="93"/>
        <v>1.0200000000000001E-2</v>
      </c>
      <c r="BV194" s="311">
        <f t="shared" si="78"/>
        <v>1.9270000000000005</v>
      </c>
      <c r="BX194" s="170" t="s">
        <v>43</v>
      </c>
      <c r="BY194" s="159">
        <f t="shared" si="96"/>
        <v>39022</v>
      </c>
      <c r="BZ194" s="162">
        <f t="shared" si="97"/>
        <v>1.0200000000000001E-2</v>
      </c>
      <c r="CA194" s="162">
        <f t="shared" si="79"/>
        <v>1.2192420000000008</v>
      </c>
      <c r="CF194" s="31" t="s">
        <v>197</v>
      </c>
      <c r="CG194" s="168">
        <f t="shared" si="75"/>
        <v>39022</v>
      </c>
      <c r="CH194" s="37">
        <v>0</v>
      </c>
      <c r="CI194" s="314">
        <f t="shared" si="98"/>
        <v>0</v>
      </c>
      <c r="CJ194" s="312">
        <f t="shared" si="94"/>
        <v>1</v>
      </c>
      <c r="CN194" s="315">
        <f t="shared" si="81"/>
        <v>39022</v>
      </c>
      <c r="CO194" s="312">
        <f t="shared" si="82"/>
        <v>1</v>
      </c>
      <c r="CQ194" s="315">
        <f t="shared" si="83"/>
        <v>39022</v>
      </c>
      <c r="CR194" s="316">
        <f t="shared" si="84"/>
        <v>1.9270000000000005</v>
      </c>
      <c r="CW194" s="660" t="s">
        <v>394</v>
      </c>
      <c r="CX194" s="242" t="str">
        <f t="shared" si="91"/>
        <v>Anterior Próximo</v>
      </c>
    </row>
    <row r="195" spans="2:102" ht="15" customHeight="1">
      <c r="B195" s="163">
        <v>42278</v>
      </c>
      <c r="C195" s="165">
        <v>788</v>
      </c>
      <c r="D195" s="274">
        <f t="shared" si="85"/>
        <v>42278</v>
      </c>
      <c r="E195" s="275">
        <f t="shared" si="86"/>
        <v>788</v>
      </c>
      <c r="G195" s="163">
        <v>42644</v>
      </c>
      <c r="H195" s="163">
        <v>42675</v>
      </c>
      <c r="I195" s="164">
        <v>1.601E-3</v>
      </c>
      <c r="J195" s="159">
        <f t="shared" si="87"/>
        <v>42675</v>
      </c>
      <c r="K195" s="278">
        <f t="shared" si="88"/>
        <v>1.601E-3</v>
      </c>
      <c r="M195" s="163">
        <v>40787</v>
      </c>
      <c r="N195" s="163">
        <v>40817</v>
      </c>
      <c r="O195" s="164">
        <v>5.0000000000000001E-3</v>
      </c>
      <c r="P195" s="159">
        <f t="shared" si="76"/>
        <v>40787</v>
      </c>
      <c r="Q195" s="292">
        <f t="shared" ref="Q195:Q258" si="99">IF(AND(P195&lt;&gt;"",P196=""),0,IF(TRIM(O195)="","",IF(AND(P195&gt;=vdt_ec113,VOP_EC113="SIM"),0,O195)))</f>
        <v>5.0000000000000001E-3</v>
      </c>
      <c r="S195" s="163">
        <v>40817</v>
      </c>
      <c r="T195" s="164">
        <v>8.8000000000000005E-3</v>
      </c>
      <c r="U195" s="159">
        <f t="shared" si="89"/>
        <v>40817</v>
      </c>
      <c r="V195" s="285">
        <f t="shared" si="90"/>
        <v>8.8000000000000005E-3</v>
      </c>
      <c r="BM195" s="31" t="s">
        <v>197</v>
      </c>
      <c r="BN195" s="168">
        <f t="shared" ref="BN195:BN225" si="100">+EDATE(BN194,1)</f>
        <v>39052</v>
      </c>
      <c r="BO195" s="37">
        <v>0</v>
      </c>
      <c r="BP195" s="278">
        <f t="shared" si="95"/>
        <v>0</v>
      </c>
      <c r="BQ195" s="312">
        <f t="shared" si="77"/>
        <v>1.1656213848043593</v>
      </c>
      <c r="BS195" s="31" t="s">
        <v>43</v>
      </c>
      <c r="BT195" s="159">
        <f t="shared" si="92"/>
        <v>39052</v>
      </c>
      <c r="BU195" s="162">
        <f t="shared" si="93"/>
        <v>9.9000000000000008E-3</v>
      </c>
      <c r="BV195" s="311">
        <f t="shared" si="78"/>
        <v>1.9168000000000005</v>
      </c>
      <c r="BX195" s="170" t="s">
        <v>43</v>
      </c>
      <c r="BY195" s="159">
        <f t="shared" si="96"/>
        <v>39052</v>
      </c>
      <c r="BZ195" s="162">
        <f t="shared" si="97"/>
        <v>9.9000000000000008E-3</v>
      </c>
      <c r="CA195" s="162">
        <f t="shared" si="79"/>
        <v>1.2090420000000008</v>
      </c>
      <c r="CF195" s="31" t="s">
        <v>197</v>
      </c>
      <c r="CG195" s="168">
        <f t="shared" ref="CG195:CG258" si="101">+EDATE(CG194,1)</f>
        <v>39052</v>
      </c>
      <c r="CH195" s="37">
        <v>0</v>
      </c>
      <c r="CI195" s="314">
        <f t="shared" si="98"/>
        <v>0</v>
      </c>
      <c r="CJ195" s="312">
        <f t="shared" si="94"/>
        <v>1</v>
      </c>
      <c r="CN195" s="315">
        <f t="shared" si="81"/>
        <v>39052</v>
      </c>
      <c r="CO195" s="312">
        <f t="shared" si="82"/>
        <v>1</v>
      </c>
      <c r="CQ195" s="315">
        <f t="shared" si="83"/>
        <v>39052</v>
      </c>
      <c r="CR195" s="316">
        <f t="shared" si="84"/>
        <v>1.9168000000000005</v>
      </c>
      <c r="CW195" s="655" t="s">
        <v>422</v>
      </c>
      <c r="CX195" s="242" t="str">
        <f t="shared" si="91"/>
        <v>Notícias regionais</v>
      </c>
    </row>
    <row r="196" spans="2:102" ht="15" customHeight="1">
      <c r="B196" s="163">
        <v>42309</v>
      </c>
      <c r="C196" s="165">
        <v>788</v>
      </c>
      <c r="D196" s="274">
        <f t="shared" si="85"/>
        <v>42309</v>
      </c>
      <c r="E196" s="275">
        <f t="shared" si="86"/>
        <v>788</v>
      </c>
      <c r="G196" s="163">
        <v>42675</v>
      </c>
      <c r="H196" s="163">
        <v>42705</v>
      </c>
      <c r="I196" s="164">
        <v>1.428E-3</v>
      </c>
      <c r="J196" s="159">
        <f t="shared" si="87"/>
        <v>42705</v>
      </c>
      <c r="K196" s="278">
        <f t="shared" si="88"/>
        <v>1.428E-3</v>
      </c>
      <c r="M196" s="163">
        <v>40817</v>
      </c>
      <c r="N196" s="163">
        <v>40848</v>
      </c>
      <c r="O196" s="164">
        <v>5.0000000000000001E-3</v>
      </c>
      <c r="P196" s="159">
        <f t="shared" ref="P196:P259" si="102">IF(AND(TRIM(M196)="",TRIM(M195)&lt;&gt;""),EDATE(P195,1),IF(TRIM(M196)="","",TRUNC(M196,0)))</f>
        <v>40817</v>
      </c>
      <c r="Q196" s="292">
        <f t="shared" si="99"/>
        <v>5.0000000000000001E-3</v>
      </c>
      <c r="S196" s="163">
        <v>40848</v>
      </c>
      <c r="T196" s="164">
        <v>8.6E-3</v>
      </c>
      <c r="U196" s="159">
        <f t="shared" si="89"/>
        <v>40848</v>
      </c>
      <c r="V196" s="285">
        <f t="shared" si="90"/>
        <v>8.6E-3</v>
      </c>
      <c r="BM196" s="31" t="s">
        <v>197</v>
      </c>
      <c r="BN196" s="168">
        <f t="shared" si="100"/>
        <v>39083</v>
      </c>
      <c r="BO196" s="37">
        <v>0</v>
      </c>
      <c r="BP196" s="278">
        <f t="shared" si="95"/>
        <v>0</v>
      </c>
      <c r="BQ196" s="312">
        <f t="shared" si="77"/>
        <v>1.1656213848043593</v>
      </c>
      <c r="BS196" s="31" t="s">
        <v>43</v>
      </c>
      <c r="BT196" s="159">
        <f t="shared" si="92"/>
        <v>39083</v>
      </c>
      <c r="BU196" s="162">
        <f t="shared" si="93"/>
        <v>1.0800000000000001E-2</v>
      </c>
      <c r="BV196" s="311">
        <f t="shared" si="78"/>
        <v>1.9069000000000005</v>
      </c>
      <c r="BX196" s="170" t="s">
        <v>43</v>
      </c>
      <c r="BY196" s="159">
        <f t="shared" si="96"/>
        <v>39083</v>
      </c>
      <c r="BZ196" s="162">
        <f t="shared" si="97"/>
        <v>1.0800000000000001E-2</v>
      </c>
      <c r="CA196" s="162">
        <f t="shared" si="79"/>
        <v>1.1991420000000008</v>
      </c>
      <c r="CF196" s="31" t="s">
        <v>197</v>
      </c>
      <c r="CG196" s="168">
        <f t="shared" si="101"/>
        <v>39083</v>
      </c>
      <c r="CH196" s="37">
        <v>0</v>
      </c>
      <c r="CI196" s="314">
        <f t="shared" si="98"/>
        <v>0</v>
      </c>
      <c r="CJ196" s="312">
        <f t="shared" si="94"/>
        <v>1</v>
      </c>
      <c r="CN196" s="315">
        <f t="shared" si="81"/>
        <v>39083</v>
      </c>
      <c r="CO196" s="312">
        <f t="shared" si="82"/>
        <v>1</v>
      </c>
      <c r="CQ196" s="315">
        <f t="shared" si="83"/>
        <v>39083</v>
      </c>
      <c r="CR196" s="316">
        <f t="shared" si="84"/>
        <v>1.9069000000000005</v>
      </c>
      <c r="CW196"/>
      <c r="CX196" s="242" t="str">
        <f t="shared" si="91"/>
        <v/>
      </c>
    </row>
    <row r="197" spans="2:102" ht="15" customHeight="1">
      <c r="B197" s="163">
        <v>42339</v>
      </c>
      <c r="C197" s="165">
        <v>788</v>
      </c>
      <c r="D197" s="274">
        <f t="shared" si="85"/>
        <v>42339</v>
      </c>
      <c r="E197" s="275">
        <f t="shared" si="86"/>
        <v>788</v>
      </c>
      <c r="G197" s="163">
        <v>42705</v>
      </c>
      <c r="H197" s="163">
        <v>42736</v>
      </c>
      <c r="I197" s="164">
        <v>1.8489999999999999E-3</v>
      </c>
      <c r="J197" s="159">
        <f t="shared" si="87"/>
        <v>42736</v>
      </c>
      <c r="K197" s="278">
        <f t="shared" si="88"/>
        <v>1.8489999999999999E-3</v>
      </c>
      <c r="M197" s="163">
        <v>40848</v>
      </c>
      <c r="N197" s="163">
        <v>40878</v>
      </c>
      <c r="O197" s="164">
        <v>5.0000000000000001E-3</v>
      </c>
      <c r="P197" s="159">
        <f t="shared" si="102"/>
        <v>40848</v>
      </c>
      <c r="Q197" s="292">
        <f t="shared" si="99"/>
        <v>5.0000000000000001E-3</v>
      </c>
      <c r="S197" s="163">
        <v>40878</v>
      </c>
      <c r="T197" s="164">
        <v>9.1000000000000004E-3</v>
      </c>
      <c r="U197" s="159">
        <f t="shared" si="89"/>
        <v>40878</v>
      </c>
      <c r="V197" s="285">
        <f t="shared" si="90"/>
        <v>9.1000000000000004E-3</v>
      </c>
      <c r="BM197" s="31" t="s">
        <v>197</v>
      </c>
      <c r="BN197" s="168">
        <f t="shared" si="100"/>
        <v>39114</v>
      </c>
      <c r="BO197" s="37">
        <v>0</v>
      </c>
      <c r="BP197" s="278">
        <f t="shared" si="95"/>
        <v>0</v>
      </c>
      <c r="BQ197" s="312">
        <f t="shared" si="77"/>
        <v>1.1656213848043593</v>
      </c>
      <c r="BS197" s="31" t="s">
        <v>43</v>
      </c>
      <c r="BT197" s="159">
        <f t="shared" si="92"/>
        <v>39114</v>
      </c>
      <c r="BU197" s="162">
        <f t="shared" si="93"/>
        <v>8.6999999999999994E-3</v>
      </c>
      <c r="BV197" s="311">
        <f t="shared" si="78"/>
        <v>1.8961000000000006</v>
      </c>
      <c r="BX197" s="170" t="s">
        <v>43</v>
      </c>
      <c r="BY197" s="159">
        <f t="shared" si="96"/>
        <v>39114</v>
      </c>
      <c r="BZ197" s="162">
        <f t="shared" si="97"/>
        <v>8.6999999999999994E-3</v>
      </c>
      <c r="CA197" s="162">
        <f t="shared" si="79"/>
        <v>1.1883420000000009</v>
      </c>
      <c r="CF197" s="31" t="s">
        <v>197</v>
      </c>
      <c r="CG197" s="168">
        <f t="shared" si="101"/>
        <v>39114</v>
      </c>
      <c r="CH197" s="37">
        <v>0</v>
      </c>
      <c r="CI197" s="314">
        <f t="shared" si="98"/>
        <v>0</v>
      </c>
      <c r="CJ197" s="312">
        <f t="shared" si="94"/>
        <v>1</v>
      </c>
      <c r="CN197" s="315">
        <f t="shared" si="81"/>
        <v>39114</v>
      </c>
      <c r="CO197" s="312">
        <f t="shared" si="82"/>
        <v>1</v>
      </c>
      <c r="CQ197" s="315">
        <f t="shared" si="83"/>
        <v>39114</v>
      </c>
      <c r="CR197" s="316">
        <f t="shared" si="84"/>
        <v>1.8961000000000006</v>
      </c>
      <c r="CW197" s="654" t="s">
        <v>423</v>
      </c>
      <c r="CX197" s="242" t="str">
        <f t="shared" si="91"/>
        <v>Avisos</v>
      </c>
    </row>
    <row r="198" spans="2:102" ht="15" customHeight="1">
      <c r="B198" s="163">
        <v>42370</v>
      </c>
      <c r="C198" s="165">
        <v>880</v>
      </c>
      <c r="D198" s="274">
        <f t="shared" si="85"/>
        <v>42370</v>
      </c>
      <c r="E198" s="275">
        <f t="shared" si="86"/>
        <v>880</v>
      </c>
      <c r="G198" s="163">
        <v>42736</v>
      </c>
      <c r="H198" s="163">
        <v>42767</v>
      </c>
      <c r="I198" s="164">
        <v>1.6999999999999999E-3</v>
      </c>
      <c r="J198" s="159">
        <f t="shared" si="87"/>
        <v>42767</v>
      </c>
      <c r="K198" s="278">
        <f t="shared" si="88"/>
        <v>1.6999999999999999E-3</v>
      </c>
      <c r="M198" s="163">
        <v>40878</v>
      </c>
      <c r="N198" s="163">
        <v>40909</v>
      </c>
      <c r="O198" s="164">
        <v>5.0000000000000001E-3</v>
      </c>
      <c r="P198" s="159">
        <f t="shared" si="102"/>
        <v>40878</v>
      </c>
      <c r="Q198" s="292">
        <f t="shared" si="99"/>
        <v>5.0000000000000001E-3</v>
      </c>
      <c r="S198" s="163">
        <v>40909</v>
      </c>
      <c r="T198" s="164">
        <v>8.8999999999999999E-3</v>
      </c>
      <c r="U198" s="159">
        <f t="shared" si="89"/>
        <v>40909</v>
      </c>
      <c r="V198" s="285">
        <f t="shared" si="90"/>
        <v>8.8999999999999999E-3</v>
      </c>
      <c r="BM198" s="31" t="s">
        <v>197</v>
      </c>
      <c r="BN198" s="168">
        <f t="shared" si="100"/>
        <v>39142</v>
      </c>
      <c r="BO198" s="37">
        <v>0</v>
      </c>
      <c r="BP198" s="278">
        <f t="shared" si="95"/>
        <v>0</v>
      </c>
      <c r="BQ198" s="312">
        <f t="shared" ref="BQ198:BQ261" si="103">+IF(BN198="","",IF(BQ199="",1,BQ199)*(1+BP198))</f>
        <v>1.1656213848043593</v>
      </c>
      <c r="BS198" s="31" t="s">
        <v>43</v>
      </c>
      <c r="BT198" s="159">
        <f t="shared" si="92"/>
        <v>39142</v>
      </c>
      <c r="BU198" s="162">
        <f t="shared" si="93"/>
        <v>1.0500000000000001E-2</v>
      </c>
      <c r="BV198" s="311">
        <f t="shared" ref="BV198:BV261" si="104">+IF(BU198="","",IF(AND(BU198&lt;&gt;"",BU199=""),BU198,BU198+BV199))</f>
        <v>1.8874000000000006</v>
      </c>
      <c r="BX198" s="170" t="s">
        <v>43</v>
      </c>
      <c r="BY198" s="159">
        <f t="shared" si="96"/>
        <v>39142</v>
      </c>
      <c r="BZ198" s="162">
        <f t="shared" si="97"/>
        <v>1.0500000000000001E-2</v>
      </c>
      <c r="CA198" s="162">
        <f t="shared" ref="CA198:CA261" si="105">+IF(BZ198="","",BZ198+IF(CA199="",0,CA199))</f>
        <v>1.179642000000001</v>
      </c>
      <c r="CF198" s="31" t="s">
        <v>197</v>
      </c>
      <c r="CG198" s="168">
        <f t="shared" si="101"/>
        <v>39142</v>
      </c>
      <c r="CH198" s="37">
        <v>0</v>
      </c>
      <c r="CI198" s="314">
        <f t="shared" si="98"/>
        <v>0</v>
      </c>
      <c r="CJ198" s="312">
        <f t="shared" ref="CJ198:CJ261" si="106">+IF(BQ198="","",IF(CJ199="",1,CJ199)*(1+CI198))</f>
        <v>1</v>
      </c>
      <c r="CN198" s="315">
        <f t="shared" ref="CN198:CN261" si="107">+IF(BN198="","",BN198)</f>
        <v>39142</v>
      </c>
      <c r="CO198" s="312">
        <f t="shared" ref="CO198:CO261" si="108">+IF(CN198="","",IF(COD_JCM=3,1,IF(COD_JCM=1,CJ198,BQ198)))</f>
        <v>1</v>
      </c>
      <c r="CQ198" s="315">
        <f t="shared" ref="CQ198:CQ261" si="109">+IF(BT198="","",BT198)</f>
        <v>39142</v>
      </c>
      <c r="CR198" s="316">
        <f t="shared" ref="CR198:CR261" si="110">+IF(CQ198="","",IF(COD_JCM=3,0,IF(COD_JCM=1,BV198,CA198)))</f>
        <v>1.8874000000000006</v>
      </c>
      <c r="CW198"/>
      <c r="CX198" s="242" t="str">
        <f t="shared" si="91"/>
        <v/>
      </c>
    </row>
    <row r="199" spans="2:102" ht="15" customHeight="1">
      <c r="B199" s="163">
        <v>42401</v>
      </c>
      <c r="C199" s="165">
        <v>880</v>
      </c>
      <c r="D199" s="274">
        <f t="shared" ref="D199:D262" si="111">+IF(TRIM(B199)="","",TRUNC(B199,0))</f>
        <v>42401</v>
      </c>
      <c r="E199" s="275">
        <f t="shared" ref="E199:E262" si="112">+IF(TRIM(C199)="","",C199)</f>
        <v>880</v>
      </c>
      <c r="G199" s="163">
        <v>42767</v>
      </c>
      <c r="H199" s="163">
        <v>42795</v>
      </c>
      <c r="I199" s="164">
        <v>3.0200000000000002E-4</v>
      </c>
      <c r="J199" s="159">
        <f t="shared" ref="J199:J262" si="113">+IF(AND(TRIM(H199)="",TRIM(H198)&lt;&gt;""),EDATE(J198,1),IF(TRIM(H199)="","",TRUNC(H199,0)))</f>
        <v>42795</v>
      </c>
      <c r="K199" s="278">
        <f t="shared" ref="K199:K262" si="114">+IF(AND(I199="",I198&lt;&gt;""),0,IF(TRIM(I199)="","",IF(AND(J199&gt;=vdt_ec113,VOP_EC113="SIM"),0,I199)))</f>
        <v>3.0200000000000002E-4</v>
      </c>
      <c r="M199" s="163">
        <v>40909</v>
      </c>
      <c r="N199" s="163">
        <v>40940</v>
      </c>
      <c r="O199" s="164">
        <v>5.0000000000000001E-3</v>
      </c>
      <c r="P199" s="159">
        <f t="shared" si="102"/>
        <v>40909</v>
      </c>
      <c r="Q199" s="292">
        <f t="shared" si="99"/>
        <v>5.0000000000000001E-3</v>
      </c>
      <c r="S199" s="163">
        <v>40940</v>
      </c>
      <c r="T199" s="164">
        <v>7.4999999999999997E-3</v>
      </c>
      <c r="U199" s="159">
        <f t="shared" ref="U199:U262" si="115">+IF(AND(TRIM(S199)="",TRIM(S198)&lt;&gt;""),EDATE(U198,1),IF(TRIM(S199)="","",TRUNC(S199,0)))</f>
        <v>40940</v>
      </c>
      <c r="V199" s="285">
        <f t="shared" ref="V199:V262" si="116">+IF(AND(T199="",T198&lt;&gt;""),0,IF(TRIM(T199)="","",IF(AND(U199&gt;=vdt_ec113,VOP_EC113="SIM"),0,T199)))</f>
        <v>7.4999999999999997E-3</v>
      </c>
      <c r="BM199" s="31" t="s">
        <v>197</v>
      </c>
      <c r="BN199" s="168">
        <f t="shared" si="100"/>
        <v>39173</v>
      </c>
      <c r="BO199" s="37">
        <v>0</v>
      </c>
      <c r="BP199" s="278">
        <f t="shared" si="95"/>
        <v>0</v>
      </c>
      <c r="BQ199" s="312">
        <f t="shared" si="103"/>
        <v>1.1656213848043593</v>
      </c>
      <c r="BS199" s="31" t="s">
        <v>43</v>
      </c>
      <c r="BT199" s="159">
        <f t="shared" si="92"/>
        <v>39173</v>
      </c>
      <c r="BU199" s="162">
        <f t="shared" si="93"/>
        <v>9.4000000000000004E-3</v>
      </c>
      <c r="BV199" s="311">
        <f t="shared" si="104"/>
        <v>1.8769000000000007</v>
      </c>
      <c r="BX199" s="170" t="s">
        <v>43</v>
      </c>
      <c r="BY199" s="159">
        <f t="shared" si="96"/>
        <v>39173</v>
      </c>
      <c r="BZ199" s="162">
        <f t="shared" si="97"/>
        <v>9.4000000000000004E-3</v>
      </c>
      <c r="CA199" s="162">
        <f t="shared" si="105"/>
        <v>1.169142000000001</v>
      </c>
      <c r="CF199" s="31" t="s">
        <v>197</v>
      </c>
      <c r="CG199" s="168">
        <f t="shared" si="101"/>
        <v>39173</v>
      </c>
      <c r="CH199" s="37">
        <v>0</v>
      </c>
      <c r="CI199" s="314">
        <f t="shared" si="98"/>
        <v>0</v>
      </c>
      <c r="CJ199" s="312">
        <f t="shared" si="106"/>
        <v>1</v>
      </c>
      <c r="CN199" s="315">
        <f t="shared" si="107"/>
        <v>39173</v>
      </c>
      <c r="CO199" s="312">
        <f t="shared" si="108"/>
        <v>1</v>
      </c>
      <c r="CQ199" s="315">
        <f t="shared" si="109"/>
        <v>39173</v>
      </c>
      <c r="CR199" s="316">
        <f t="shared" si="110"/>
        <v>1.8769000000000007</v>
      </c>
      <c r="CW199" s="661" t="s">
        <v>424</v>
      </c>
      <c r="CX199" s="242" t="str">
        <f t="shared" si="91"/>
        <v>16 Setembro, 2026 TRF2</v>
      </c>
    </row>
    <row r="200" spans="2:102" ht="15" customHeight="1">
      <c r="B200" s="163">
        <v>42430</v>
      </c>
      <c r="C200" s="165">
        <v>880</v>
      </c>
      <c r="D200" s="274">
        <f t="shared" si="111"/>
        <v>42430</v>
      </c>
      <c r="E200" s="275">
        <f t="shared" si="112"/>
        <v>880</v>
      </c>
      <c r="G200" s="163">
        <v>42795</v>
      </c>
      <c r="H200" s="163">
        <v>42826</v>
      </c>
      <c r="I200" s="164">
        <v>1.519E-3</v>
      </c>
      <c r="J200" s="159">
        <f t="shared" si="113"/>
        <v>42826</v>
      </c>
      <c r="K200" s="278">
        <f t="shared" si="114"/>
        <v>1.519E-3</v>
      </c>
      <c r="M200" s="163">
        <v>40940</v>
      </c>
      <c r="N200" s="163">
        <v>40969</v>
      </c>
      <c r="O200" s="164">
        <v>5.0000000000000001E-3</v>
      </c>
      <c r="P200" s="159">
        <f t="shared" si="102"/>
        <v>40940</v>
      </c>
      <c r="Q200" s="292">
        <f t="shared" si="99"/>
        <v>5.0000000000000001E-3</v>
      </c>
      <c r="S200" s="163">
        <v>40969</v>
      </c>
      <c r="T200" s="164">
        <v>8.2000000000000007E-3</v>
      </c>
      <c r="U200" s="159">
        <f t="shared" si="115"/>
        <v>40969</v>
      </c>
      <c r="V200" s="285">
        <f t="shared" si="116"/>
        <v>8.2000000000000007E-3</v>
      </c>
      <c r="BM200" s="31" t="s">
        <v>197</v>
      </c>
      <c r="BN200" s="168">
        <f t="shared" si="100"/>
        <v>39203</v>
      </c>
      <c r="BO200" s="37">
        <v>0</v>
      </c>
      <c r="BP200" s="278">
        <f t="shared" si="95"/>
        <v>0</v>
      </c>
      <c r="BQ200" s="312">
        <f t="shared" si="103"/>
        <v>1.1656213848043593</v>
      </c>
      <c r="BS200" s="31" t="s">
        <v>43</v>
      </c>
      <c r="BT200" s="159">
        <f t="shared" si="92"/>
        <v>39203</v>
      </c>
      <c r="BU200" s="162">
        <f t="shared" si="93"/>
        <v>1.03E-2</v>
      </c>
      <c r="BV200" s="311">
        <f t="shared" si="104"/>
        <v>1.8675000000000006</v>
      </c>
      <c r="BX200" s="170" t="s">
        <v>43</v>
      </c>
      <c r="BY200" s="159">
        <f t="shared" si="96"/>
        <v>39203</v>
      </c>
      <c r="BZ200" s="162">
        <f t="shared" si="97"/>
        <v>1.03E-2</v>
      </c>
      <c r="CA200" s="162">
        <f t="shared" si="105"/>
        <v>1.1597420000000009</v>
      </c>
      <c r="CF200" s="31" t="s">
        <v>197</v>
      </c>
      <c r="CG200" s="168">
        <f t="shared" si="101"/>
        <v>39203</v>
      </c>
      <c r="CH200" s="37">
        <v>0</v>
      </c>
      <c r="CI200" s="314">
        <f t="shared" si="98"/>
        <v>0</v>
      </c>
      <c r="CJ200" s="312">
        <f t="shared" si="106"/>
        <v>1</v>
      </c>
      <c r="CN200" s="315">
        <f t="shared" si="107"/>
        <v>39203</v>
      </c>
      <c r="CO200" s="312">
        <f t="shared" si="108"/>
        <v>1</v>
      </c>
      <c r="CQ200" s="315">
        <f t="shared" si="109"/>
        <v>39203</v>
      </c>
      <c r="CR200" s="316">
        <f t="shared" si="110"/>
        <v>1.8675000000000006</v>
      </c>
      <c r="CW200" s="655" t="s">
        <v>425</v>
      </c>
      <c r="CX200" s="242" t="str">
        <f t="shared" si="91"/>
        <v>1ª Turma Especializada divulga quórum da sessão de julgamentos do dia 22/9</v>
      </c>
    </row>
    <row r="201" spans="2:102" ht="15" customHeight="1">
      <c r="B201" s="163">
        <v>42461</v>
      </c>
      <c r="C201" s="165">
        <v>880</v>
      </c>
      <c r="D201" s="274">
        <f t="shared" si="111"/>
        <v>42461</v>
      </c>
      <c r="E201" s="275">
        <f t="shared" si="112"/>
        <v>880</v>
      </c>
      <c r="G201" s="163">
        <v>42826</v>
      </c>
      <c r="H201" s="163">
        <v>42856</v>
      </c>
      <c r="I201" s="164">
        <v>0</v>
      </c>
      <c r="J201" s="159">
        <f t="shared" si="113"/>
        <v>42856</v>
      </c>
      <c r="K201" s="278">
        <f t="shared" si="114"/>
        <v>0</v>
      </c>
      <c r="M201" s="163">
        <v>40969</v>
      </c>
      <c r="N201" s="163">
        <v>41000</v>
      </c>
      <c r="O201" s="164">
        <v>5.0000000000000001E-3</v>
      </c>
      <c r="P201" s="159">
        <f t="shared" si="102"/>
        <v>40969</v>
      </c>
      <c r="Q201" s="292">
        <f t="shared" si="99"/>
        <v>5.0000000000000001E-3</v>
      </c>
      <c r="S201" s="163">
        <v>41000</v>
      </c>
      <c r="T201" s="164">
        <v>7.1000000000000004E-3</v>
      </c>
      <c r="U201" s="159">
        <f t="shared" si="115"/>
        <v>41000</v>
      </c>
      <c r="V201" s="285">
        <f t="shared" si="116"/>
        <v>7.1000000000000004E-3</v>
      </c>
      <c r="BM201" s="31" t="s">
        <v>197</v>
      </c>
      <c r="BN201" s="168">
        <f t="shared" si="100"/>
        <v>39234</v>
      </c>
      <c r="BO201" s="37">
        <v>0</v>
      </c>
      <c r="BP201" s="278">
        <f t="shared" si="95"/>
        <v>0</v>
      </c>
      <c r="BQ201" s="312">
        <f t="shared" si="103"/>
        <v>1.1656213848043593</v>
      </c>
      <c r="BS201" s="31" t="s">
        <v>43</v>
      </c>
      <c r="BT201" s="159">
        <f t="shared" si="92"/>
        <v>39234</v>
      </c>
      <c r="BU201" s="162">
        <f t="shared" si="93"/>
        <v>9.1000000000000004E-3</v>
      </c>
      <c r="BV201" s="311">
        <f t="shared" si="104"/>
        <v>1.8572000000000006</v>
      </c>
      <c r="BX201" s="170" t="s">
        <v>43</v>
      </c>
      <c r="BY201" s="159">
        <f t="shared" si="96"/>
        <v>39234</v>
      </c>
      <c r="BZ201" s="162">
        <f t="shared" si="97"/>
        <v>9.1000000000000004E-3</v>
      </c>
      <c r="CA201" s="162">
        <f t="shared" si="105"/>
        <v>1.149442000000001</v>
      </c>
      <c r="CF201" s="31" t="s">
        <v>197</v>
      </c>
      <c r="CG201" s="168">
        <f t="shared" si="101"/>
        <v>39234</v>
      </c>
      <c r="CH201" s="37">
        <v>0</v>
      </c>
      <c r="CI201" s="314">
        <f t="shared" si="98"/>
        <v>0</v>
      </c>
      <c r="CJ201" s="312">
        <f t="shared" si="106"/>
        <v>1</v>
      </c>
      <c r="CN201" s="315">
        <f t="shared" si="107"/>
        <v>39234</v>
      </c>
      <c r="CO201" s="312">
        <f t="shared" si="108"/>
        <v>1</v>
      </c>
      <c r="CQ201" s="315">
        <f t="shared" si="109"/>
        <v>39234</v>
      </c>
      <c r="CR201" s="316">
        <f t="shared" si="110"/>
        <v>1.8572000000000006</v>
      </c>
      <c r="CW201"/>
      <c r="CX201" s="242" t="str">
        <f t="shared" si="91"/>
        <v/>
      </c>
    </row>
    <row r="202" spans="2:102" ht="15" customHeight="1">
      <c r="B202" s="163">
        <v>42491</v>
      </c>
      <c r="C202" s="165">
        <v>880</v>
      </c>
      <c r="D202" s="274">
        <f t="shared" si="111"/>
        <v>42491</v>
      </c>
      <c r="E202" s="275">
        <f t="shared" si="112"/>
        <v>880</v>
      </c>
      <c r="G202" s="163">
        <v>42856</v>
      </c>
      <c r="H202" s="163">
        <v>42887</v>
      </c>
      <c r="I202" s="164">
        <v>7.6400000000000003E-4</v>
      </c>
      <c r="J202" s="159">
        <f t="shared" si="113"/>
        <v>42887</v>
      </c>
      <c r="K202" s="278">
        <f t="shared" si="114"/>
        <v>7.6400000000000003E-4</v>
      </c>
      <c r="M202" s="163">
        <v>41000</v>
      </c>
      <c r="N202" s="163">
        <v>41030</v>
      </c>
      <c r="O202" s="164">
        <v>5.0000000000000001E-3</v>
      </c>
      <c r="P202" s="159">
        <f t="shared" si="102"/>
        <v>41000</v>
      </c>
      <c r="Q202" s="292">
        <f t="shared" si="99"/>
        <v>5.0000000000000001E-3</v>
      </c>
      <c r="S202" s="163">
        <v>41030</v>
      </c>
      <c r="T202" s="164">
        <v>7.4000000000000003E-3</v>
      </c>
      <c r="U202" s="159">
        <f t="shared" si="115"/>
        <v>41030</v>
      </c>
      <c r="V202" s="285">
        <f t="shared" si="116"/>
        <v>7.4000000000000003E-3</v>
      </c>
      <c r="BM202" s="31" t="s">
        <v>197</v>
      </c>
      <c r="BN202" s="168">
        <f t="shared" si="100"/>
        <v>39264</v>
      </c>
      <c r="BO202" s="37">
        <v>0</v>
      </c>
      <c r="BP202" s="278">
        <f t="shared" si="95"/>
        <v>0</v>
      </c>
      <c r="BQ202" s="312">
        <f t="shared" si="103"/>
        <v>1.1656213848043593</v>
      </c>
      <c r="BS202" s="31" t="s">
        <v>43</v>
      </c>
      <c r="BT202" s="159">
        <f t="shared" si="92"/>
        <v>39264</v>
      </c>
      <c r="BU202" s="162">
        <f t="shared" si="93"/>
        <v>9.7000000000000003E-3</v>
      </c>
      <c r="BV202" s="311">
        <f t="shared" si="104"/>
        <v>1.8481000000000005</v>
      </c>
      <c r="BX202" s="170" t="s">
        <v>43</v>
      </c>
      <c r="BY202" s="159">
        <f t="shared" si="96"/>
        <v>39264</v>
      </c>
      <c r="BZ202" s="162">
        <f t="shared" si="97"/>
        <v>9.7000000000000003E-3</v>
      </c>
      <c r="CA202" s="162">
        <f t="shared" si="105"/>
        <v>1.1403420000000009</v>
      </c>
      <c r="CF202" s="31" t="s">
        <v>197</v>
      </c>
      <c r="CG202" s="168">
        <f t="shared" si="101"/>
        <v>39264</v>
      </c>
      <c r="CH202" s="37">
        <v>0</v>
      </c>
      <c r="CI202" s="314">
        <f t="shared" si="98"/>
        <v>0</v>
      </c>
      <c r="CJ202" s="312">
        <f t="shared" si="106"/>
        <v>1</v>
      </c>
      <c r="CN202" s="315">
        <f t="shared" si="107"/>
        <v>39264</v>
      </c>
      <c r="CO202" s="312">
        <f t="shared" si="108"/>
        <v>1</v>
      </c>
      <c r="CQ202" s="315">
        <f t="shared" si="109"/>
        <v>39264</v>
      </c>
      <c r="CR202" s="316">
        <f t="shared" si="110"/>
        <v>1.8481000000000005</v>
      </c>
      <c r="CW202" s="661" t="s">
        <v>426</v>
      </c>
      <c r="CX202" s="242" t="str">
        <f t="shared" si="91"/>
        <v>16 Setembro, 2026 JFRJ</v>
      </c>
    </row>
    <row r="203" spans="2:102" ht="15" customHeight="1">
      <c r="B203" s="163">
        <v>42522</v>
      </c>
      <c r="C203" s="165">
        <v>880</v>
      </c>
      <c r="D203" s="274">
        <f t="shared" si="111"/>
        <v>42522</v>
      </c>
      <c r="E203" s="275">
        <f t="shared" si="112"/>
        <v>880</v>
      </c>
      <c r="G203" s="163">
        <v>42887</v>
      </c>
      <c r="H203" s="163">
        <v>42917</v>
      </c>
      <c r="I203" s="164">
        <v>5.3600000000000002E-4</v>
      </c>
      <c r="J203" s="159">
        <f t="shared" si="113"/>
        <v>42917</v>
      </c>
      <c r="K203" s="278">
        <f t="shared" si="114"/>
        <v>5.3600000000000002E-4</v>
      </c>
      <c r="M203" s="163">
        <v>41030</v>
      </c>
      <c r="N203" s="163">
        <v>41061</v>
      </c>
      <c r="O203" s="164">
        <v>5.0000000000000001E-3</v>
      </c>
      <c r="P203" s="159">
        <f t="shared" si="102"/>
        <v>41030</v>
      </c>
      <c r="Q203" s="292">
        <f t="shared" si="99"/>
        <v>5.0000000000000001E-3</v>
      </c>
      <c r="S203" s="163">
        <v>41061</v>
      </c>
      <c r="T203" s="164">
        <v>6.4000000000000003E-3</v>
      </c>
      <c r="U203" s="159">
        <f t="shared" si="115"/>
        <v>41061</v>
      </c>
      <c r="V203" s="285">
        <f t="shared" si="116"/>
        <v>6.4000000000000003E-3</v>
      </c>
      <c r="BM203" s="31" t="s">
        <v>197</v>
      </c>
      <c r="BN203" s="168">
        <f t="shared" si="100"/>
        <v>39295</v>
      </c>
      <c r="BO203" s="37">
        <v>0</v>
      </c>
      <c r="BP203" s="278">
        <f t="shared" si="95"/>
        <v>0</v>
      </c>
      <c r="BQ203" s="312">
        <f t="shared" si="103"/>
        <v>1.1656213848043593</v>
      </c>
      <c r="BS203" s="31" t="s">
        <v>43</v>
      </c>
      <c r="BT203" s="159">
        <f t="shared" si="92"/>
        <v>39295</v>
      </c>
      <c r="BU203" s="162">
        <f t="shared" si="93"/>
        <v>9.9000000000000008E-3</v>
      </c>
      <c r="BV203" s="311">
        <f t="shared" si="104"/>
        <v>1.8384000000000005</v>
      </c>
      <c r="BX203" s="170" t="s">
        <v>43</v>
      </c>
      <c r="BY203" s="159">
        <f t="shared" si="96"/>
        <v>39295</v>
      </c>
      <c r="BZ203" s="162">
        <f t="shared" si="97"/>
        <v>9.9000000000000008E-3</v>
      </c>
      <c r="CA203" s="162">
        <f t="shared" si="105"/>
        <v>1.1306420000000008</v>
      </c>
      <c r="CF203" s="31" t="s">
        <v>197</v>
      </c>
      <c r="CG203" s="168">
        <f t="shared" si="101"/>
        <v>39295</v>
      </c>
      <c r="CH203" s="37">
        <v>0</v>
      </c>
      <c r="CI203" s="314">
        <f t="shared" si="98"/>
        <v>0</v>
      </c>
      <c r="CJ203" s="312">
        <f t="shared" si="106"/>
        <v>1</v>
      </c>
      <c r="CN203" s="315">
        <f t="shared" si="107"/>
        <v>39295</v>
      </c>
      <c r="CO203" s="312">
        <f t="shared" si="108"/>
        <v>1</v>
      </c>
      <c r="CQ203" s="315">
        <f t="shared" si="109"/>
        <v>39295</v>
      </c>
      <c r="CR203" s="316">
        <f t="shared" si="110"/>
        <v>1.8384000000000005</v>
      </c>
      <c r="CW203" s="655" t="s">
        <v>427</v>
      </c>
      <c r="CX203" s="242" t="str">
        <f t="shared" ref="CX203:CX209" si="117">+IF(CW203="","",TRIM(CW203))</f>
        <v>1ª Vara Federal de S. Gonçalo seleciona estagiários de Direito</v>
      </c>
    </row>
    <row r="204" spans="2:102" ht="15" customHeight="1">
      <c r="B204" s="163">
        <v>42552</v>
      </c>
      <c r="C204" s="165">
        <v>880</v>
      </c>
      <c r="D204" s="274">
        <f t="shared" si="111"/>
        <v>42552</v>
      </c>
      <c r="E204" s="275">
        <f t="shared" si="112"/>
        <v>880</v>
      </c>
      <c r="G204" s="163">
        <v>42917</v>
      </c>
      <c r="H204" s="163">
        <v>42948</v>
      </c>
      <c r="I204" s="164">
        <v>6.2299999999999996E-4</v>
      </c>
      <c r="J204" s="159">
        <f t="shared" si="113"/>
        <v>42948</v>
      </c>
      <c r="K204" s="278">
        <f t="shared" si="114"/>
        <v>6.2299999999999996E-4</v>
      </c>
      <c r="M204" s="163">
        <v>41061</v>
      </c>
      <c r="N204" s="163">
        <v>41091</v>
      </c>
      <c r="O204" s="164">
        <v>4.8279999999999998E-3</v>
      </c>
      <c r="P204" s="159">
        <f t="shared" si="102"/>
        <v>41061</v>
      </c>
      <c r="Q204" s="292">
        <f t="shared" si="99"/>
        <v>4.8279999999999998E-3</v>
      </c>
      <c r="S204" s="163">
        <v>41091</v>
      </c>
      <c r="T204" s="164">
        <v>6.7999999999999996E-3</v>
      </c>
      <c r="U204" s="159">
        <f t="shared" si="115"/>
        <v>41091</v>
      </c>
      <c r="V204" s="285">
        <f t="shared" si="116"/>
        <v>6.7999999999999996E-3</v>
      </c>
      <c r="BM204" s="31" t="s">
        <v>197</v>
      </c>
      <c r="BN204" s="168">
        <f t="shared" si="100"/>
        <v>39326</v>
      </c>
      <c r="BO204" s="37">
        <v>0</v>
      </c>
      <c r="BP204" s="278">
        <f t="shared" si="95"/>
        <v>0</v>
      </c>
      <c r="BQ204" s="312">
        <f t="shared" si="103"/>
        <v>1.1656213848043593</v>
      </c>
      <c r="BS204" s="31" t="s">
        <v>43</v>
      </c>
      <c r="BT204" s="159">
        <f t="shared" si="92"/>
        <v>39326</v>
      </c>
      <c r="BU204" s="162">
        <f t="shared" si="93"/>
        <v>8.0000000000000002E-3</v>
      </c>
      <c r="BV204" s="311">
        <f t="shared" si="104"/>
        <v>1.8285000000000005</v>
      </c>
      <c r="BX204" s="170" t="s">
        <v>43</v>
      </c>
      <c r="BY204" s="159">
        <f t="shared" si="96"/>
        <v>39326</v>
      </c>
      <c r="BZ204" s="162">
        <f t="shared" si="97"/>
        <v>8.0000000000000002E-3</v>
      </c>
      <c r="CA204" s="162">
        <f t="shared" si="105"/>
        <v>1.1207420000000008</v>
      </c>
      <c r="CF204" s="31" t="s">
        <v>197</v>
      </c>
      <c r="CG204" s="168">
        <f t="shared" si="101"/>
        <v>39326</v>
      </c>
      <c r="CH204" s="37">
        <v>0</v>
      </c>
      <c r="CI204" s="314">
        <f t="shared" si="98"/>
        <v>0</v>
      </c>
      <c r="CJ204" s="312">
        <f t="shared" si="106"/>
        <v>1</v>
      </c>
      <c r="CN204" s="315">
        <f t="shared" si="107"/>
        <v>39326</v>
      </c>
      <c r="CO204" s="312">
        <f t="shared" si="108"/>
        <v>1</v>
      </c>
      <c r="CQ204" s="315">
        <f t="shared" si="109"/>
        <v>39326</v>
      </c>
      <c r="CR204" s="316">
        <f t="shared" si="110"/>
        <v>1.8285000000000005</v>
      </c>
      <c r="CW204"/>
      <c r="CX204" s="242" t="str">
        <f t="shared" si="117"/>
        <v/>
      </c>
    </row>
    <row r="205" spans="2:102" ht="15" customHeight="1">
      <c r="B205" s="163">
        <v>42583</v>
      </c>
      <c r="C205" s="165">
        <v>880</v>
      </c>
      <c r="D205" s="274">
        <f t="shared" si="111"/>
        <v>42583</v>
      </c>
      <c r="E205" s="275">
        <f t="shared" si="112"/>
        <v>880</v>
      </c>
      <c r="G205" s="163">
        <v>42948</v>
      </c>
      <c r="H205" s="163">
        <v>42979</v>
      </c>
      <c r="I205" s="164">
        <v>5.0900000000000001E-4</v>
      </c>
      <c r="J205" s="159">
        <f t="shared" si="113"/>
        <v>42979</v>
      </c>
      <c r="K205" s="278">
        <f t="shared" si="114"/>
        <v>5.0900000000000001E-4</v>
      </c>
      <c r="M205" s="163">
        <v>41091</v>
      </c>
      <c r="N205" s="163">
        <v>41122</v>
      </c>
      <c r="O205" s="164">
        <v>4.8279999999999998E-3</v>
      </c>
      <c r="P205" s="159">
        <f t="shared" si="102"/>
        <v>41091</v>
      </c>
      <c r="Q205" s="292">
        <f t="shared" si="99"/>
        <v>4.8279999999999998E-3</v>
      </c>
      <c r="S205" s="163">
        <v>41122</v>
      </c>
      <c r="T205" s="164">
        <v>6.8999999999999999E-3</v>
      </c>
      <c r="U205" s="159">
        <f t="shared" si="115"/>
        <v>41122</v>
      </c>
      <c r="V205" s="285">
        <f t="shared" si="116"/>
        <v>6.8999999999999999E-3</v>
      </c>
      <c r="BM205" s="31" t="s">
        <v>197</v>
      </c>
      <c r="BN205" s="168">
        <f t="shared" si="100"/>
        <v>39356</v>
      </c>
      <c r="BO205" s="37">
        <v>0</v>
      </c>
      <c r="BP205" s="278">
        <f t="shared" si="95"/>
        <v>0</v>
      </c>
      <c r="BQ205" s="312">
        <f t="shared" si="103"/>
        <v>1.1656213848043593</v>
      </c>
      <c r="BS205" s="31" t="s">
        <v>43</v>
      </c>
      <c r="BT205" s="159">
        <f t="shared" si="92"/>
        <v>39356</v>
      </c>
      <c r="BU205" s="162">
        <f t="shared" si="93"/>
        <v>9.2999999999999992E-3</v>
      </c>
      <c r="BV205" s="311">
        <f t="shared" si="104"/>
        <v>1.8205000000000005</v>
      </c>
      <c r="BX205" s="170" t="s">
        <v>43</v>
      </c>
      <c r="BY205" s="159">
        <f t="shared" si="96"/>
        <v>39356</v>
      </c>
      <c r="BZ205" s="162">
        <f t="shared" si="97"/>
        <v>9.2999999999999992E-3</v>
      </c>
      <c r="CA205" s="162">
        <f t="shared" si="105"/>
        <v>1.1127420000000008</v>
      </c>
      <c r="CF205" s="31" t="s">
        <v>197</v>
      </c>
      <c r="CG205" s="168">
        <f t="shared" si="101"/>
        <v>39356</v>
      </c>
      <c r="CH205" s="37">
        <v>0</v>
      </c>
      <c r="CI205" s="314">
        <f t="shared" si="98"/>
        <v>0</v>
      </c>
      <c r="CJ205" s="312">
        <f t="shared" si="106"/>
        <v>1</v>
      </c>
      <c r="CN205" s="315">
        <f t="shared" si="107"/>
        <v>39356</v>
      </c>
      <c r="CO205" s="312">
        <f t="shared" si="108"/>
        <v>1</v>
      </c>
      <c r="CQ205" s="315">
        <f t="shared" si="109"/>
        <v>39356</v>
      </c>
      <c r="CR205" s="316">
        <f t="shared" si="110"/>
        <v>1.8205000000000005</v>
      </c>
      <c r="CW205" s="661" t="s">
        <v>424</v>
      </c>
      <c r="CX205" s="242" t="str">
        <f t="shared" si="117"/>
        <v>16 Setembro, 2026 TRF2</v>
      </c>
    </row>
    <row r="206" spans="2:102" ht="15" customHeight="1">
      <c r="B206" s="163">
        <v>42614</v>
      </c>
      <c r="C206" s="165">
        <v>880</v>
      </c>
      <c r="D206" s="274">
        <f t="shared" si="111"/>
        <v>42614</v>
      </c>
      <c r="E206" s="275">
        <f t="shared" si="112"/>
        <v>880</v>
      </c>
      <c r="G206" s="163">
        <v>42979</v>
      </c>
      <c r="H206" s="163">
        <v>43009</v>
      </c>
      <c r="I206" s="164">
        <v>0</v>
      </c>
      <c r="J206" s="159">
        <f t="shared" si="113"/>
        <v>43009</v>
      </c>
      <c r="K206" s="278">
        <f t="shared" si="114"/>
        <v>0</v>
      </c>
      <c r="M206" s="163">
        <v>41122</v>
      </c>
      <c r="N206" s="163">
        <v>41153</v>
      </c>
      <c r="O206" s="164">
        <v>4.5510000000000004E-3</v>
      </c>
      <c r="P206" s="159">
        <f t="shared" si="102"/>
        <v>41122</v>
      </c>
      <c r="Q206" s="292">
        <f t="shared" si="99"/>
        <v>4.5510000000000004E-3</v>
      </c>
      <c r="S206" s="163">
        <v>41153</v>
      </c>
      <c r="T206" s="164">
        <v>5.4000000000000003E-3</v>
      </c>
      <c r="U206" s="159">
        <f t="shared" si="115"/>
        <v>41153</v>
      </c>
      <c r="V206" s="285">
        <f t="shared" si="116"/>
        <v>5.4000000000000003E-3</v>
      </c>
      <c r="BM206" s="31" t="s">
        <v>197</v>
      </c>
      <c r="BN206" s="168">
        <f t="shared" si="100"/>
        <v>39387</v>
      </c>
      <c r="BO206" s="37">
        <v>0</v>
      </c>
      <c r="BP206" s="278">
        <f t="shared" si="95"/>
        <v>0</v>
      </c>
      <c r="BQ206" s="312">
        <f t="shared" si="103"/>
        <v>1.1656213848043593</v>
      </c>
      <c r="BS206" s="31" t="s">
        <v>43</v>
      </c>
      <c r="BT206" s="159">
        <f t="shared" si="92"/>
        <v>39387</v>
      </c>
      <c r="BU206" s="162">
        <f t="shared" si="93"/>
        <v>8.3999999999999995E-3</v>
      </c>
      <c r="BV206" s="311">
        <f t="shared" si="104"/>
        <v>1.8112000000000004</v>
      </c>
      <c r="BX206" s="170" t="s">
        <v>43</v>
      </c>
      <c r="BY206" s="159">
        <f t="shared" si="96"/>
        <v>39387</v>
      </c>
      <c r="BZ206" s="162">
        <f t="shared" si="97"/>
        <v>8.3999999999999995E-3</v>
      </c>
      <c r="CA206" s="162">
        <f t="shared" si="105"/>
        <v>1.1034420000000007</v>
      </c>
      <c r="CF206" s="31" t="s">
        <v>197</v>
      </c>
      <c r="CG206" s="168">
        <f t="shared" si="101"/>
        <v>39387</v>
      </c>
      <c r="CH206" s="37">
        <v>0</v>
      </c>
      <c r="CI206" s="314">
        <f t="shared" si="98"/>
        <v>0</v>
      </c>
      <c r="CJ206" s="312">
        <f t="shared" si="106"/>
        <v>1</v>
      </c>
      <c r="CN206" s="315">
        <f t="shared" si="107"/>
        <v>39387</v>
      </c>
      <c r="CO206" s="312">
        <f t="shared" si="108"/>
        <v>1</v>
      </c>
      <c r="CQ206" s="315">
        <f t="shared" si="109"/>
        <v>39387</v>
      </c>
      <c r="CR206" s="316">
        <f t="shared" si="110"/>
        <v>1.8112000000000004</v>
      </c>
      <c r="CW206" s="655" t="s">
        <v>428</v>
      </c>
      <c r="CX206" s="242" t="str">
        <f t="shared" si="117"/>
        <v>TRF2: Biblioteca terá serviços suspensos para realização de inventário a partir de outubro</v>
      </c>
    </row>
    <row r="207" spans="2:102" ht="15" customHeight="1">
      <c r="B207" s="163">
        <v>42644</v>
      </c>
      <c r="C207" s="165">
        <v>880</v>
      </c>
      <c r="D207" s="274">
        <f t="shared" si="111"/>
        <v>42644</v>
      </c>
      <c r="E207" s="275">
        <f t="shared" si="112"/>
        <v>880</v>
      </c>
      <c r="G207" s="163">
        <v>43009</v>
      </c>
      <c r="H207" s="163">
        <v>43040</v>
      </c>
      <c r="I207" s="164">
        <v>0</v>
      </c>
      <c r="J207" s="159">
        <f t="shared" si="113"/>
        <v>43040</v>
      </c>
      <c r="K207" s="278">
        <f t="shared" si="114"/>
        <v>0</v>
      </c>
      <c r="M207" s="163">
        <v>41153</v>
      </c>
      <c r="N207" s="163">
        <v>41183</v>
      </c>
      <c r="O207" s="164">
        <v>4.2729999999999999E-3</v>
      </c>
      <c r="P207" s="159">
        <f t="shared" si="102"/>
        <v>41153</v>
      </c>
      <c r="Q207" s="292">
        <f t="shared" si="99"/>
        <v>4.2729999999999999E-3</v>
      </c>
      <c r="S207" s="163">
        <v>41183</v>
      </c>
      <c r="T207" s="164">
        <v>6.1000000000000004E-3</v>
      </c>
      <c r="U207" s="159">
        <f t="shared" si="115"/>
        <v>41183</v>
      </c>
      <c r="V207" s="285">
        <f t="shared" si="116"/>
        <v>6.1000000000000004E-3</v>
      </c>
      <c r="BM207" s="31" t="s">
        <v>197</v>
      </c>
      <c r="BN207" s="168">
        <f t="shared" si="100"/>
        <v>39417</v>
      </c>
      <c r="BO207" s="37">
        <v>0</v>
      </c>
      <c r="BP207" s="278">
        <f t="shared" si="95"/>
        <v>0</v>
      </c>
      <c r="BQ207" s="312">
        <f t="shared" si="103"/>
        <v>1.1656213848043593</v>
      </c>
      <c r="BS207" s="31" t="s">
        <v>43</v>
      </c>
      <c r="BT207" s="159">
        <f t="shared" si="92"/>
        <v>39417</v>
      </c>
      <c r="BU207" s="162">
        <f t="shared" si="93"/>
        <v>8.3999999999999995E-3</v>
      </c>
      <c r="BV207" s="311">
        <f t="shared" si="104"/>
        <v>1.8028000000000004</v>
      </c>
      <c r="BX207" s="170" t="s">
        <v>43</v>
      </c>
      <c r="BY207" s="159">
        <f t="shared" si="96"/>
        <v>39417</v>
      </c>
      <c r="BZ207" s="162">
        <f t="shared" si="97"/>
        <v>8.3999999999999995E-3</v>
      </c>
      <c r="CA207" s="162">
        <f t="shared" si="105"/>
        <v>1.0950420000000007</v>
      </c>
      <c r="CF207" s="31" t="s">
        <v>197</v>
      </c>
      <c r="CG207" s="168">
        <f t="shared" si="101"/>
        <v>39417</v>
      </c>
      <c r="CH207" s="37">
        <v>0</v>
      </c>
      <c r="CI207" s="314">
        <f t="shared" si="98"/>
        <v>0</v>
      </c>
      <c r="CJ207" s="312">
        <f t="shared" si="106"/>
        <v>1</v>
      </c>
      <c r="CN207" s="315">
        <f t="shared" si="107"/>
        <v>39417</v>
      </c>
      <c r="CO207" s="312">
        <f t="shared" si="108"/>
        <v>1</v>
      </c>
      <c r="CQ207" s="315">
        <f t="shared" si="109"/>
        <v>39417</v>
      </c>
      <c r="CR207" s="316">
        <f t="shared" si="110"/>
        <v>1.8028000000000004</v>
      </c>
      <c r="CW207"/>
      <c r="CX207" s="242" t="str">
        <f t="shared" si="117"/>
        <v/>
      </c>
    </row>
    <row r="208" spans="2:102" ht="15" customHeight="1">
      <c r="B208" s="163">
        <v>42675</v>
      </c>
      <c r="C208" s="165">
        <v>880</v>
      </c>
      <c r="D208" s="274">
        <f t="shared" si="111"/>
        <v>42675</v>
      </c>
      <c r="E208" s="275">
        <f t="shared" si="112"/>
        <v>880</v>
      </c>
      <c r="G208" s="163">
        <v>43040</v>
      </c>
      <c r="H208" s="163">
        <v>43070</v>
      </c>
      <c r="I208" s="164">
        <v>0</v>
      </c>
      <c r="J208" s="159">
        <f t="shared" si="113"/>
        <v>43070</v>
      </c>
      <c r="K208" s="278">
        <f t="shared" si="114"/>
        <v>0</v>
      </c>
      <c r="M208" s="163">
        <v>41183</v>
      </c>
      <c r="N208" s="163">
        <v>41214</v>
      </c>
      <c r="O208" s="164">
        <v>4.2729999999999999E-3</v>
      </c>
      <c r="P208" s="159">
        <f t="shared" si="102"/>
        <v>41183</v>
      </c>
      <c r="Q208" s="292">
        <f t="shared" si="99"/>
        <v>4.2729999999999999E-3</v>
      </c>
      <c r="S208" s="163">
        <v>41214</v>
      </c>
      <c r="T208" s="164">
        <v>5.4999999999999997E-3</v>
      </c>
      <c r="U208" s="159">
        <f t="shared" si="115"/>
        <v>41214</v>
      </c>
      <c r="V208" s="285">
        <f t="shared" si="116"/>
        <v>5.4999999999999997E-3</v>
      </c>
      <c r="BM208" s="31" t="s">
        <v>197</v>
      </c>
      <c r="BN208" s="168">
        <f t="shared" si="100"/>
        <v>39448</v>
      </c>
      <c r="BO208" s="37">
        <v>0</v>
      </c>
      <c r="BP208" s="278">
        <f t="shared" si="95"/>
        <v>0</v>
      </c>
      <c r="BQ208" s="312">
        <f t="shared" si="103"/>
        <v>1.1656213848043593</v>
      </c>
      <c r="BS208" s="31" t="s">
        <v>43</v>
      </c>
      <c r="BT208" s="159">
        <f t="shared" ref="BT208:BT271" si="118">U150</f>
        <v>39448</v>
      </c>
      <c r="BU208" s="162">
        <f t="shared" ref="BU208:BU271" si="119">V150</f>
        <v>9.2999999999999992E-3</v>
      </c>
      <c r="BV208" s="311">
        <f t="shared" si="104"/>
        <v>1.7944000000000004</v>
      </c>
      <c r="BX208" s="170" t="s">
        <v>43</v>
      </c>
      <c r="BY208" s="159">
        <f t="shared" si="96"/>
        <v>39448</v>
      </c>
      <c r="BZ208" s="162">
        <f t="shared" si="97"/>
        <v>9.2999999999999992E-3</v>
      </c>
      <c r="CA208" s="162">
        <f t="shared" si="105"/>
        <v>1.0866420000000008</v>
      </c>
      <c r="CF208" s="31" t="s">
        <v>197</v>
      </c>
      <c r="CG208" s="168">
        <f t="shared" si="101"/>
        <v>39448</v>
      </c>
      <c r="CH208" s="37">
        <v>0</v>
      </c>
      <c r="CI208" s="314">
        <f t="shared" si="98"/>
        <v>0</v>
      </c>
      <c r="CJ208" s="312">
        <f t="shared" si="106"/>
        <v>1</v>
      </c>
      <c r="CN208" s="315">
        <f t="shared" si="107"/>
        <v>39448</v>
      </c>
      <c r="CO208" s="312">
        <f t="shared" si="108"/>
        <v>1</v>
      </c>
      <c r="CQ208" s="315">
        <f t="shared" si="109"/>
        <v>39448</v>
      </c>
      <c r="CR208" s="316">
        <f t="shared" si="110"/>
        <v>1.7944000000000004</v>
      </c>
      <c r="CW208" s="661" t="s">
        <v>429</v>
      </c>
      <c r="CX208" s="242" t="str">
        <f t="shared" si="117"/>
        <v>16 Setembro, 2026 JF2</v>
      </c>
    </row>
    <row r="209" spans="2:102" ht="15" customHeight="1">
      <c r="B209" s="163">
        <v>42705</v>
      </c>
      <c r="C209" s="165">
        <v>880</v>
      </c>
      <c r="D209" s="274">
        <f t="shared" si="111"/>
        <v>42705</v>
      </c>
      <c r="E209" s="275">
        <f t="shared" si="112"/>
        <v>880</v>
      </c>
      <c r="G209" s="163">
        <v>43070</v>
      </c>
      <c r="H209" s="163">
        <v>43101</v>
      </c>
      <c r="I209" s="164">
        <v>0</v>
      </c>
      <c r="J209" s="159">
        <f t="shared" si="113"/>
        <v>43101</v>
      </c>
      <c r="K209" s="278">
        <f t="shared" si="114"/>
        <v>0</v>
      </c>
      <c r="M209" s="163">
        <v>41214</v>
      </c>
      <c r="N209" s="163">
        <v>41244</v>
      </c>
      <c r="O209" s="164">
        <v>4.1339999999999997E-3</v>
      </c>
      <c r="P209" s="159">
        <f t="shared" si="102"/>
        <v>41214</v>
      </c>
      <c r="Q209" s="292">
        <f t="shared" si="99"/>
        <v>4.1339999999999997E-3</v>
      </c>
      <c r="S209" s="163">
        <v>41244</v>
      </c>
      <c r="T209" s="164">
        <v>5.4999999999999997E-3</v>
      </c>
      <c r="U209" s="159">
        <f t="shared" si="115"/>
        <v>41244</v>
      </c>
      <c r="V209" s="285">
        <f t="shared" si="116"/>
        <v>5.4999999999999997E-3</v>
      </c>
      <c r="BM209" s="31" t="s">
        <v>197</v>
      </c>
      <c r="BN209" s="168">
        <f t="shared" si="100"/>
        <v>39479</v>
      </c>
      <c r="BO209" s="37">
        <v>0</v>
      </c>
      <c r="BP209" s="278">
        <f t="shared" si="95"/>
        <v>0</v>
      </c>
      <c r="BQ209" s="312">
        <f t="shared" si="103"/>
        <v>1.1656213848043593</v>
      </c>
      <c r="BS209" s="31" t="s">
        <v>43</v>
      </c>
      <c r="BT209" s="159">
        <f t="shared" si="118"/>
        <v>39479</v>
      </c>
      <c r="BU209" s="162">
        <f t="shared" si="119"/>
        <v>8.0000000000000002E-3</v>
      </c>
      <c r="BV209" s="311">
        <f t="shared" si="104"/>
        <v>1.7851000000000004</v>
      </c>
      <c r="BX209" s="170" t="s">
        <v>43</v>
      </c>
      <c r="BY209" s="159">
        <f t="shared" si="96"/>
        <v>39479</v>
      </c>
      <c r="BZ209" s="162">
        <f t="shared" si="97"/>
        <v>8.0000000000000002E-3</v>
      </c>
      <c r="CA209" s="162">
        <f t="shared" si="105"/>
        <v>1.0773420000000007</v>
      </c>
      <c r="CF209" s="31" t="s">
        <v>197</v>
      </c>
      <c r="CG209" s="168">
        <f t="shared" si="101"/>
        <v>39479</v>
      </c>
      <c r="CH209" s="37">
        <v>0</v>
      </c>
      <c r="CI209" s="314">
        <f t="shared" si="98"/>
        <v>0</v>
      </c>
      <c r="CJ209" s="312">
        <f t="shared" si="106"/>
        <v>1</v>
      </c>
      <c r="CN209" s="315">
        <f t="shared" si="107"/>
        <v>39479</v>
      </c>
      <c r="CO209" s="312">
        <f t="shared" si="108"/>
        <v>1</v>
      </c>
      <c r="CQ209" s="315">
        <f t="shared" si="109"/>
        <v>39479</v>
      </c>
      <c r="CR209" s="316">
        <f t="shared" si="110"/>
        <v>1.7851000000000004</v>
      </c>
      <c r="CW209" s="655" t="s">
        <v>430</v>
      </c>
      <c r="CX209" s="242" t="str">
        <f t="shared" si="117"/>
        <v>TNU realizará sessão ordinária de julgamento em 24 de setembro, com transmissão ao vivo</v>
      </c>
    </row>
    <row r="210" spans="2:102" ht="15" customHeight="1">
      <c r="B210" s="163">
        <v>42736</v>
      </c>
      <c r="C210" s="165">
        <v>937</v>
      </c>
      <c r="D210" s="274">
        <f t="shared" si="111"/>
        <v>42736</v>
      </c>
      <c r="E210" s="275">
        <f t="shared" si="112"/>
        <v>937</v>
      </c>
      <c r="G210" s="163">
        <v>43101</v>
      </c>
      <c r="H210" s="163">
        <v>43132</v>
      </c>
      <c r="I210" s="164">
        <v>0</v>
      </c>
      <c r="J210" s="159">
        <f t="shared" si="113"/>
        <v>43132</v>
      </c>
      <c r="K210" s="278">
        <f t="shared" si="114"/>
        <v>0</v>
      </c>
      <c r="M210" s="163">
        <v>41244</v>
      </c>
      <c r="N210" s="163">
        <v>41275</v>
      </c>
      <c r="O210" s="164">
        <v>4.1339999999999997E-3</v>
      </c>
      <c r="P210" s="159">
        <f t="shared" si="102"/>
        <v>41244</v>
      </c>
      <c r="Q210" s="292">
        <f t="shared" si="99"/>
        <v>4.1339999999999997E-3</v>
      </c>
      <c r="S210" s="163">
        <v>41275</v>
      </c>
      <c r="T210" s="164">
        <v>6.0000000000000001E-3</v>
      </c>
      <c r="U210" s="159">
        <f t="shared" si="115"/>
        <v>41275</v>
      </c>
      <c r="V210" s="285">
        <f t="shared" si="116"/>
        <v>6.0000000000000001E-3</v>
      </c>
      <c r="BM210" s="31" t="s">
        <v>197</v>
      </c>
      <c r="BN210" s="168">
        <f t="shared" si="100"/>
        <v>39508</v>
      </c>
      <c r="BO210" s="37">
        <v>0</v>
      </c>
      <c r="BP210" s="278">
        <f t="shared" si="95"/>
        <v>0</v>
      </c>
      <c r="BQ210" s="312">
        <f t="shared" si="103"/>
        <v>1.1656213848043593</v>
      </c>
      <c r="BS210" s="31" t="s">
        <v>43</v>
      </c>
      <c r="BT210" s="159">
        <f t="shared" si="118"/>
        <v>39508</v>
      </c>
      <c r="BU210" s="162">
        <f t="shared" si="119"/>
        <v>8.3999999999999995E-3</v>
      </c>
      <c r="BV210" s="311">
        <f t="shared" si="104"/>
        <v>1.7771000000000003</v>
      </c>
      <c r="BX210" s="170" t="s">
        <v>43</v>
      </c>
      <c r="BY210" s="159">
        <f t="shared" si="96"/>
        <v>39508</v>
      </c>
      <c r="BZ210" s="162">
        <f t="shared" si="97"/>
        <v>8.3999999999999995E-3</v>
      </c>
      <c r="CA210" s="162">
        <f t="shared" si="105"/>
        <v>1.0693420000000007</v>
      </c>
      <c r="CF210" s="31" t="s">
        <v>197</v>
      </c>
      <c r="CG210" s="168">
        <f t="shared" si="101"/>
        <v>39508</v>
      </c>
      <c r="CH210" s="37">
        <v>0</v>
      </c>
      <c r="CI210" s="314">
        <f t="shared" si="98"/>
        <v>0</v>
      </c>
      <c r="CJ210" s="312">
        <f t="shared" si="106"/>
        <v>1</v>
      </c>
      <c r="CN210" s="315">
        <f t="shared" si="107"/>
        <v>39508</v>
      </c>
      <c r="CO210" s="312">
        <f t="shared" si="108"/>
        <v>1</v>
      </c>
      <c r="CQ210" s="315">
        <f t="shared" si="109"/>
        <v>39508</v>
      </c>
      <c r="CR210" s="316">
        <f t="shared" si="110"/>
        <v>1.7771000000000003</v>
      </c>
      <c r="CW210"/>
    </row>
    <row r="211" spans="2:102" ht="15" customHeight="1">
      <c r="B211" s="163">
        <v>42767</v>
      </c>
      <c r="C211" s="165">
        <v>937</v>
      </c>
      <c r="D211" s="274">
        <f t="shared" si="111"/>
        <v>42767</v>
      </c>
      <c r="E211" s="275">
        <f t="shared" si="112"/>
        <v>937</v>
      </c>
      <c r="G211" s="163">
        <v>43132</v>
      </c>
      <c r="H211" s="163">
        <v>43160</v>
      </c>
      <c r="I211" s="164">
        <v>0</v>
      </c>
      <c r="J211" s="159">
        <f t="shared" si="113"/>
        <v>43160</v>
      </c>
      <c r="K211" s="278">
        <f t="shared" si="114"/>
        <v>0</v>
      </c>
      <c r="M211" s="163">
        <v>41275</v>
      </c>
      <c r="N211" s="163">
        <v>41306</v>
      </c>
      <c r="O211" s="164">
        <v>4.1339999999999997E-3</v>
      </c>
      <c r="P211" s="159">
        <f t="shared" si="102"/>
        <v>41275</v>
      </c>
      <c r="Q211" s="292">
        <f t="shared" si="99"/>
        <v>4.1339999999999997E-3</v>
      </c>
      <c r="S211" s="163">
        <v>41306</v>
      </c>
      <c r="T211" s="164">
        <v>4.8999999999999998E-3</v>
      </c>
      <c r="U211" s="159">
        <f t="shared" si="115"/>
        <v>41306</v>
      </c>
      <c r="V211" s="285">
        <f t="shared" si="116"/>
        <v>4.8999999999999998E-3</v>
      </c>
      <c r="BM211" s="31" t="s">
        <v>197</v>
      </c>
      <c r="BN211" s="168">
        <f t="shared" si="100"/>
        <v>39539</v>
      </c>
      <c r="BO211" s="37">
        <v>0</v>
      </c>
      <c r="BP211" s="278">
        <f t="shared" si="95"/>
        <v>0</v>
      </c>
      <c r="BQ211" s="312">
        <f t="shared" si="103"/>
        <v>1.1656213848043593</v>
      </c>
      <c r="BS211" s="31" t="s">
        <v>43</v>
      </c>
      <c r="BT211" s="159">
        <f t="shared" si="118"/>
        <v>39539</v>
      </c>
      <c r="BU211" s="162">
        <f t="shared" si="119"/>
        <v>8.9999999999999993E-3</v>
      </c>
      <c r="BV211" s="311">
        <f t="shared" si="104"/>
        <v>1.7687000000000004</v>
      </c>
      <c r="BX211" s="170" t="s">
        <v>43</v>
      </c>
      <c r="BY211" s="159">
        <f t="shared" si="96"/>
        <v>39539</v>
      </c>
      <c r="BZ211" s="162">
        <f t="shared" si="97"/>
        <v>8.9999999999999993E-3</v>
      </c>
      <c r="CA211" s="162">
        <f t="shared" si="105"/>
        <v>1.0609420000000007</v>
      </c>
      <c r="CF211" s="31" t="s">
        <v>197</v>
      </c>
      <c r="CG211" s="168">
        <f t="shared" si="101"/>
        <v>39539</v>
      </c>
      <c r="CH211" s="37">
        <v>0</v>
      </c>
      <c r="CI211" s="314">
        <f t="shared" si="98"/>
        <v>0</v>
      </c>
      <c r="CJ211" s="312">
        <f t="shared" si="106"/>
        <v>1</v>
      </c>
      <c r="CN211" s="315">
        <f t="shared" si="107"/>
        <v>39539</v>
      </c>
      <c r="CO211" s="312">
        <f t="shared" si="108"/>
        <v>1</v>
      </c>
      <c r="CQ211" s="315">
        <f t="shared" si="109"/>
        <v>39539</v>
      </c>
      <c r="CR211" s="316">
        <f t="shared" si="110"/>
        <v>1.7687000000000004</v>
      </c>
      <c r="CW211" s="661" t="s">
        <v>429</v>
      </c>
    </row>
    <row r="212" spans="2:102" ht="15" customHeight="1">
      <c r="B212" s="163">
        <v>42795</v>
      </c>
      <c r="C212" s="165">
        <v>937</v>
      </c>
      <c r="D212" s="274">
        <f t="shared" si="111"/>
        <v>42795</v>
      </c>
      <c r="E212" s="275">
        <f t="shared" si="112"/>
        <v>937</v>
      </c>
      <c r="G212" s="163">
        <v>43160</v>
      </c>
      <c r="H212" s="163">
        <v>43191</v>
      </c>
      <c r="I212" s="164">
        <v>0</v>
      </c>
      <c r="J212" s="159">
        <f t="shared" si="113"/>
        <v>43191</v>
      </c>
      <c r="K212" s="278">
        <f t="shared" si="114"/>
        <v>0</v>
      </c>
      <c r="M212" s="163">
        <v>41306</v>
      </c>
      <c r="N212" s="163">
        <v>41334</v>
      </c>
      <c r="O212" s="164">
        <v>4.1339999999999997E-3</v>
      </c>
      <c r="P212" s="159">
        <f t="shared" si="102"/>
        <v>41306</v>
      </c>
      <c r="Q212" s="292">
        <f t="shared" si="99"/>
        <v>4.1339999999999997E-3</v>
      </c>
      <c r="S212" s="163">
        <v>41334</v>
      </c>
      <c r="T212" s="164">
        <v>5.4999999999999997E-3</v>
      </c>
      <c r="U212" s="159">
        <f t="shared" si="115"/>
        <v>41334</v>
      </c>
      <c r="V212" s="285">
        <f t="shared" si="116"/>
        <v>5.4999999999999997E-3</v>
      </c>
      <c r="BM212" s="31" t="s">
        <v>197</v>
      </c>
      <c r="BN212" s="168">
        <f t="shared" si="100"/>
        <v>39569</v>
      </c>
      <c r="BO212" s="37">
        <v>0</v>
      </c>
      <c r="BP212" s="278">
        <f t="shared" si="95"/>
        <v>0</v>
      </c>
      <c r="BQ212" s="312">
        <f t="shared" si="103"/>
        <v>1.1656213848043593</v>
      </c>
      <c r="BS212" s="31" t="s">
        <v>43</v>
      </c>
      <c r="BT212" s="159">
        <f t="shared" si="118"/>
        <v>39569</v>
      </c>
      <c r="BU212" s="162">
        <f t="shared" si="119"/>
        <v>8.8000000000000005E-3</v>
      </c>
      <c r="BV212" s="311">
        <f t="shared" si="104"/>
        <v>1.7597000000000005</v>
      </c>
      <c r="BX212" s="170" t="s">
        <v>43</v>
      </c>
      <c r="BY212" s="159">
        <f t="shared" si="96"/>
        <v>39569</v>
      </c>
      <c r="BZ212" s="162">
        <f t="shared" si="97"/>
        <v>8.8000000000000005E-3</v>
      </c>
      <c r="CA212" s="162">
        <f t="shared" si="105"/>
        <v>1.0519420000000008</v>
      </c>
      <c r="CF212" s="31" t="s">
        <v>197</v>
      </c>
      <c r="CG212" s="168">
        <f t="shared" si="101"/>
        <v>39569</v>
      </c>
      <c r="CH212" s="37">
        <v>0</v>
      </c>
      <c r="CI212" s="314">
        <f t="shared" si="98"/>
        <v>0</v>
      </c>
      <c r="CJ212" s="312">
        <f t="shared" si="106"/>
        <v>1</v>
      </c>
      <c r="CN212" s="315">
        <f t="shared" si="107"/>
        <v>39569</v>
      </c>
      <c r="CO212" s="312">
        <f t="shared" si="108"/>
        <v>1</v>
      </c>
      <c r="CQ212" s="315">
        <f t="shared" si="109"/>
        <v>39569</v>
      </c>
      <c r="CR212" s="316">
        <f t="shared" si="110"/>
        <v>1.7597000000000005</v>
      </c>
      <c r="CW212" s="655" t="s">
        <v>431</v>
      </c>
    </row>
    <row r="213" spans="2:102" ht="15" customHeight="1">
      <c r="B213" s="163">
        <v>42826</v>
      </c>
      <c r="C213" s="165">
        <v>937</v>
      </c>
      <c r="D213" s="274">
        <f t="shared" si="111"/>
        <v>42826</v>
      </c>
      <c r="E213" s="275">
        <f t="shared" si="112"/>
        <v>937</v>
      </c>
      <c r="G213" s="163">
        <v>43191</v>
      </c>
      <c r="H213" s="163">
        <v>43221</v>
      </c>
      <c r="I213" s="164">
        <v>0</v>
      </c>
      <c r="J213" s="159">
        <f t="shared" si="113"/>
        <v>43221</v>
      </c>
      <c r="K213" s="278">
        <f t="shared" si="114"/>
        <v>0</v>
      </c>
      <c r="M213" s="163">
        <v>41334</v>
      </c>
      <c r="N213" s="163">
        <v>41365</v>
      </c>
      <c r="O213" s="164">
        <v>4.1339999999999997E-3</v>
      </c>
      <c r="P213" s="159">
        <f t="shared" si="102"/>
        <v>41334</v>
      </c>
      <c r="Q213" s="292">
        <f t="shared" si="99"/>
        <v>4.1339999999999997E-3</v>
      </c>
      <c r="S213" s="163">
        <v>41365</v>
      </c>
      <c r="T213" s="164">
        <v>6.1000000000000004E-3</v>
      </c>
      <c r="U213" s="159">
        <f t="shared" si="115"/>
        <v>41365</v>
      </c>
      <c r="V213" s="285">
        <f t="shared" si="116"/>
        <v>6.1000000000000004E-3</v>
      </c>
      <c r="BM213" s="31" t="s">
        <v>197</v>
      </c>
      <c r="BN213" s="168">
        <f t="shared" si="100"/>
        <v>39600</v>
      </c>
      <c r="BO213" s="37">
        <v>0</v>
      </c>
      <c r="BP213" s="278">
        <f t="shared" si="95"/>
        <v>0</v>
      </c>
      <c r="BQ213" s="312">
        <f t="shared" si="103"/>
        <v>1.1656213848043593</v>
      </c>
      <c r="BS213" s="31" t="s">
        <v>43</v>
      </c>
      <c r="BT213" s="159">
        <f t="shared" si="118"/>
        <v>39600</v>
      </c>
      <c r="BU213" s="162">
        <f t="shared" si="119"/>
        <v>9.5999999999999992E-3</v>
      </c>
      <c r="BV213" s="311">
        <f t="shared" si="104"/>
        <v>1.7509000000000006</v>
      </c>
      <c r="BX213" s="170" t="s">
        <v>43</v>
      </c>
      <c r="BY213" s="159">
        <f t="shared" si="96"/>
        <v>39600</v>
      </c>
      <c r="BZ213" s="162">
        <f t="shared" si="97"/>
        <v>9.5999999999999992E-3</v>
      </c>
      <c r="CA213" s="162">
        <f t="shared" si="105"/>
        <v>1.0431420000000009</v>
      </c>
      <c r="CF213" s="31" t="s">
        <v>197</v>
      </c>
      <c r="CG213" s="168">
        <f t="shared" si="101"/>
        <v>39600</v>
      </c>
      <c r="CH213" s="37">
        <v>0</v>
      </c>
      <c r="CI213" s="314">
        <f t="shared" si="98"/>
        <v>0</v>
      </c>
      <c r="CJ213" s="312">
        <f t="shared" si="106"/>
        <v>1</v>
      </c>
      <c r="CN213" s="315">
        <f t="shared" si="107"/>
        <v>39600</v>
      </c>
      <c r="CO213" s="312">
        <f t="shared" si="108"/>
        <v>1</v>
      </c>
      <c r="CQ213" s="315">
        <f t="shared" si="109"/>
        <v>39600</v>
      </c>
      <c r="CR213" s="316">
        <f t="shared" si="110"/>
        <v>1.7509000000000006</v>
      </c>
      <c r="CW213"/>
    </row>
    <row r="214" spans="2:102" ht="15" customHeight="1">
      <c r="B214" s="163">
        <v>42856</v>
      </c>
      <c r="C214" s="165">
        <v>937</v>
      </c>
      <c r="D214" s="274">
        <f t="shared" si="111"/>
        <v>42856</v>
      </c>
      <c r="E214" s="275">
        <f t="shared" si="112"/>
        <v>937</v>
      </c>
      <c r="G214" s="163">
        <v>43221</v>
      </c>
      <c r="H214" s="163">
        <v>43252</v>
      </c>
      <c r="I214" s="164">
        <v>0</v>
      </c>
      <c r="J214" s="159">
        <f t="shared" si="113"/>
        <v>43252</v>
      </c>
      <c r="K214" s="278">
        <f t="shared" si="114"/>
        <v>0</v>
      </c>
      <c r="M214" s="163">
        <v>41365</v>
      </c>
      <c r="N214" s="163">
        <v>41395</v>
      </c>
      <c r="O214" s="164">
        <v>4.1339999999999997E-3</v>
      </c>
      <c r="P214" s="159">
        <f t="shared" si="102"/>
        <v>41365</v>
      </c>
      <c r="Q214" s="292">
        <f t="shared" si="99"/>
        <v>4.1339999999999997E-3</v>
      </c>
      <c r="S214" s="163">
        <v>41395</v>
      </c>
      <c r="T214" s="164">
        <v>6.0000000000000001E-3</v>
      </c>
      <c r="U214" s="159">
        <f t="shared" si="115"/>
        <v>41395</v>
      </c>
      <c r="V214" s="285">
        <f t="shared" si="116"/>
        <v>6.0000000000000001E-3</v>
      </c>
      <c r="BM214" s="31" t="s">
        <v>197</v>
      </c>
      <c r="BN214" s="168">
        <f t="shared" si="100"/>
        <v>39630</v>
      </c>
      <c r="BO214" s="37">
        <v>0</v>
      </c>
      <c r="BP214" s="278">
        <f t="shared" si="95"/>
        <v>0</v>
      </c>
      <c r="BQ214" s="312">
        <f t="shared" si="103"/>
        <v>1.1656213848043593</v>
      </c>
      <c r="BS214" s="31" t="s">
        <v>43</v>
      </c>
      <c r="BT214" s="159">
        <f t="shared" si="118"/>
        <v>39630</v>
      </c>
      <c r="BU214" s="162">
        <f t="shared" si="119"/>
        <v>1.0699999999999999E-2</v>
      </c>
      <c r="BV214" s="311">
        <f t="shared" si="104"/>
        <v>1.7413000000000005</v>
      </c>
      <c r="BX214" s="170" t="s">
        <v>43</v>
      </c>
      <c r="BY214" s="159">
        <f t="shared" si="96"/>
        <v>39630</v>
      </c>
      <c r="BZ214" s="162">
        <f t="shared" si="97"/>
        <v>1.0699999999999999E-2</v>
      </c>
      <c r="CA214" s="162">
        <f t="shared" si="105"/>
        <v>1.0335420000000008</v>
      </c>
      <c r="CF214" s="31" t="s">
        <v>197</v>
      </c>
      <c r="CG214" s="168">
        <f t="shared" si="101"/>
        <v>39630</v>
      </c>
      <c r="CH214" s="37">
        <v>0</v>
      </c>
      <c r="CI214" s="314">
        <f t="shared" si="98"/>
        <v>0</v>
      </c>
      <c r="CJ214" s="312">
        <f t="shared" si="106"/>
        <v>1</v>
      </c>
      <c r="CN214" s="315">
        <f t="shared" si="107"/>
        <v>39630</v>
      </c>
      <c r="CO214" s="312">
        <f t="shared" si="108"/>
        <v>1</v>
      </c>
      <c r="CQ214" s="315">
        <f t="shared" si="109"/>
        <v>39630</v>
      </c>
      <c r="CR214" s="316">
        <f t="shared" si="110"/>
        <v>1.7413000000000005</v>
      </c>
      <c r="CW214" s="661" t="s">
        <v>432</v>
      </c>
    </row>
    <row r="215" spans="2:102" ht="15" customHeight="1">
      <c r="B215" s="163">
        <v>42887</v>
      </c>
      <c r="C215" s="165">
        <v>937</v>
      </c>
      <c r="D215" s="274">
        <f t="shared" si="111"/>
        <v>42887</v>
      </c>
      <c r="E215" s="275">
        <f t="shared" si="112"/>
        <v>937</v>
      </c>
      <c r="G215" s="163">
        <v>43252</v>
      </c>
      <c r="H215" s="163">
        <v>43282</v>
      </c>
      <c r="I215" s="164">
        <v>0</v>
      </c>
      <c r="J215" s="159">
        <f t="shared" si="113"/>
        <v>43282</v>
      </c>
      <c r="K215" s="278">
        <f t="shared" si="114"/>
        <v>0</v>
      </c>
      <c r="M215" s="163">
        <v>41395</v>
      </c>
      <c r="N215" s="163">
        <v>41426</v>
      </c>
      <c r="O215" s="164">
        <v>4.2729999999999999E-3</v>
      </c>
      <c r="P215" s="159">
        <f t="shared" si="102"/>
        <v>41395</v>
      </c>
      <c r="Q215" s="292">
        <f t="shared" si="99"/>
        <v>4.2729999999999999E-3</v>
      </c>
      <c r="S215" s="163">
        <v>41426</v>
      </c>
      <c r="T215" s="164">
        <v>6.1000000000000004E-3</v>
      </c>
      <c r="U215" s="159">
        <f t="shared" si="115"/>
        <v>41426</v>
      </c>
      <c r="V215" s="285">
        <f t="shared" si="116"/>
        <v>6.1000000000000004E-3</v>
      </c>
      <c r="BM215" s="31" t="s">
        <v>197</v>
      </c>
      <c r="BN215" s="168">
        <f t="shared" si="100"/>
        <v>39661</v>
      </c>
      <c r="BO215" s="37">
        <v>0</v>
      </c>
      <c r="BP215" s="278">
        <f t="shared" si="95"/>
        <v>0</v>
      </c>
      <c r="BQ215" s="312">
        <f t="shared" si="103"/>
        <v>1.1656213848043593</v>
      </c>
      <c r="BS215" s="31" t="s">
        <v>43</v>
      </c>
      <c r="BT215" s="159">
        <f t="shared" si="118"/>
        <v>39661</v>
      </c>
      <c r="BU215" s="162">
        <f t="shared" si="119"/>
        <v>1.0200000000000001E-2</v>
      </c>
      <c r="BV215" s="311">
        <f t="shared" si="104"/>
        <v>1.7306000000000006</v>
      </c>
      <c r="BX215" s="170" t="s">
        <v>43</v>
      </c>
      <c r="BY215" s="159">
        <f t="shared" si="96"/>
        <v>39661</v>
      </c>
      <c r="BZ215" s="162">
        <f t="shared" si="97"/>
        <v>1.0200000000000001E-2</v>
      </c>
      <c r="CA215" s="162">
        <f t="shared" si="105"/>
        <v>1.0228420000000009</v>
      </c>
      <c r="CF215" s="31" t="s">
        <v>197</v>
      </c>
      <c r="CG215" s="168">
        <f t="shared" si="101"/>
        <v>39661</v>
      </c>
      <c r="CH215" s="37">
        <v>0</v>
      </c>
      <c r="CI215" s="314">
        <f t="shared" si="98"/>
        <v>0</v>
      </c>
      <c r="CJ215" s="312">
        <f t="shared" si="106"/>
        <v>1</v>
      </c>
      <c r="CN215" s="315">
        <f t="shared" si="107"/>
        <v>39661</v>
      </c>
      <c r="CO215" s="312">
        <f t="shared" si="108"/>
        <v>1</v>
      </c>
      <c r="CQ215" s="315">
        <f t="shared" si="109"/>
        <v>39661</v>
      </c>
      <c r="CR215" s="316">
        <f t="shared" si="110"/>
        <v>1.7306000000000006</v>
      </c>
      <c r="CW215" s="655" t="s">
        <v>433</v>
      </c>
    </row>
    <row r="216" spans="2:102" ht="15" customHeight="1">
      <c r="B216" s="163">
        <v>42917</v>
      </c>
      <c r="C216" s="165">
        <v>937</v>
      </c>
      <c r="D216" s="274">
        <f t="shared" si="111"/>
        <v>42917</v>
      </c>
      <c r="E216" s="275">
        <f t="shared" si="112"/>
        <v>937</v>
      </c>
      <c r="G216" s="163">
        <v>43282</v>
      </c>
      <c r="H216" s="163">
        <v>43313</v>
      </c>
      <c r="I216" s="164">
        <v>0</v>
      </c>
      <c r="J216" s="159">
        <f t="shared" si="113"/>
        <v>43313</v>
      </c>
      <c r="K216" s="278">
        <f t="shared" si="114"/>
        <v>0</v>
      </c>
      <c r="M216" s="163">
        <v>41426</v>
      </c>
      <c r="N216" s="163">
        <v>41456</v>
      </c>
      <c r="O216" s="164">
        <v>4.5510000000000004E-3</v>
      </c>
      <c r="P216" s="159">
        <f t="shared" si="102"/>
        <v>41426</v>
      </c>
      <c r="Q216" s="292">
        <f t="shared" si="99"/>
        <v>4.5510000000000004E-3</v>
      </c>
      <c r="S216" s="163">
        <v>41456</v>
      </c>
      <c r="T216" s="164">
        <v>7.1999999999999998E-3</v>
      </c>
      <c r="U216" s="159">
        <f t="shared" si="115"/>
        <v>41456</v>
      </c>
      <c r="V216" s="285">
        <f t="shared" si="116"/>
        <v>7.1999999999999998E-3</v>
      </c>
      <c r="BM216" s="31" t="s">
        <v>197</v>
      </c>
      <c r="BN216" s="168">
        <f t="shared" si="100"/>
        <v>39692</v>
      </c>
      <c r="BO216" s="37">
        <v>0</v>
      </c>
      <c r="BP216" s="278">
        <f t="shared" si="95"/>
        <v>0</v>
      </c>
      <c r="BQ216" s="312">
        <f t="shared" si="103"/>
        <v>1.1656213848043593</v>
      </c>
      <c r="BS216" s="31" t="s">
        <v>43</v>
      </c>
      <c r="BT216" s="159">
        <f t="shared" si="118"/>
        <v>39692</v>
      </c>
      <c r="BU216" s="162">
        <f t="shared" si="119"/>
        <v>1.0999999999999999E-2</v>
      </c>
      <c r="BV216" s="311">
        <f t="shared" si="104"/>
        <v>1.7204000000000006</v>
      </c>
      <c r="BX216" s="170" t="s">
        <v>43</v>
      </c>
      <c r="BY216" s="159">
        <f t="shared" si="96"/>
        <v>39692</v>
      </c>
      <c r="BZ216" s="162">
        <f t="shared" si="97"/>
        <v>1.0999999999999999E-2</v>
      </c>
      <c r="CA216" s="162">
        <f t="shared" si="105"/>
        <v>1.0126420000000009</v>
      </c>
      <c r="CF216" s="31" t="s">
        <v>197</v>
      </c>
      <c r="CG216" s="168">
        <f t="shared" si="101"/>
        <v>39692</v>
      </c>
      <c r="CH216" s="37">
        <v>0</v>
      </c>
      <c r="CI216" s="314">
        <f t="shared" si="98"/>
        <v>0</v>
      </c>
      <c r="CJ216" s="312">
        <f t="shared" si="106"/>
        <v>1</v>
      </c>
      <c r="CN216" s="315">
        <f t="shared" si="107"/>
        <v>39692</v>
      </c>
      <c r="CO216" s="312">
        <f t="shared" si="108"/>
        <v>1</v>
      </c>
      <c r="CQ216" s="315">
        <f t="shared" si="109"/>
        <v>39692</v>
      </c>
      <c r="CR216" s="316">
        <f t="shared" si="110"/>
        <v>1.7204000000000006</v>
      </c>
      <c r="CW216"/>
    </row>
    <row r="217" spans="2:102" ht="15" customHeight="1">
      <c r="B217" s="163">
        <v>42948</v>
      </c>
      <c r="C217" s="165">
        <v>937</v>
      </c>
      <c r="D217" s="274">
        <f t="shared" si="111"/>
        <v>42948</v>
      </c>
      <c r="E217" s="275">
        <f t="shared" si="112"/>
        <v>937</v>
      </c>
      <c r="G217" s="163">
        <v>43313</v>
      </c>
      <c r="H217" s="163">
        <v>43344</v>
      </c>
      <c r="I217" s="164">
        <v>0</v>
      </c>
      <c r="J217" s="159">
        <f t="shared" si="113"/>
        <v>43344</v>
      </c>
      <c r="K217" s="278">
        <f t="shared" si="114"/>
        <v>0</v>
      </c>
      <c r="M217" s="163">
        <v>41456</v>
      </c>
      <c r="N217" s="163">
        <v>41487</v>
      </c>
      <c r="O217" s="164">
        <v>4.5510000000000004E-3</v>
      </c>
      <c r="P217" s="159">
        <f t="shared" si="102"/>
        <v>41456</v>
      </c>
      <c r="Q217" s="292">
        <f t="shared" si="99"/>
        <v>4.5510000000000004E-3</v>
      </c>
      <c r="S217" s="163">
        <v>41487</v>
      </c>
      <c r="T217" s="164">
        <v>7.1000000000000004E-3</v>
      </c>
      <c r="U217" s="159">
        <f t="shared" si="115"/>
        <v>41487</v>
      </c>
      <c r="V217" s="285">
        <f t="shared" si="116"/>
        <v>7.1000000000000004E-3</v>
      </c>
      <c r="BM217" s="31" t="s">
        <v>197</v>
      </c>
      <c r="BN217" s="168">
        <f t="shared" si="100"/>
        <v>39722</v>
      </c>
      <c r="BO217" s="37">
        <v>0</v>
      </c>
      <c r="BP217" s="278">
        <f t="shared" si="95"/>
        <v>0</v>
      </c>
      <c r="BQ217" s="312">
        <f t="shared" si="103"/>
        <v>1.1656213848043593</v>
      </c>
      <c r="BS217" s="31" t="s">
        <v>43</v>
      </c>
      <c r="BT217" s="159">
        <f t="shared" si="118"/>
        <v>39722</v>
      </c>
      <c r="BU217" s="162">
        <f t="shared" si="119"/>
        <v>1.18E-2</v>
      </c>
      <c r="BV217" s="311">
        <f t="shared" si="104"/>
        <v>1.7094000000000007</v>
      </c>
      <c r="BX217" s="170" t="s">
        <v>43</v>
      </c>
      <c r="BY217" s="159">
        <f t="shared" si="96"/>
        <v>39722</v>
      </c>
      <c r="BZ217" s="162">
        <f t="shared" si="97"/>
        <v>1.18E-2</v>
      </c>
      <c r="CA217" s="162">
        <f t="shared" si="105"/>
        <v>1.001642000000001</v>
      </c>
      <c r="CF217" s="31" t="s">
        <v>197</v>
      </c>
      <c r="CG217" s="168">
        <f t="shared" si="101"/>
        <v>39722</v>
      </c>
      <c r="CH217" s="37">
        <v>0</v>
      </c>
      <c r="CI217" s="314">
        <f t="shared" si="98"/>
        <v>0</v>
      </c>
      <c r="CJ217" s="312">
        <f t="shared" si="106"/>
        <v>1</v>
      </c>
      <c r="CN217" s="315">
        <f t="shared" si="107"/>
        <v>39722</v>
      </c>
      <c r="CO217" s="312">
        <f t="shared" si="108"/>
        <v>1</v>
      </c>
      <c r="CQ217" s="315">
        <f t="shared" si="109"/>
        <v>39722</v>
      </c>
      <c r="CR217" s="316">
        <f t="shared" si="110"/>
        <v>1.7094000000000007</v>
      </c>
      <c r="CW217" s="661" t="s">
        <v>434</v>
      </c>
    </row>
    <row r="218" spans="2:102" ht="15" customHeight="1">
      <c r="B218" s="163">
        <v>42979</v>
      </c>
      <c r="C218" s="165">
        <v>937</v>
      </c>
      <c r="D218" s="274">
        <f t="shared" si="111"/>
        <v>42979</v>
      </c>
      <c r="E218" s="275">
        <f t="shared" si="112"/>
        <v>937</v>
      </c>
      <c r="G218" s="163">
        <v>43344</v>
      </c>
      <c r="H218" s="163">
        <v>43374</v>
      </c>
      <c r="I218" s="164">
        <v>0</v>
      </c>
      <c r="J218" s="159">
        <f t="shared" si="113"/>
        <v>43374</v>
      </c>
      <c r="K218" s="278">
        <f t="shared" si="114"/>
        <v>0</v>
      </c>
      <c r="M218" s="163">
        <v>41487</v>
      </c>
      <c r="N218" s="163">
        <v>41518</v>
      </c>
      <c r="O218" s="164">
        <v>4.8279999999999998E-3</v>
      </c>
      <c r="P218" s="159">
        <f t="shared" si="102"/>
        <v>41487</v>
      </c>
      <c r="Q218" s="292">
        <f t="shared" si="99"/>
        <v>4.8279999999999998E-3</v>
      </c>
      <c r="S218" s="163">
        <v>41518</v>
      </c>
      <c r="T218" s="164">
        <v>7.1000000000000004E-3</v>
      </c>
      <c r="U218" s="159">
        <f t="shared" si="115"/>
        <v>41518</v>
      </c>
      <c r="V218" s="285">
        <f t="shared" si="116"/>
        <v>7.1000000000000004E-3</v>
      </c>
      <c r="BM218" s="31" t="s">
        <v>197</v>
      </c>
      <c r="BN218" s="168">
        <f t="shared" si="100"/>
        <v>39753</v>
      </c>
      <c r="BO218" s="37">
        <v>0</v>
      </c>
      <c r="BP218" s="278">
        <f t="shared" si="95"/>
        <v>0</v>
      </c>
      <c r="BQ218" s="312">
        <f t="shared" si="103"/>
        <v>1.1656213848043593</v>
      </c>
      <c r="BS218" s="31" t="s">
        <v>43</v>
      </c>
      <c r="BT218" s="159">
        <f t="shared" si="118"/>
        <v>39753</v>
      </c>
      <c r="BU218" s="162">
        <f t="shared" si="119"/>
        <v>1.0200000000000001E-2</v>
      </c>
      <c r="BV218" s="311">
        <f t="shared" si="104"/>
        <v>1.6976000000000007</v>
      </c>
      <c r="BX218" s="170" t="s">
        <v>43</v>
      </c>
      <c r="BY218" s="159">
        <f t="shared" si="96"/>
        <v>39753</v>
      </c>
      <c r="BZ218" s="162">
        <f t="shared" si="97"/>
        <v>1.0200000000000001E-2</v>
      </c>
      <c r="CA218" s="162">
        <f t="shared" si="105"/>
        <v>0.989842000000001</v>
      </c>
      <c r="CF218" s="31" t="s">
        <v>197</v>
      </c>
      <c r="CG218" s="168">
        <f t="shared" si="101"/>
        <v>39753</v>
      </c>
      <c r="CH218" s="37">
        <v>0</v>
      </c>
      <c r="CI218" s="314">
        <f t="shared" si="98"/>
        <v>0</v>
      </c>
      <c r="CJ218" s="312">
        <f t="shared" si="106"/>
        <v>1</v>
      </c>
      <c r="CN218" s="315">
        <f t="shared" si="107"/>
        <v>39753</v>
      </c>
      <c r="CO218" s="312">
        <f t="shared" si="108"/>
        <v>1</v>
      </c>
      <c r="CQ218" s="315">
        <f t="shared" si="109"/>
        <v>39753</v>
      </c>
      <c r="CR218" s="316">
        <f t="shared" si="110"/>
        <v>1.6976000000000007</v>
      </c>
      <c r="CW218" s="655" t="s">
        <v>435</v>
      </c>
    </row>
    <row r="219" spans="2:102" ht="15" customHeight="1">
      <c r="B219" s="163">
        <v>43009</v>
      </c>
      <c r="C219" s="165">
        <v>937</v>
      </c>
      <c r="D219" s="274">
        <f t="shared" si="111"/>
        <v>43009</v>
      </c>
      <c r="E219" s="275">
        <f t="shared" si="112"/>
        <v>937</v>
      </c>
      <c r="G219" s="163">
        <v>43374</v>
      </c>
      <c r="H219" s="163">
        <v>43405</v>
      </c>
      <c r="I219" s="164">
        <v>0</v>
      </c>
      <c r="J219" s="159">
        <f t="shared" si="113"/>
        <v>43405</v>
      </c>
      <c r="K219" s="278">
        <f t="shared" si="114"/>
        <v>0</v>
      </c>
      <c r="M219" s="163">
        <v>41518</v>
      </c>
      <c r="N219" s="163">
        <v>41548</v>
      </c>
      <c r="O219" s="164">
        <v>5.0000000000000001E-3</v>
      </c>
      <c r="P219" s="159">
        <f t="shared" si="102"/>
        <v>41518</v>
      </c>
      <c r="Q219" s="292">
        <f t="shared" si="99"/>
        <v>5.0000000000000001E-3</v>
      </c>
      <c r="S219" s="163">
        <v>41548</v>
      </c>
      <c r="T219" s="164">
        <v>8.0999999999999996E-3</v>
      </c>
      <c r="U219" s="159">
        <f t="shared" si="115"/>
        <v>41548</v>
      </c>
      <c r="V219" s="285">
        <f t="shared" si="116"/>
        <v>8.0999999999999996E-3</v>
      </c>
      <c r="BM219" s="31" t="s">
        <v>197</v>
      </c>
      <c r="BN219" s="168">
        <f t="shared" si="100"/>
        <v>39783</v>
      </c>
      <c r="BO219" s="37">
        <v>0</v>
      </c>
      <c r="BP219" s="278">
        <f t="shared" si="95"/>
        <v>0</v>
      </c>
      <c r="BQ219" s="312">
        <f t="shared" si="103"/>
        <v>1.1656213848043593</v>
      </c>
      <c r="BS219" s="31" t="s">
        <v>43</v>
      </c>
      <c r="BT219" s="159">
        <f t="shared" si="118"/>
        <v>39783</v>
      </c>
      <c r="BU219" s="162">
        <f t="shared" si="119"/>
        <v>1.12E-2</v>
      </c>
      <c r="BV219" s="311">
        <f t="shared" si="104"/>
        <v>1.6874000000000007</v>
      </c>
      <c r="BX219" s="170" t="s">
        <v>43</v>
      </c>
      <c r="BY219" s="159">
        <f t="shared" si="96"/>
        <v>39783</v>
      </c>
      <c r="BZ219" s="162">
        <f t="shared" si="97"/>
        <v>1.12E-2</v>
      </c>
      <c r="CA219" s="162">
        <f t="shared" si="105"/>
        <v>0.97964200000000101</v>
      </c>
      <c r="CF219" s="31" t="s">
        <v>197</v>
      </c>
      <c r="CG219" s="168">
        <f t="shared" si="101"/>
        <v>39783</v>
      </c>
      <c r="CH219" s="37">
        <v>0</v>
      </c>
      <c r="CI219" s="314">
        <f t="shared" si="98"/>
        <v>0</v>
      </c>
      <c r="CJ219" s="312">
        <f t="shared" si="106"/>
        <v>1</v>
      </c>
      <c r="CN219" s="315">
        <f t="shared" si="107"/>
        <v>39783</v>
      </c>
      <c r="CO219" s="312">
        <f t="shared" si="108"/>
        <v>1</v>
      </c>
      <c r="CQ219" s="315">
        <f t="shared" si="109"/>
        <v>39783</v>
      </c>
      <c r="CR219" s="316">
        <f t="shared" si="110"/>
        <v>1.6874000000000007</v>
      </c>
      <c r="CW219"/>
    </row>
    <row r="220" spans="2:102" ht="15" customHeight="1">
      <c r="B220" s="163">
        <v>43040</v>
      </c>
      <c r="C220" s="165">
        <v>937</v>
      </c>
      <c r="D220" s="274">
        <f t="shared" si="111"/>
        <v>43040</v>
      </c>
      <c r="E220" s="275">
        <f t="shared" si="112"/>
        <v>937</v>
      </c>
      <c r="G220" s="163">
        <v>43405</v>
      </c>
      <c r="H220" s="163">
        <v>43435</v>
      </c>
      <c r="I220" s="164">
        <v>0</v>
      </c>
      <c r="J220" s="159">
        <f t="shared" si="113"/>
        <v>43435</v>
      </c>
      <c r="K220" s="278">
        <f t="shared" si="114"/>
        <v>0</v>
      </c>
      <c r="M220" s="163">
        <v>41548</v>
      </c>
      <c r="N220" s="163">
        <v>41579</v>
      </c>
      <c r="O220" s="164">
        <v>5.0000000000000001E-3</v>
      </c>
      <c r="P220" s="159">
        <f t="shared" si="102"/>
        <v>41548</v>
      </c>
      <c r="Q220" s="292">
        <f t="shared" si="99"/>
        <v>5.0000000000000001E-3</v>
      </c>
      <c r="S220" s="163">
        <v>41579</v>
      </c>
      <c r="T220" s="164">
        <v>7.1999999999999998E-3</v>
      </c>
      <c r="U220" s="159">
        <f t="shared" si="115"/>
        <v>41579</v>
      </c>
      <c r="V220" s="285">
        <f t="shared" si="116"/>
        <v>7.1999999999999998E-3</v>
      </c>
      <c r="BM220" s="31" t="s">
        <v>197</v>
      </c>
      <c r="BN220" s="168">
        <f t="shared" si="100"/>
        <v>39814</v>
      </c>
      <c r="BO220" s="37">
        <v>0</v>
      </c>
      <c r="BP220" s="278">
        <f t="shared" si="95"/>
        <v>0</v>
      </c>
      <c r="BQ220" s="312">
        <f t="shared" si="103"/>
        <v>1.1656213848043593</v>
      </c>
      <c r="BS220" s="31" t="s">
        <v>43</v>
      </c>
      <c r="BT220" s="159">
        <f t="shared" si="118"/>
        <v>39814</v>
      </c>
      <c r="BU220" s="162">
        <f t="shared" si="119"/>
        <v>1.0500000000000001E-2</v>
      </c>
      <c r="BV220" s="311">
        <f t="shared" si="104"/>
        <v>1.6762000000000006</v>
      </c>
      <c r="BX220" s="170" t="s">
        <v>43</v>
      </c>
      <c r="BY220" s="159">
        <f t="shared" si="96"/>
        <v>39814</v>
      </c>
      <c r="BZ220" s="162">
        <f t="shared" si="97"/>
        <v>1.0500000000000001E-2</v>
      </c>
      <c r="CA220" s="162">
        <f t="shared" si="105"/>
        <v>0.96844200000000102</v>
      </c>
      <c r="CF220" s="31" t="s">
        <v>197</v>
      </c>
      <c r="CG220" s="168">
        <f t="shared" si="101"/>
        <v>39814</v>
      </c>
      <c r="CH220" s="37">
        <v>0</v>
      </c>
      <c r="CI220" s="314">
        <f t="shared" si="98"/>
        <v>0</v>
      </c>
      <c r="CJ220" s="312">
        <f t="shared" si="106"/>
        <v>1</v>
      </c>
      <c r="CN220" s="315">
        <f t="shared" si="107"/>
        <v>39814</v>
      </c>
      <c r="CO220" s="312">
        <f t="shared" si="108"/>
        <v>1</v>
      </c>
      <c r="CQ220" s="315">
        <f t="shared" si="109"/>
        <v>39814</v>
      </c>
      <c r="CR220" s="316">
        <f t="shared" si="110"/>
        <v>1.6762000000000006</v>
      </c>
      <c r="CW220" s="661" t="s">
        <v>436</v>
      </c>
    </row>
    <row r="221" spans="2:102" ht="15" customHeight="1">
      <c r="B221" s="163">
        <v>43070</v>
      </c>
      <c r="C221" s="165">
        <v>937</v>
      </c>
      <c r="D221" s="274">
        <f t="shared" si="111"/>
        <v>43070</v>
      </c>
      <c r="E221" s="275">
        <f t="shared" si="112"/>
        <v>937</v>
      </c>
      <c r="G221" s="163">
        <v>43435</v>
      </c>
      <c r="H221" s="163">
        <v>43466</v>
      </c>
      <c r="I221" s="164">
        <v>0</v>
      </c>
      <c r="J221" s="159">
        <f t="shared" si="113"/>
        <v>43466</v>
      </c>
      <c r="K221" s="278">
        <f t="shared" si="114"/>
        <v>0</v>
      </c>
      <c r="M221" s="163">
        <v>41579</v>
      </c>
      <c r="N221" s="163">
        <v>41609</v>
      </c>
      <c r="O221" s="164">
        <v>5.0000000000000001E-3</v>
      </c>
      <c r="P221" s="159">
        <f t="shared" si="102"/>
        <v>41579</v>
      </c>
      <c r="Q221" s="292">
        <f t="shared" si="99"/>
        <v>5.0000000000000001E-3</v>
      </c>
      <c r="S221" s="163">
        <v>41609</v>
      </c>
      <c r="T221" s="164">
        <v>7.9000000000000008E-3</v>
      </c>
      <c r="U221" s="159">
        <f t="shared" si="115"/>
        <v>41609</v>
      </c>
      <c r="V221" s="285">
        <f t="shared" si="116"/>
        <v>7.9000000000000008E-3</v>
      </c>
      <c r="BM221" s="31" t="s">
        <v>197</v>
      </c>
      <c r="BN221" s="168">
        <f t="shared" si="100"/>
        <v>39845</v>
      </c>
      <c r="BO221" s="37">
        <v>0</v>
      </c>
      <c r="BP221" s="278">
        <f t="shared" si="95"/>
        <v>0</v>
      </c>
      <c r="BQ221" s="312">
        <f t="shared" si="103"/>
        <v>1.1656213848043593</v>
      </c>
      <c r="BS221" s="31" t="s">
        <v>43</v>
      </c>
      <c r="BT221" s="159">
        <f t="shared" si="118"/>
        <v>39845</v>
      </c>
      <c r="BU221" s="162">
        <f t="shared" si="119"/>
        <v>8.6E-3</v>
      </c>
      <c r="BV221" s="311">
        <f t="shared" si="104"/>
        <v>1.6657000000000006</v>
      </c>
      <c r="BX221" s="170" t="s">
        <v>43</v>
      </c>
      <c r="BY221" s="159">
        <f t="shared" si="96"/>
        <v>39845</v>
      </c>
      <c r="BZ221" s="162">
        <f t="shared" si="97"/>
        <v>8.6E-3</v>
      </c>
      <c r="CA221" s="162">
        <f t="shared" si="105"/>
        <v>0.95794200000000107</v>
      </c>
      <c r="CF221" s="31" t="s">
        <v>197</v>
      </c>
      <c r="CG221" s="168">
        <f t="shared" si="101"/>
        <v>39845</v>
      </c>
      <c r="CH221" s="37">
        <v>0</v>
      </c>
      <c r="CI221" s="314">
        <f t="shared" si="98"/>
        <v>0</v>
      </c>
      <c r="CJ221" s="312">
        <f t="shared" si="106"/>
        <v>1</v>
      </c>
      <c r="CN221" s="315">
        <f t="shared" si="107"/>
        <v>39845</v>
      </c>
      <c r="CO221" s="312">
        <f t="shared" si="108"/>
        <v>1</v>
      </c>
      <c r="CQ221" s="315">
        <f t="shared" si="109"/>
        <v>39845</v>
      </c>
      <c r="CR221" s="316">
        <f t="shared" si="110"/>
        <v>1.6657000000000006</v>
      </c>
      <c r="CW221" s="655" t="s">
        <v>437</v>
      </c>
    </row>
    <row r="222" spans="2:102" ht="15" customHeight="1">
      <c r="B222" s="163">
        <v>43101</v>
      </c>
      <c r="C222" s="165">
        <v>954</v>
      </c>
      <c r="D222" s="274">
        <f t="shared" si="111"/>
        <v>43101</v>
      </c>
      <c r="E222" s="275">
        <f t="shared" si="112"/>
        <v>954</v>
      </c>
      <c r="G222" s="163">
        <v>43466</v>
      </c>
      <c r="H222" s="163">
        <v>43497</v>
      </c>
      <c r="I222" s="164">
        <v>0</v>
      </c>
      <c r="J222" s="159">
        <f t="shared" si="113"/>
        <v>43497</v>
      </c>
      <c r="K222" s="278">
        <f t="shared" si="114"/>
        <v>0</v>
      </c>
      <c r="M222" s="163">
        <v>41609</v>
      </c>
      <c r="N222" s="163">
        <v>41640</v>
      </c>
      <c r="O222" s="164">
        <v>5.0000000000000001E-3</v>
      </c>
      <c r="P222" s="159">
        <f t="shared" si="102"/>
        <v>41609</v>
      </c>
      <c r="Q222" s="292">
        <f t="shared" si="99"/>
        <v>5.0000000000000001E-3</v>
      </c>
      <c r="S222" s="163">
        <v>41640</v>
      </c>
      <c r="T222" s="164">
        <v>8.5000000000000006E-3</v>
      </c>
      <c r="U222" s="159">
        <f t="shared" si="115"/>
        <v>41640</v>
      </c>
      <c r="V222" s="285">
        <f t="shared" si="116"/>
        <v>8.5000000000000006E-3</v>
      </c>
      <c r="BM222" s="31" t="s">
        <v>197</v>
      </c>
      <c r="BN222" s="168">
        <f t="shared" si="100"/>
        <v>39873</v>
      </c>
      <c r="BO222" s="37">
        <v>0</v>
      </c>
      <c r="BP222" s="278">
        <f t="shared" si="95"/>
        <v>0</v>
      </c>
      <c r="BQ222" s="312">
        <f t="shared" si="103"/>
        <v>1.1656213848043593</v>
      </c>
      <c r="BS222" s="31" t="s">
        <v>43</v>
      </c>
      <c r="BT222" s="159">
        <f t="shared" si="118"/>
        <v>39873</v>
      </c>
      <c r="BU222" s="162">
        <f t="shared" si="119"/>
        <v>9.7000000000000003E-3</v>
      </c>
      <c r="BV222" s="311">
        <f t="shared" si="104"/>
        <v>1.6571000000000007</v>
      </c>
      <c r="BX222" s="170" t="s">
        <v>43</v>
      </c>
      <c r="BY222" s="159">
        <f t="shared" si="96"/>
        <v>39873</v>
      </c>
      <c r="BZ222" s="162">
        <f t="shared" si="97"/>
        <v>9.7000000000000003E-3</v>
      </c>
      <c r="CA222" s="162">
        <f t="shared" si="105"/>
        <v>0.94934200000000102</v>
      </c>
      <c r="CF222" s="31" t="s">
        <v>197</v>
      </c>
      <c r="CG222" s="168">
        <f t="shared" si="101"/>
        <v>39873</v>
      </c>
      <c r="CH222" s="37">
        <v>0</v>
      </c>
      <c r="CI222" s="314">
        <f t="shared" si="98"/>
        <v>0</v>
      </c>
      <c r="CJ222" s="312">
        <f t="shared" si="106"/>
        <v>1</v>
      </c>
      <c r="CN222" s="315">
        <f t="shared" si="107"/>
        <v>39873</v>
      </c>
      <c r="CO222" s="312">
        <f t="shared" si="108"/>
        <v>1</v>
      </c>
      <c r="CQ222" s="315">
        <f t="shared" si="109"/>
        <v>39873</v>
      </c>
      <c r="CR222" s="316">
        <f t="shared" si="110"/>
        <v>1.6571000000000007</v>
      </c>
      <c r="CW222"/>
    </row>
    <row r="223" spans="2:102" ht="15" customHeight="1">
      <c r="B223" s="163">
        <v>43132</v>
      </c>
      <c r="C223" s="165">
        <v>954</v>
      </c>
      <c r="D223" s="274">
        <f t="shared" si="111"/>
        <v>43132</v>
      </c>
      <c r="E223" s="275">
        <f t="shared" si="112"/>
        <v>954</v>
      </c>
      <c r="G223" s="163">
        <v>43497</v>
      </c>
      <c r="H223" s="163">
        <v>43525</v>
      </c>
      <c r="I223" s="164">
        <v>0</v>
      </c>
      <c r="J223" s="159">
        <f t="shared" si="113"/>
        <v>43525</v>
      </c>
      <c r="K223" s="278">
        <f t="shared" si="114"/>
        <v>0</v>
      </c>
      <c r="M223" s="163">
        <v>41640</v>
      </c>
      <c r="N223" s="163">
        <v>41671</v>
      </c>
      <c r="O223" s="164">
        <v>5.0000000000000001E-3</v>
      </c>
      <c r="P223" s="159">
        <f t="shared" si="102"/>
        <v>41640</v>
      </c>
      <c r="Q223" s="292">
        <f t="shared" si="99"/>
        <v>5.0000000000000001E-3</v>
      </c>
      <c r="S223" s="163">
        <v>41671</v>
      </c>
      <c r="T223" s="164">
        <v>7.9000000000000008E-3</v>
      </c>
      <c r="U223" s="159">
        <f t="shared" si="115"/>
        <v>41671</v>
      </c>
      <c r="V223" s="285">
        <f t="shared" si="116"/>
        <v>7.9000000000000008E-3</v>
      </c>
      <c r="BM223" s="31" t="s">
        <v>197</v>
      </c>
      <c r="BN223" s="168">
        <f t="shared" si="100"/>
        <v>39904</v>
      </c>
      <c r="BO223" s="37">
        <v>0</v>
      </c>
      <c r="BP223" s="278">
        <f t="shared" si="95"/>
        <v>0</v>
      </c>
      <c r="BQ223" s="312">
        <f t="shared" si="103"/>
        <v>1.1656213848043593</v>
      </c>
      <c r="BS223" s="31" t="s">
        <v>43</v>
      </c>
      <c r="BT223" s="159">
        <f t="shared" si="118"/>
        <v>39904</v>
      </c>
      <c r="BU223" s="162">
        <f t="shared" si="119"/>
        <v>8.3999999999999995E-3</v>
      </c>
      <c r="BV223" s="311">
        <f t="shared" si="104"/>
        <v>1.6474000000000006</v>
      </c>
      <c r="BX223" s="170" t="s">
        <v>43</v>
      </c>
      <c r="BY223" s="159">
        <f t="shared" si="96"/>
        <v>39904</v>
      </c>
      <c r="BZ223" s="162">
        <f t="shared" si="97"/>
        <v>8.3999999999999995E-3</v>
      </c>
      <c r="CA223" s="162">
        <f t="shared" si="105"/>
        <v>0.93964200000000098</v>
      </c>
      <c r="CB223" s="42"/>
      <c r="CF223" s="31" t="s">
        <v>197</v>
      </c>
      <c r="CG223" s="168">
        <f t="shared" si="101"/>
        <v>39904</v>
      </c>
      <c r="CH223" s="37">
        <v>0</v>
      </c>
      <c r="CI223" s="314">
        <f t="shared" si="98"/>
        <v>0</v>
      </c>
      <c r="CJ223" s="312">
        <f t="shared" si="106"/>
        <v>1</v>
      </c>
      <c r="CN223" s="315">
        <f t="shared" si="107"/>
        <v>39904</v>
      </c>
      <c r="CO223" s="312">
        <f t="shared" si="108"/>
        <v>1</v>
      </c>
      <c r="CQ223" s="315">
        <f t="shared" si="109"/>
        <v>39904</v>
      </c>
      <c r="CR223" s="316">
        <f t="shared" si="110"/>
        <v>1.6474000000000006</v>
      </c>
      <c r="CW223" s="661" t="s">
        <v>438</v>
      </c>
    </row>
    <row r="224" spans="2:102" ht="15" customHeight="1">
      <c r="B224" s="163">
        <v>43160</v>
      </c>
      <c r="C224" s="165">
        <v>954</v>
      </c>
      <c r="D224" s="274">
        <f t="shared" si="111"/>
        <v>43160</v>
      </c>
      <c r="E224" s="275">
        <f t="shared" si="112"/>
        <v>954</v>
      </c>
      <c r="G224" s="163">
        <v>43525</v>
      </c>
      <c r="H224" s="163">
        <v>43556</v>
      </c>
      <c r="I224" s="164">
        <v>0</v>
      </c>
      <c r="J224" s="159">
        <f t="shared" si="113"/>
        <v>43556</v>
      </c>
      <c r="K224" s="278">
        <f t="shared" si="114"/>
        <v>0</v>
      </c>
      <c r="M224" s="163">
        <v>41671</v>
      </c>
      <c r="N224" s="163">
        <v>41699</v>
      </c>
      <c r="O224" s="164">
        <v>5.0000000000000001E-3</v>
      </c>
      <c r="P224" s="159">
        <f t="shared" si="102"/>
        <v>41671</v>
      </c>
      <c r="Q224" s="292">
        <f t="shared" si="99"/>
        <v>5.0000000000000001E-3</v>
      </c>
      <c r="S224" s="163">
        <v>41699</v>
      </c>
      <c r="T224" s="164">
        <v>7.7000000000000002E-3</v>
      </c>
      <c r="U224" s="159">
        <f t="shared" si="115"/>
        <v>41699</v>
      </c>
      <c r="V224" s="285">
        <f t="shared" si="116"/>
        <v>7.7000000000000002E-3</v>
      </c>
      <c r="BM224" s="31" t="s">
        <v>197</v>
      </c>
      <c r="BN224" s="168">
        <f t="shared" si="100"/>
        <v>39934</v>
      </c>
      <c r="BO224" s="37">
        <v>0</v>
      </c>
      <c r="BP224" s="278">
        <f t="shared" si="95"/>
        <v>0</v>
      </c>
      <c r="BQ224" s="312">
        <f t="shared" si="103"/>
        <v>1.1656213848043593</v>
      </c>
      <c r="BS224" s="31" t="s">
        <v>43</v>
      </c>
      <c r="BT224" s="159">
        <f t="shared" si="118"/>
        <v>39934</v>
      </c>
      <c r="BU224" s="162">
        <f t="shared" si="119"/>
        <v>7.7000000000000002E-3</v>
      </c>
      <c r="BV224" s="311">
        <f t="shared" si="104"/>
        <v>1.6390000000000007</v>
      </c>
      <c r="BX224" s="170" t="s">
        <v>43</v>
      </c>
      <c r="BY224" s="159">
        <f t="shared" si="96"/>
        <v>39934</v>
      </c>
      <c r="BZ224" s="162">
        <f t="shared" si="97"/>
        <v>7.7000000000000002E-3</v>
      </c>
      <c r="CA224" s="162">
        <f t="shared" si="105"/>
        <v>0.93124200000000101</v>
      </c>
      <c r="CB224" s="42"/>
      <c r="CF224" s="31" t="s">
        <v>197</v>
      </c>
      <c r="CG224" s="168">
        <f t="shared" si="101"/>
        <v>39934</v>
      </c>
      <c r="CH224" s="37">
        <v>0</v>
      </c>
      <c r="CI224" s="314">
        <f t="shared" si="98"/>
        <v>0</v>
      </c>
      <c r="CJ224" s="312">
        <f t="shared" si="106"/>
        <v>1</v>
      </c>
      <c r="CN224" s="315">
        <f t="shared" si="107"/>
        <v>39934</v>
      </c>
      <c r="CO224" s="312">
        <f t="shared" si="108"/>
        <v>1</v>
      </c>
      <c r="CQ224" s="315">
        <f t="shared" si="109"/>
        <v>39934</v>
      </c>
      <c r="CR224" s="316">
        <f t="shared" si="110"/>
        <v>1.6390000000000007</v>
      </c>
      <c r="CW224" s="655" t="s">
        <v>439</v>
      </c>
    </row>
    <row r="225" spans="2:101" ht="15" customHeight="1">
      <c r="B225" s="163">
        <v>43191</v>
      </c>
      <c r="C225" s="165">
        <v>954</v>
      </c>
      <c r="D225" s="274">
        <f t="shared" si="111"/>
        <v>43191</v>
      </c>
      <c r="E225" s="275">
        <f t="shared" si="112"/>
        <v>954</v>
      </c>
      <c r="G225" s="163">
        <v>43556</v>
      </c>
      <c r="H225" s="163">
        <v>43586</v>
      </c>
      <c r="I225" s="164">
        <v>0</v>
      </c>
      <c r="J225" s="159">
        <f t="shared" si="113"/>
        <v>43586</v>
      </c>
      <c r="K225" s="278">
        <f t="shared" si="114"/>
        <v>0</v>
      </c>
      <c r="M225" s="163">
        <v>41699</v>
      </c>
      <c r="N225" s="163">
        <v>41730</v>
      </c>
      <c r="O225" s="164">
        <v>5.0000000000000001E-3</v>
      </c>
      <c r="P225" s="159">
        <f t="shared" si="102"/>
        <v>41699</v>
      </c>
      <c r="Q225" s="292">
        <f t="shared" si="99"/>
        <v>5.0000000000000001E-3</v>
      </c>
      <c r="S225" s="163">
        <v>41730</v>
      </c>
      <c r="T225" s="164">
        <v>8.2000000000000007E-3</v>
      </c>
      <c r="U225" s="159">
        <f t="shared" si="115"/>
        <v>41730</v>
      </c>
      <c r="V225" s="285">
        <f t="shared" si="116"/>
        <v>8.2000000000000007E-3</v>
      </c>
      <c r="BM225" s="31" t="s">
        <v>197</v>
      </c>
      <c r="BN225" s="168">
        <f t="shared" si="100"/>
        <v>39965</v>
      </c>
      <c r="BO225" s="37">
        <v>0</v>
      </c>
      <c r="BP225" s="278">
        <f t="shared" si="95"/>
        <v>0</v>
      </c>
      <c r="BQ225" s="312">
        <f t="shared" si="103"/>
        <v>1.1656213848043593</v>
      </c>
      <c r="BS225" s="31" t="s">
        <v>43</v>
      </c>
      <c r="BT225" s="159">
        <f t="shared" si="118"/>
        <v>39965</v>
      </c>
      <c r="BU225" s="162">
        <f t="shared" si="119"/>
        <v>7.6E-3</v>
      </c>
      <c r="BV225" s="311">
        <f t="shared" si="104"/>
        <v>1.6313000000000006</v>
      </c>
      <c r="BX225" s="170" t="s">
        <v>43</v>
      </c>
      <c r="BY225" s="159">
        <f t="shared" si="96"/>
        <v>39965</v>
      </c>
      <c r="BZ225" s="162">
        <f>BU225</f>
        <v>7.6E-3</v>
      </c>
      <c r="CA225" s="162">
        <f t="shared" si="105"/>
        <v>0.92354200000000097</v>
      </c>
      <c r="CB225" s="42"/>
      <c r="CF225" s="31" t="s">
        <v>197</v>
      </c>
      <c r="CG225" s="168">
        <f t="shared" si="101"/>
        <v>39965</v>
      </c>
      <c r="CH225" s="37">
        <v>0</v>
      </c>
      <c r="CI225" s="314">
        <f t="shared" si="98"/>
        <v>0</v>
      </c>
      <c r="CJ225" s="312">
        <f t="shared" si="106"/>
        <v>1</v>
      </c>
      <c r="CN225" s="315">
        <f t="shared" si="107"/>
        <v>39965</v>
      </c>
      <c r="CO225" s="312">
        <f t="shared" si="108"/>
        <v>1</v>
      </c>
      <c r="CQ225" s="315">
        <f t="shared" si="109"/>
        <v>39965</v>
      </c>
      <c r="CR225" s="316">
        <f t="shared" si="110"/>
        <v>1.6313000000000006</v>
      </c>
      <c r="CW225"/>
    </row>
    <row r="226" spans="2:101" ht="15" customHeight="1">
      <c r="B226" s="163">
        <v>43221</v>
      </c>
      <c r="C226" s="165">
        <v>954</v>
      </c>
      <c r="D226" s="274">
        <f t="shared" si="111"/>
        <v>43221</v>
      </c>
      <c r="E226" s="275">
        <f t="shared" si="112"/>
        <v>954</v>
      </c>
      <c r="G226" s="163">
        <v>43586</v>
      </c>
      <c r="H226" s="163">
        <v>43617</v>
      </c>
      <c r="I226" s="164">
        <v>0</v>
      </c>
      <c r="J226" s="159">
        <f t="shared" si="113"/>
        <v>43617</v>
      </c>
      <c r="K226" s="278">
        <f t="shared" si="114"/>
        <v>0</v>
      </c>
      <c r="M226" s="163">
        <v>41730</v>
      </c>
      <c r="N226" s="163">
        <v>41760</v>
      </c>
      <c r="O226" s="164">
        <v>5.0000000000000001E-3</v>
      </c>
      <c r="P226" s="159">
        <f t="shared" si="102"/>
        <v>41730</v>
      </c>
      <c r="Q226" s="292">
        <f t="shared" si="99"/>
        <v>5.0000000000000001E-3</v>
      </c>
      <c r="S226" s="163">
        <v>41760</v>
      </c>
      <c r="T226" s="164">
        <v>8.6999999999999994E-3</v>
      </c>
      <c r="U226" s="159">
        <f t="shared" si="115"/>
        <v>41760</v>
      </c>
      <c r="V226" s="285">
        <f t="shared" si="116"/>
        <v>8.6999999999999994E-3</v>
      </c>
      <c r="BM226" s="31" t="s">
        <v>198</v>
      </c>
      <c r="BN226" s="159">
        <f t="shared" ref="BN226:BN289" si="120">J107</f>
        <v>39995</v>
      </c>
      <c r="BO226" s="162">
        <f t="shared" ref="BO226:BO289" si="121">K107</f>
        <v>6.5600000000000001E-4</v>
      </c>
      <c r="BP226" s="278">
        <f t="shared" si="95"/>
        <v>6.5600000000000001E-4</v>
      </c>
      <c r="BQ226" s="312">
        <f t="shared" si="103"/>
        <v>1.1656213848043593</v>
      </c>
      <c r="BS226" s="31" t="s">
        <v>43</v>
      </c>
      <c r="BT226" s="159">
        <f t="shared" si="118"/>
        <v>39995</v>
      </c>
      <c r="BU226" s="162">
        <f t="shared" si="119"/>
        <v>7.9000000000000008E-3</v>
      </c>
      <c r="BV226" s="311">
        <f t="shared" si="104"/>
        <v>1.6237000000000006</v>
      </c>
      <c r="BX226" s="358" t="s">
        <v>242</v>
      </c>
      <c r="BY226" s="294">
        <f>P169</f>
        <v>39995</v>
      </c>
      <c r="BZ226" s="357">
        <f>Q169</f>
        <v>5.0000000000000001E-3</v>
      </c>
      <c r="CA226" s="162">
        <f t="shared" si="105"/>
        <v>0.91594200000000092</v>
      </c>
      <c r="CB226" s="42"/>
      <c r="CF226" s="31" t="s">
        <v>197</v>
      </c>
      <c r="CG226" s="168">
        <f t="shared" si="101"/>
        <v>39995</v>
      </c>
      <c r="CH226" s="37">
        <v>0</v>
      </c>
      <c r="CI226" s="314">
        <f t="shared" si="98"/>
        <v>0</v>
      </c>
      <c r="CJ226" s="312">
        <f t="shared" si="106"/>
        <v>1</v>
      </c>
      <c r="CN226" s="315">
        <f t="shared" si="107"/>
        <v>39995</v>
      </c>
      <c r="CO226" s="312">
        <f t="shared" si="108"/>
        <v>1</v>
      </c>
      <c r="CQ226" s="315">
        <f t="shared" si="109"/>
        <v>39995</v>
      </c>
      <c r="CR226" s="316">
        <f t="shared" si="110"/>
        <v>1.6237000000000006</v>
      </c>
      <c r="CW226" s="661" t="s">
        <v>438</v>
      </c>
    </row>
    <row r="227" spans="2:101" ht="15" customHeight="1">
      <c r="B227" s="163">
        <v>43252</v>
      </c>
      <c r="C227" s="165">
        <v>954</v>
      </c>
      <c r="D227" s="274">
        <f t="shared" si="111"/>
        <v>43252</v>
      </c>
      <c r="E227" s="275">
        <f t="shared" si="112"/>
        <v>954</v>
      </c>
      <c r="G227" s="163">
        <v>43617</v>
      </c>
      <c r="H227" s="163">
        <v>43647</v>
      </c>
      <c r="I227" s="164">
        <v>0</v>
      </c>
      <c r="J227" s="159">
        <f t="shared" si="113"/>
        <v>43647</v>
      </c>
      <c r="K227" s="278">
        <f t="shared" si="114"/>
        <v>0</v>
      </c>
      <c r="M227" s="163">
        <v>41760</v>
      </c>
      <c r="N227" s="163">
        <v>41791</v>
      </c>
      <c r="O227" s="164">
        <v>5.0000000000000001E-3</v>
      </c>
      <c r="P227" s="159">
        <f t="shared" si="102"/>
        <v>41760</v>
      </c>
      <c r="Q227" s="292">
        <f t="shared" si="99"/>
        <v>5.0000000000000001E-3</v>
      </c>
      <c r="S227" s="163">
        <v>41791</v>
      </c>
      <c r="T227" s="164">
        <v>8.2000000000000007E-3</v>
      </c>
      <c r="U227" s="159">
        <f t="shared" si="115"/>
        <v>41791</v>
      </c>
      <c r="V227" s="285">
        <f t="shared" si="116"/>
        <v>8.2000000000000007E-3</v>
      </c>
      <c r="BM227" s="31" t="s">
        <v>198</v>
      </c>
      <c r="BN227" s="159">
        <f t="shared" si="120"/>
        <v>40026</v>
      </c>
      <c r="BO227" s="162">
        <f t="shared" si="121"/>
        <v>1.0510000000000001E-3</v>
      </c>
      <c r="BP227" s="278">
        <f t="shared" si="95"/>
        <v>1.0510000000000001E-3</v>
      </c>
      <c r="BQ227" s="312">
        <f t="shared" si="103"/>
        <v>1.1648572384559321</v>
      </c>
      <c r="BS227" s="31" t="s">
        <v>43</v>
      </c>
      <c r="BT227" s="159">
        <f t="shared" si="118"/>
        <v>40026</v>
      </c>
      <c r="BU227" s="162">
        <f t="shared" si="119"/>
        <v>6.8999999999999999E-3</v>
      </c>
      <c r="BV227" s="311">
        <f t="shared" si="104"/>
        <v>1.6158000000000006</v>
      </c>
      <c r="BX227" s="358" t="s">
        <v>242</v>
      </c>
      <c r="BY227" s="294">
        <f t="shared" ref="BY227:BY290" si="122">P170</f>
        <v>40026</v>
      </c>
      <c r="BZ227" s="357">
        <f t="shared" ref="BZ227:BZ290" si="123">Q170</f>
        <v>5.0000000000000001E-3</v>
      </c>
      <c r="CA227" s="162">
        <f t="shared" si="105"/>
        <v>0.91094200000000092</v>
      </c>
      <c r="CB227" s="42"/>
      <c r="CF227" s="31" t="s">
        <v>197</v>
      </c>
      <c r="CG227" s="168">
        <f t="shared" si="101"/>
        <v>40026</v>
      </c>
      <c r="CH227" s="37">
        <v>0</v>
      </c>
      <c r="CI227" s="314">
        <f t="shared" si="98"/>
        <v>0</v>
      </c>
      <c r="CJ227" s="312">
        <f t="shared" si="106"/>
        <v>1</v>
      </c>
      <c r="CN227" s="315">
        <f t="shared" si="107"/>
        <v>40026</v>
      </c>
      <c r="CO227" s="312">
        <f t="shared" si="108"/>
        <v>1</v>
      </c>
      <c r="CQ227" s="315">
        <f t="shared" si="109"/>
        <v>40026</v>
      </c>
      <c r="CR227" s="316">
        <f t="shared" si="110"/>
        <v>1.6158000000000006</v>
      </c>
      <c r="CW227" s="655" t="s">
        <v>440</v>
      </c>
    </row>
    <row r="228" spans="2:101" ht="15" customHeight="1">
      <c r="B228" s="163">
        <v>43282</v>
      </c>
      <c r="C228" s="165">
        <v>954</v>
      </c>
      <c r="D228" s="274">
        <f t="shared" si="111"/>
        <v>43282</v>
      </c>
      <c r="E228" s="275">
        <f t="shared" si="112"/>
        <v>954</v>
      </c>
      <c r="G228" s="163">
        <v>43647</v>
      </c>
      <c r="H228" s="163">
        <v>43678</v>
      </c>
      <c r="I228" s="164">
        <v>0</v>
      </c>
      <c r="J228" s="159">
        <f t="shared" si="113"/>
        <v>43678</v>
      </c>
      <c r="K228" s="278">
        <f t="shared" si="114"/>
        <v>0</v>
      </c>
      <c r="M228" s="163">
        <v>41791</v>
      </c>
      <c r="N228" s="163">
        <v>41821</v>
      </c>
      <c r="O228" s="164">
        <v>5.0000000000000001E-3</v>
      </c>
      <c r="P228" s="159">
        <f t="shared" si="102"/>
        <v>41791</v>
      </c>
      <c r="Q228" s="292">
        <f t="shared" si="99"/>
        <v>5.0000000000000001E-3</v>
      </c>
      <c r="S228" s="163">
        <v>41821</v>
      </c>
      <c r="T228" s="164">
        <v>9.4999999999999998E-3</v>
      </c>
      <c r="U228" s="159">
        <f t="shared" si="115"/>
        <v>41821</v>
      </c>
      <c r="V228" s="285">
        <f t="shared" si="116"/>
        <v>9.4999999999999998E-3</v>
      </c>
      <c r="BM228" s="31" t="s">
        <v>198</v>
      </c>
      <c r="BN228" s="159">
        <f t="shared" si="120"/>
        <v>40057</v>
      </c>
      <c r="BO228" s="162">
        <f t="shared" si="121"/>
        <v>1.9699999999999999E-4</v>
      </c>
      <c r="BP228" s="278">
        <f t="shared" si="95"/>
        <v>1.9699999999999999E-4</v>
      </c>
      <c r="BQ228" s="312">
        <f t="shared" si="103"/>
        <v>1.1636342588498809</v>
      </c>
      <c r="BS228" s="31" t="s">
        <v>43</v>
      </c>
      <c r="BT228" s="159">
        <f t="shared" si="118"/>
        <v>40057</v>
      </c>
      <c r="BU228" s="162">
        <f t="shared" si="119"/>
        <v>6.8999999999999999E-3</v>
      </c>
      <c r="BV228" s="311">
        <f t="shared" si="104"/>
        <v>1.6089000000000007</v>
      </c>
      <c r="BX228" s="358" t="s">
        <v>242</v>
      </c>
      <c r="BY228" s="294">
        <f t="shared" si="122"/>
        <v>40057</v>
      </c>
      <c r="BZ228" s="357">
        <f t="shared" si="123"/>
        <v>5.0000000000000001E-3</v>
      </c>
      <c r="CA228" s="162">
        <f t="shared" si="105"/>
        <v>0.90594200000000091</v>
      </c>
      <c r="CB228" s="42"/>
      <c r="CF228" s="31" t="s">
        <v>197</v>
      </c>
      <c r="CG228" s="168">
        <f t="shared" si="101"/>
        <v>40057</v>
      </c>
      <c r="CH228" s="37">
        <v>0</v>
      </c>
      <c r="CI228" s="314">
        <f t="shared" si="98"/>
        <v>0</v>
      </c>
      <c r="CJ228" s="312">
        <f t="shared" si="106"/>
        <v>1</v>
      </c>
      <c r="CN228" s="315">
        <f t="shared" si="107"/>
        <v>40057</v>
      </c>
      <c r="CO228" s="312">
        <f t="shared" si="108"/>
        <v>1</v>
      </c>
      <c r="CQ228" s="315">
        <f t="shared" si="109"/>
        <v>40057</v>
      </c>
      <c r="CR228" s="316">
        <f t="shared" si="110"/>
        <v>1.6089000000000007</v>
      </c>
      <c r="CW228"/>
    </row>
    <row r="229" spans="2:101" ht="15" customHeight="1">
      <c r="B229" s="163">
        <v>43313</v>
      </c>
      <c r="C229" s="165">
        <v>954</v>
      </c>
      <c r="D229" s="274">
        <f t="shared" si="111"/>
        <v>43313</v>
      </c>
      <c r="E229" s="275">
        <f t="shared" si="112"/>
        <v>954</v>
      </c>
      <c r="G229" s="163">
        <v>43678</v>
      </c>
      <c r="H229" s="163">
        <v>43709</v>
      </c>
      <c r="I229" s="164">
        <v>0</v>
      </c>
      <c r="J229" s="159">
        <f t="shared" si="113"/>
        <v>43709</v>
      </c>
      <c r="K229" s="278">
        <f t="shared" si="114"/>
        <v>0</v>
      </c>
      <c r="M229" s="163">
        <v>41821</v>
      </c>
      <c r="N229" s="163">
        <v>41852</v>
      </c>
      <c r="O229" s="164">
        <v>5.0000000000000001E-3</v>
      </c>
      <c r="P229" s="159">
        <f t="shared" si="102"/>
        <v>41821</v>
      </c>
      <c r="Q229" s="292">
        <f t="shared" si="99"/>
        <v>5.0000000000000001E-3</v>
      </c>
      <c r="S229" s="163">
        <v>41852</v>
      </c>
      <c r="T229" s="164">
        <v>8.6999999999999994E-3</v>
      </c>
      <c r="U229" s="159">
        <f t="shared" si="115"/>
        <v>41852</v>
      </c>
      <c r="V229" s="285">
        <f t="shared" si="116"/>
        <v>8.6999999999999994E-3</v>
      </c>
      <c r="BM229" s="31" t="s">
        <v>198</v>
      </c>
      <c r="BN229" s="159">
        <f t="shared" si="120"/>
        <v>40087</v>
      </c>
      <c r="BO229" s="162">
        <f t="shared" si="121"/>
        <v>0</v>
      </c>
      <c r="BP229" s="278">
        <f t="shared" si="95"/>
        <v>0</v>
      </c>
      <c r="BQ229" s="312">
        <f t="shared" si="103"/>
        <v>1.1634050680514747</v>
      </c>
      <c r="BS229" s="31" t="s">
        <v>43</v>
      </c>
      <c r="BT229" s="159">
        <f t="shared" si="118"/>
        <v>40087</v>
      </c>
      <c r="BU229" s="162">
        <f t="shared" si="119"/>
        <v>6.8999999999999999E-3</v>
      </c>
      <c r="BV229" s="311">
        <f t="shared" si="104"/>
        <v>1.6020000000000008</v>
      </c>
      <c r="BX229" s="358" t="s">
        <v>242</v>
      </c>
      <c r="BY229" s="294">
        <f t="shared" si="122"/>
        <v>40087</v>
      </c>
      <c r="BZ229" s="357">
        <f t="shared" si="123"/>
        <v>5.0000000000000001E-3</v>
      </c>
      <c r="CA229" s="162">
        <f t="shared" si="105"/>
        <v>0.90094200000000091</v>
      </c>
      <c r="CB229" s="42"/>
      <c r="CF229" s="31" t="s">
        <v>197</v>
      </c>
      <c r="CG229" s="168">
        <f t="shared" si="101"/>
        <v>40087</v>
      </c>
      <c r="CH229" s="37">
        <v>0</v>
      </c>
      <c r="CI229" s="314">
        <f t="shared" si="98"/>
        <v>0</v>
      </c>
      <c r="CJ229" s="312">
        <f t="shared" si="106"/>
        <v>1</v>
      </c>
      <c r="CN229" s="315">
        <f t="shared" si="107"/>
        <v>40087</v>
      </c>
      <c r="CO229" s="312">
        <f t="shared" si="108"/>
        <v>1</v>
      </c>
      <c r="CQ229" s="315">
        <f t="shared" si="109"/>
        <v>40087</v>
      </c>
      <c r="CR229" s="316">
        <f t="shared" si="110"/>
        <v>1.6020000000000008</v>
      </c>
      <c r="CW229" s="661" t="s">
        <v>441</v>
      </c>
    </row>
    <row r="230" spans="2:101" ht="15" customHeight="1">
      <c r="B230" s="163">
        <v>43344</v>
      </c>
      <c r="C230" s="165">
        <v>954</v>
      </c>
      <c r="D230" s="274">
        <f t="shared" si="111"/>
        <v>43344</v>
      </c>
      <c r="E230" s="275">
        <f t="shared" si="112"/>
        <v>954</v>
      </c>
      <c r="G230" s="163">
        <v>43709</v>
      </c>
      <c r="H230" s="163">
        <v>43739</v>
      </c>
      <c r="I230" s="164">
        <v>0</v>
      </c>
      <c r="J230" s="159">
        <f t="shared" si="113"/>
        <v>43739</v>
      </c>
      <c r="K230" s="278">
        <f t="shared" si="114"/>
        <v>0</v>
      </c>
      <c r="M230" s="163">
        <v>41852</v>
      </c>
      <c r="N230" s="163">
        <v>41883</v>
      </c>
      <c r="O230" s="164">
        <v>5.0000000000000001E-3</v>
      </c>
      <c r="P230" s="159">
        <f t="shared" si="102"/>
        <v>41852</v>
      </c>
      <c r="Q230" s="292">
        <f t="shared" si="99"/>
        <v>5.0000000000000001E-3</v>
      </c>
      <c r="S230" s="163">
        <v>41883</v>
      </c>
      <c r="T230" s="164">
        <v>9.1000000000000004E-3</v>
      </c>
      <c r="U230" s="159">
        <f t="shared" si="115"/>
        <v>41883</v>
      </c>
      <c r="V230" s="285">
        <f t="shared" si="116"/>
        <v>9.1000000000000004E-3</v>
      </c>
      <c r="BM230" s="31" t="s">
        <v>198</v>
      </c>
      <c r="BN230" s="159">
        <f t="shared" si="120"/>
        <v>40118</v>
      </c>
      <c r="BO230" s="162">
        <f t="shared" si="121"/>
        <v>0</v>
      </c>
      <c r="BP230" s="278">
        <f t="shared" si="95"/>
        <v>0</v>
      </c>
      <c r="BQ230" s="312">
        <f t="shared" si="103"/>
        <v>1.1634050680514747</v>
      </c>
      <c r="BS230" s="31" t="s">
        <v>43</v>
      </c>
      <c r="BT230" s="159">
        <f t="shared" si="118"/>
        <v>40118</v>
      </c>
      <c r="BU230" s="162">
        <f t="shared" si="119"/>
        <v>6.6E-3</v>
      </c>
      <c r="BV230" s="311">
        <f t="shared" si="104"/>
        <v>1.5951000000000009</v>
      </c>
      <c r="BX230" s="358" t="s">
        <v>242</v>
      </c>
      <c r="BY230" s="294">
        <f t="shared" si="122"/>
        <v>40118</v>
      </c>
      <c r="BZ230" s="357">
        <f t="shared" si="123"/>
        <v>5.0000000000000001E-3</v>
      </c>
      <c r="CA230" s="162">
        <f t="shared" si="105"/>
        <v>0.8959420000000009</v>
      </c>
      <c r="CB230" s="42"/>
      <c r="CF230" s="31" t="s">
        <v>197</v>
      </c>
      <c r="CG230" s="168">
        <f t="shared" si="101"/>
        <v>40118</v>
      </c>
      <c r="CH230" s="37">
        <v>0</v>
      </c>
      <c r="CI230" s="314">
        <f t="shared" si="98"/>
        <v>0</v>
      </c>
      <c r="CJ230" s="312">
        <f t="shared" si="106"/>
        <v>1</v>
      </c>
      <c r="CN230" s="315">
        <f t="shared" si="107"/>
        <v>40118</v>
      </c>
      <c r="CO230" s="312">
        <f t="shared" si="108"/>
        <v>1</v>
      </c>
      <c r="CQ230" s="315">
        <f t="shared" si="109"/>
        <v>40118</v>
      </c>
      <c r="CR230" s="316">
        <f t="shared" si="110"/>
        <v>1.5951000000000009</v>
      </c>
      <c r="CW230" s="655" t="s">
        <v>442</v>
      </c>
    </row>
    <row r="231" spans="2:101" ht="15" customHeight="1">
      <c r="B231" s="163">
        <v>43374</v>
      </c>
      <c r="C231" s="165">
        <v>954</v>
      </c>
      <c r="D231" s="274">
        <f t="shared" si="111"/>
        <v>43374</v>
      </c>
      <c r="E231" s="275">
        <f t="shared" si="112"/>
        <v>954</v>
      </c>
      <c r="G231" s="163">
        <v>43739</v>
      </c>
      <c r="H231" s="163">
        <v>43770</v>
      </c>
      <c r="I231" s="164">
        <v>0</v>
      </c>
      <c r="J231" s="159">
        <f t="shared" si="113"/>
        <v>43770</v>
      </c>
      <c r="K231" s="278">
        <f t="shared" si="114"/>
        <v>0</v>
      </c>
      <c r="M231" s="163">
        <v>41883</v>
      </c>
      <c r="N231" s="163">
        <v>41913</v>
      </c>
      <c r="O231" s="164">
        <v>5.0000000000000001E-3</v>
      </c>
      <c r="P231" s="159">
        <f t="shared" si="102"/>
        <v>41883</v>
      </c>
      <c r="Q231" s="292">
        <f t="shared" si="99"/>
        <v>5.0000000000000001E-3</v>
      </c>
      <c r="S231" s="163">
        <v>41913</v>
      </c>
      <c r="T231" s="164">
        <v>9.4999999999999998E-3</v>
      </c>
      <c r="U231" s="159">
        <f t="shared" si="115"/>
        <v>41913</v>
      </c>
      <c r="V231" s="285">
        <f t="shared" si="116"/>
        <v>9.4999999999999998E-3</v>
      </c>
      <c r="BM231" s="31" t="s">
        <v>198</v>
      </c>
      <c r="BN231" s="159">
        <f t="shared" si="120"/>
        <v>40148</v>
      </c>
      <c r="BO231" s="162">
        <f t="shared" si="121"/>
        <v>0</v>
      </c>
      <c r="BP231" s="278">
        <f t="shared" si="95"/>
        <v>0</v>
      </c>
      <c r="BQ231" s="312">
        <f t="shared" si="103"/>
        <v>1.1634050680514747</v>
      </c>
      <c r="BS231" s="31" t="s">
        <v>43</v>
      </c>
      <c r="BT231" s="159">
        <f t="shared" si="118"/>
        <v>40148</v>
      </c>
      <c r="BU231" s="162">
        <f t="shared" si="119"/>
        <v>7.3000000000000001E-3</v>
      </c>
      <c r="BV231" s="311">
        <f t="shared" si="104"/>
        <v>1.5885000000000009</v>
      </c>
      <c r="BX231" s="358" t="s">
        <v>242</v>
      </c>
      <c r="BY231" s="294">
        <f t="shared" si="122"/>
        <v>40148</v>
      </c>
      <c r="BZ231" s="357">
        <f t="shared" si="123"/>
        <v>5.0000000000000001E-3</v>
      </c>
      <c r="CA231" s="162">
        <f t="shared" si="105"/>
        <v>0.8909420000000009</v>
      </c>
      <c r="CB231" s="42"/>
      <c r="CF231" s="31" t="s">
        <v>197</v>
      </c>
      <c r="CG231" s="168">
        <f t="shared" si="101"/>
        <v>40148</v>
      </c>
      <c r="CH231" s="37">
        <v>0</v>
      </c>
      <c r="CI231" s="314">
        <f t="shared" si="98"/>
        <v>0</v>
      </c>
      <c r="CJ231" s="312">
        <f t="shared" si="106"/>
        <v>1</v>
      </c>
      <c r="CN231" s="315">
        <f t="shared" si="107"/>
        <v>40148</v>
      </c>
      <c r="CO231" s="312">
        <f t="shared" si="108"/>
        <v>1</v>
      </c>
      <c r="CQ231" s="315">
        <f t="shared" si="109"/>
        <v>40148</v>
      </c>
      <c r="CR231" s="316">
        <f t="shared" si="110"/>
        <v>1.5885000000000009</v>
      </c>
      <c r="CW231"/>
    </row>
    <row r="232" spans="2:101" ht="15" customHeight="1">
      <c r="B232" s="163">
        <v>43405</v>
      </c>
      <c r="C232" s="165">
        <v>954</v>
      </c>
      <c r="D232" s="274">
        <f t="shared" si="111"/>
        <v>43405</v>
      </c>
      <c r="E232" s="275">
        <f t="shared" si="112"/>
        <v>954</v>
      </c>
      <c r="G232" s="163">
        <v>43770</v>
      </c>
      <c r="H232" s="163">
        <v>43800</v>
      </c>
      <c r="I232" s="164">
        <v>0</v>
      </c>
      <c r="J232" s="159">
        <f t="shared" si="113"/>
        <v>43800</v>
      </c>
      <c r="K232" s="278">
        <f t="shared" si="114"/>
        <v>0</v>
      </c>
      <c r="M232" s="163">
        <v>41913</v>
      </c>
      <c r="N232" s="163">
        <v>41944</v>
      </c>
      <c r="O232" s="164">
        <v>5.0000000000000001E-3</v>
      </c>
      <c r="P232" s="159">
        <f t="shared" si="102"/>
        <v>41913</v>
      </c>
      <c r="Q232" s="292">
        <f t="shared" si="99"/>
        <v>5.0000000000000001E-3</v>
      </c>
      <c r="S232" s="163">
        <v>41944</v>
      </c>
      <c r="T232" s="164">
        <v>8.3999999999999995E-3</v>
      </c>
      <c r="U232" s="159">
        <f t="shared" si="115"/>
        <v>41944</v>
      </c>
      <c r="V232" s="285">
        <f t="shared" si="116"/>
        <v>8.3999999999999995E-3</v>
      </c>
      <c r="BM232" s="31" t="s">
        <v>198</v>
      </c>
      <c r="BN232" s="159">
        <f t="shared" si="120"/>
        <v>40179</v>
      </c>
      <c r="BO232" s="162">
        <f t="shared" si="121"/>
        <v>5.3300000000000005E-4</v>
      </c>
      <c r="BP232" s="278">
        <f t="shared" si="95"/>
        <v>5.3300000000000005E-4</v>
      </c>
      <c r="BQ232" s="312">
        <f t="shared" si="103"/>
        <v>1.1634050680514747</v>
      </c>
      <c r="BS232" s="31" t="s">
        <v>43</v>
      </c>
      <c r="BT232" s="159">
        <f t="shared" si="118"/>
        <v>40179</v>
      </c>
      <c r="BU232" s="162">
        <f t="shared" si="119"/>
        <v>6.6E-3</v>
      </c>
      <c r="BV232" s="311">
        <f t="shared" si="104"/>
        <v>1.5812000000000008</v>
      </c>
      <c r="BX232" s="358" t="s">
        <v>242</v>
      </c>
      <c r="BY232" s="294">
        <f t="shared" si="122"/>
        <v>40179</v>
      </c>
      <c r="BZ232" s="357">
        <f t="shared" si="123"/>
        <v>5.0000000000000001E-3</v>
      </c>
      <c r="CA232" s="162">
        <f t="shared" si="105"/>
        <v>0.8859420000000009</v>
      </c>
      <c r="CB232" s="42"/>
      <c r="CF232" s="31" t="s">
        <v>197</v>
      </c>
      <c r="CG232" s="168">
        <f t="shared" si="101"/>
        <v>40179</v>
      </c>
      <c r="CH232" s="37">
        <v>0</v>
      </c>
      <c r="CI232" s="314">
        <f t="shared" si="98"/>
        <v>0</v>
      </c>
      <c r="CJ232" s="312">
        <f t="shared" si="106"/>
        <v>1</v>
      </c>
      <c r="CN232" s="315">
        <f t="shared" si="107"/>
        <v>40179</v>
      </c>
      <c r="CO232" s="312">
        <f t="shared" si="108"/>
        <v>1</v>
      </c>
      <c r="CQ232" s="315">
        <f t="shared" si="109"/>
        <v>40179</v>
      </c>
      <c r="CR232" s="316">
        <f t="shared" si="110"/>
        <v>1.5812000000000008</v>
      </c>
      <c r="CW232" s="661" t="s">
        <v>438</v>
      </c>
    </row>
    <row r="233" spans="2:101" ht="15" customHeight="1">
      <c r="B233" s="163">
        <v>43435</v>
      </c>
      <c r="C233" s="165">
        <v>954</v>
      </c>
      <c r="D233" s="274">
        <f t="shared" si="111"/>
        <v>43435</v>
      </c>
      <c r="E233" s="275">
        <f t="shared" si="112"/>
        <v>954</v>
      </c>
      <c r="G233" s="163">
        <v>43800</v>
      </c>
      <c r="H233" s="163">
        <v>43831</v>
      </c>
      <c r="I233" s="164">
        <v>0</v>
      </c>
      <c r="J233" s="159">
        <f t="shared" si="113"/>
        <v>43831</v>
      </c>
      <c r="K233" s="278">
        <f t="shared" si="114"/>
        <v>0</v>
      </c>
      <c r="M233" s="163">
        <v>41944</v>
      </c>
      <c r="N233" s="163">
        <v>41974</v>
      </c>
      <c r="O233" s="164">
        <v>5.0000000000000001E-3</v>
      </c>
      <c r="P233" s="159">
        <f t="shared" si="102"/>
        <v>41944</v>
      </c>
      <c r="Q233" s="292">
        <f t="shared" si="99"/>
        <v>5.0000000000000001E-3</v>
      </c>
      <c r="S233" s="163">
        <v>41974</v>
      </c>
      <c r="T233" s="164">
        <v>9.5999999999999992E-3</v>
      </c>
      <c r="U233" s="159">
        <f t="shared" si="115"/>
        <v>41974</v>
      </c>
      <c r="V233" s="285">
        <f t="shared" si="116"/>
        <v>9.5999999999999992E-3</v>
      </c>
      <c r="BM233" s="31" t="s">
        <v>198</v>
      </c>
      <c r="BN233" s="159">
        <f t="shared" si="120"/>
        <v>40210</v>
      </c>
      <c r="BO233" s="162">
        <f t="shared" si="121"/>
        <v>0</v>
      </c>
      <c r="BP233" s="278">
        <f t="shared" si="95"/>
        <v>0</v>
      </c>
      <c r="BQ233" s="312">
        <f t="shared" si="103"/>
        <v>1.1627853034847175</v>
      </c>
      <c r="BS233" s="31" t="s">
        <v>43</v>
      </c>
      <c r="BT233" s="159">
        <f t="shared" si="118"/>
        <v>40210</v>
      </c>
      <c r="BU233" s="162">
        <f t="shared" si="119"/>
        <v>5.8999999999999999E-3</v>
      </c>
      <c r="BV233" s="311">
        <f t="shared" si="104"/>
        <v>1.5746000000000009</v>
      </c>
      <c r="BX233" s="358" t="s">
        <v>242</v>
      </c>
      <c r="BY233" s="294">
        <f t="shared" si="122"/>
        <v>40210</v>
      </c>
      <c r="BZ233" s="357">
        <f t="shared" si="123"/>
        <v>5.0000000000000001E-3</v>
      </c>
      <c r="CA233" s="162">
        <f t="shared" si="105"/>
        <v>0.88094200000000089</v>
      </c>
      <c r="CB233" s="42"/>
      <c r="CF233" s="31" t="s">
        <v>197</v>
      </c>
      <c r="CG233" s="168">
        <f t="shared" si="101"/>
        <v>40210</v>
      </c>
      <c r="CH233" s="37">
        <v>0</v>
      </c>
      <c r="CI233" s="314">
        <f t="shared" si="98"/>
        <v>0</v>
      </c>
      <c r="CJ233" s="312">
        <f t="shared" si="106"/>
        <v>1</v>
      </c>
      <c r="CN233" s="315">
        <f t="shared" si="107"/>
        <v>40210</v>
      </c>
      <c r="CO233" s="312">
        <f t="shared" si="108"/>
        <v>1</v>
      </c>
      <c r="CQ233" s="315">
        <f t="shared" si="109"/>
        <v>40210</v>
      </c>
      <c r="CR233" s="316">
        <f t="shared" si="110"/>
        <v>1.5746000000000009</v>
      </c>
      <c r="CW233" s="655" t="s">
        <v>443</v>
      </c>
    </row>
    <row r="234" spans="2:101" ht="15" customHeight="1">
      <c r="B234" s="163">
        <v>43466</v>
      </c>
      <c r="C234" s="165">
        <v>998</v>
      </c>
      <c r="D234" s="274">
        <f t="shared" si="111"/>
        <v>43466</v>
      </c>
      <c r="E234" s="275">
        <f t="shared" si="112"/>
        <v>998</v>
      </c>
      <c r="G234" s="163">
        <v>43831</v>
      </c>
      <c r="H234" s="163">
        <v>43862</v>
      </c>
      <c r="I234" s="164">
        <v>0</v>
      </c>
      <c r="J234" s="159">
        <f t="shared" si="113"/>
        <v>43862</v>
      </c>
      <c r="K234" s="278">
        <f t="shared" si="114"/>
        <v>0</v>
      </c>
      <c r="M234" s="163">
        <v>41974</v>
      </c>
      <c r="N234" s="163">
        <v>42005</v>
      </c>
      <c r="O234" s="164">
        <v>5.0000000000000001E-3</v>
      </c>
      <c r="P234" s="159">
        <f t="shared" si="102"/>
        <v>41974</v>
      </c>
      <c r="Q234" s="292">
        <f t="shared" si="99"/>
        <v>5.0000000000000001E-3</v>
      </c>
      <c r="S234" s="163">
        <v>42005</v>
      </c>
      <c r="T234" s="164">
        <v>9.4000000000000004E-3</v>
      </c>
      <c r="U234" s="159">
        <f t="shared" si="115"/>
        <v>42005</v>
      </c>
      <c r="V234" s="285">
        <f t="shared" si="116"/>
        <v>9.4000000000000004E-3</v>
      </c>
      <c r="BM234" s="31" t="s">
        <v>198</v>
      </c>
      <c r="BN234" s="159">
        <f t="shared" si="120"/>
        <v>40238</v>
      </c>
      <c r="BO234" s="162">
        <f t="shared" si="121"/>
        <v>0</v>
      </c>
      <c r="BP234" s="278">
        <f t="shared" si="95"/>
        <v>0</v>
      </c>
      <c r="BQ234" s="312">
        <f t="shared" si="103"/>
        <v>1.1627853034847175</v>
      </c>
      <c r="BS234" s="31" t="s">
        <v>43</v>
      </c>
      <c r="BT234" s="159">
        <f t="shared" si="118"/>
        <v>40238</v>
      </c>
      <c r="BU234" s="162">
        <f t="shared" si="119"/>
        <v>7.6E-3</v>
      </c>
      <c r="BV234" s="311">
        <f t="shared" si="104"/>
        <v>1.5687000000000009</v>
      </c>
      <c r="BX234" s="358" t="s">
        <v>242</v>
      </c>
      <c r="BY234" s="294">
        <f t="shared" si="122"/>
        <v>40238</v>
      </c>
      <c r="BZ234" s="357">
        <f t="shared" si="123"/>
        <v>5.0000000000000001E-3</v>
      </c>
      <c r="CA234" s="162">
        <f t="shared" si="105"/>
        <v>0.87594200000000089</v>
      </c>
      <c r="CB234" s="42"/>
      <c r="CF234" s="31" t="s">
        <v>197</v>
      </c>
      <c r="CG234" s="168">
        <f t="shared" si="101"/>
        <v>40238</v>
      </c>
      <c r="CH234" s="37">
        <v>0</v>
      </c>
      <c r="CI234" s="314">
        <f t="shared" si="98"/>
        <v>0</v>
      </c>
      <c r="CJ234" s="312">
        <f t="shared" si="106"/>
        <v>1</v>
      </c>
      <c r="CN234" s="315">
        <f t="shared" si="107"/>
        <v>40238</v>
      </c>
      <c r="CO234" s="312">
        <f t="shared" si="108"/>
        <v>1</v>
      </c>
      <c r="CQ234" s="315">
        <f t="shared" si="109"/>
        <v>40238</v>
      </c>
      <c r="CR234" s="316">
        <f t="shared" si="110"/>
        <v>1.5687000000000009</v>
      </c>
      <c r="CW234"/>
    </row>
    <row r="235" spans="2:101" ht="15" customHeight="1">
      <c r="B235" s="163">
        <v>43497</v>
      </c>
      <c r="C235" s="165">
        <v>998</v>
      </c>
      <c r="D235" s="274">
        <f t="shared" si="111"/>
        <v>43497</v>
      </c>
      <c r="E235" s="275">
        <f t="shared" si="112"/>
        <v>998</v>
      </c>
      <c r="G235" s="163">
        <v>43862</v>
      </c>
      <c r="H235" s="163">
        <v>43891</v>
      </c>
      <c r="I235" s="164">
        <v>0</v>
      </c>
      <c r="J235" s="159">
        <f t="shared" si="113"/>
        <v>43891</v>
      </c>
      <c r="K235" s="278">
        <f t="shared" si="114"/>
        <v>0</v>
      </c>
      <c r="M235" s="163">
        <v>42005</v>
      </c>
      <c r="N235" s="163">
        <v>42036</v>
      </c>
      <c r="O235" s="164">
        <v>5.0000000000000001E-3</v>
      </c>
      <c r="P235" s="159">
        <f t="shared" si="102"/>
        <v>42005</v>
      </c>
      <c r="Q235" s="292">
        <f t="shared" si="99"/>
        <v>5.0000000000000001E-3</v>
      </c>
      <c r="S235" s="163">
        <v>42036</v>
      </c>
      <c r="T235" s="164">
        <v>8.2000000000000007E-3</v>
      </c>
      <c r="U235" s="159">
        <f t="shared" si="115"/>
        <v>42036</v>
      </c>
      <c r="V235" s="285">
        <f t="shared" si="116"/>
        <v>8.2000000000000007E-3</v>
      </c>
      <c r="BM235" s="31" t="s">
        <v>198</v>
      </c>
      <c r="BN235" s="159">
        <f t="shared" si="120"/>
        <v>40269</v>
      </c>
      <c r="BO235" s="162">
        <f t="shared" si="121"/>
        <v>7.9199999999999995E-4</v>
      </c>
      <c r="BP235" s="278">
        <f t="shared" si="95"/>
        <v>7.9199999999999995E-4</v>
      </c>
      <c r="BQ235" s="312">
        <f t="shared" si="103"/>
        <v>1.1627853034847175</v>
      </c>
      <c r="BS235" s="31" t="s">
        <v>43</v>
      </c>
      <c r="BT235" s="159">
        <f t="shared" si="118"/>
        <v>40269</v>
      </c>
      <c r="BU235" s="162">
        <f t="shared" si="119"/>
        <v>6.7000000000000002E-3</v>
      </c>
      <c r="BV235" s="311">
        <f t="shared" si="104"/>
        <v>1.5611000000000008</v>
      </c>
      <c r="BX235" s="358" t="s">
        <v>242</v>
      </c>
      <c r="BY235" s="294">
        <f t="shared" si="122"/>
        <v>40269</v>
      </c>
      <c r="BZ235" s="357">
        <f t="shared" si="123"/>
        <v>5.0000000000000001E-3</v>
      </c>
      <c r="CA235" s="162">
        <f t="shared" si="105"/>
        <v>0.87094200000000088</v>
      </c>
      <c r="CB235" s="42"/>
      <c r="CF235" s="31" t="s">
        <v>197</v>
      </c>
      <c r="CG235" s="168">
        <f t="shared" si="101"/>
        <v>40269</v>
      </c>
      <c r="CH235" s="37">
        <v>0</v>
      </c>
      <c r="CI235" s="314">
        <f t="shared" si="98"/>
        <v>0</v>
      </c>
      <c r="CJ235" s="312">
        <f t="shared" si="106"/>
        <v>1</v>
      </c>
      <c r="CN235" s="315">
        <f t="shared" si="107"/>
        <v>40269</v>
      </c>
      <c r="CO235" s="312">
        <f t="shared" si="108"/>
        <v>1</v>
      </c>
      <c r="CQ235" s="315">
        <f t="shared" si="109"/>
        <v>40269</v>
      </c>
      <c r="CR235" s="316">
        <f t="shared" si="110"/>
        <v>1.5611000000000008</v>
      </c>
      <c r="CW235" s="661" t="s">
        <v>444</v>
      </c>
    </row>
    <row r="236" spans="2:101" ht="15" customHeight="1">
      <c r="B236" s="163">
        <v>43525</v>
      </c>
      <c r="C236" s="165">
        <v>998</v>
      </c>
      <c r="D236" s="274">
        <f t="shared" si="111"/>
        <v>43525</v>
      </c>
      <c r="E236" s="275">
        <f t="shared" si="112"/>
        <v>998</v>
      </c>
      <c r="G236" s="163">
        <v>43891</v>
      </c>
      <c r="H236" s="163">
        <v>43922</v>
      </c>
      <c r="I236" s="164">
        <v>0</v>
      </c>
      <c r="J236" s="159">
        <f t="shared" si="113"/>
        <v>43922</v>
      </c>
      <c r="K236" s="278">
        <f t="shared" si="114"/>
        <v>0</v>
      </c>
      <c r="M236" s="163">
        <v>42036</v>
      </c>
      <c r="N236" s="163">
        <v>42064</v>
      </c>
      <c r="O236" s="164">
        <v>5.0000000000000001E-3</v>
      </c>
      <c r="P236" s="159">
        <f t="shared" si="102"/>
        <v>42036</v>
      </c>
      <c r="Q236" s="292">
        <f t="shared" si="99"/>
        <v>5.0000000000000001E-3</v>
      </c>
      <c r="S236" s="163">
        <v>42064</v>
      </c>
      <c r="T236" s="164">
        <v>1.04E-2</v>
      </c>
      <c r="U236" s="159">
        <f t="shared" si="115"/>
        <v>42064</v>
      </c>
      <c r="V236" s="285">
        <f t="shared" si="116"/>
        <v>1.04E-2</v>
      </c>
      <c r="BM236" s="31" t="s">
        <v>198</v>
      </c>
      <c r="BN236" s="159">
        <f t="shared" si="120"/>
        <v>40299</v>
      </c>
      <c r="BO236" s="162">
        <f t="shared" si="121"/>
        <v>0</v>
      </c>
      <c r="BP236" s="278">
        <f t="shared" si="95"/>
        <v>0</v>
      </c>
      <c r="BQ236" s="312">
        <f t="shared" si="103"/>
        <v>1.1618651063205119</v>
      </c>
      <c r="BS236" s="31" t="s">
        <v>43</v>
      </c>
      <c r="BT236" s="159">
        <f t="shared" si="118"/>
        <v>40299</v>
      </c>
      <c r="BU236" s="162">
        <f t="shared" si="119"/>
        <v>7.4999999999999997E-3</v>
      </c>
      <c r="BV236" s="311">
        <f t="shared" si="104"/>
        <v>1.5544000000000009</v>
      </c>
      <c r="BX236" s="358" t="s">
        <v>242</v>
      </c>
      <c r="BY236" s="294">
        <f t="shared" si="122"/>
        <v>40299</v>
      </c>
      <c r="BZ236" s="357">
        <f t="shared" si="123"/>
        <v>5.0000000000000001E-3</v>
      </c>
      <c r="CA236" s="162">
        <f t="shared" si="105"/>
        <v>0.86594200000000088</v>
      </c>
      <c r="CB236" s="42"/>
      <c r="CF236" s="31" t="s">
        <v>197</v>
      </c>
      <c r="CG236" s="168">
        <f t="shared" si="101"/>
        <v>40299</v>
      </c>
      <c r="CH236" s="37">
        <v>0</v>
      </c>
      <c r="CI236" s="314">
        <f t="shared" si="98"/>
        <v>0</v>
      </c>
      <c r="CJ236" s="312">
        <f t="shared" si="106"/>
        <v>1</v>
      </c>
      <c r="CN236" s="315">
        <f t="shared" si="107"/>
        <v>40299</v>
      </c>
      <c r="CO236" s="312">
        <f t="shared" si="108"/>
        <v>1</v>
      </c>
      <c r="CQ236" s="315">
        <f t="shared" si="109"/>
        <v>40299</v>
      </c>
      <c r="CR236" s="316">
        <f t="shared" si="110"/>
        <v>1.5544000000000009</v>
      </c>
      <c r="CW236" s="655" t="s">
        <v>445</v>
      </c>
    </row>
    <row r="237" spans="2:101" ht="15" customHeight="1">
      <c r="B237" s="163">
        <v>43556</v>
      </c>
      <c r="C237" s="165">
        <v>998</v>
      </c>
      <c r="D237" s="274">
        <f t="shared" si="111"/>
        <v>43556</v>
      </c>
      <c r="E237" s="275">
        <f t="shared" si="112"/>
        <v>998</v>
      </c>
      <c r="G237" s="163">
        <v>43922</v>
      </c>
      <c r="H237" s="163">
        <v>43952</v>
      </c>
      <c r="I237" s="164">
        <v>0</v>
      </c>
      <c r="J237" s="159">
        <f t="shared" si="113"/>
        <v>43952</v>
      </c>
      <c r="K237" s="278">
        <f t="shared" si="114"/>
        <v>0</v>
      </c>
      <c r="M237" s="163">
        <v>42064</v>
      </c>
      <c r="N237" s="163">
        <v>42095</v>
      </c>
      <c r="O237" s="164">
        <v>5.0000000000000001E-3</v>
      </c>
      <c r="P237" s="159">
        <f t="shared" si="102"/>
        <v>42064</v>
      </c>
      <c r="Q237" s="292">
        <f t="shared" si="99"/>
        <v>5.0000000000000001E-3</v>
      </c>
      <c r="S237" s="163">
        <v>42095</v>
      </c>
      <c r="T237" s="164">
        <v>9.4999999999999998E-3</v>
      </c>
      <c r="U237" s="159">
        <f t="shared" si="115"/>
        <v>42095</v>
      </c>
      <c r="V237" s="285">
        <f t="shared" si="116"/>
        <v>9.4999999999999998E-3</v>
      </c>
      <c r="BM237" s="31" t="s">
        <v>198</v>
      </c>
      <c r="BN237" s="159">
        <f t="shared" si="120"/>
        <v>40330</v>
      </c>
      <c r="BO237" s="162">
        <f t="shared" si="121"/>
        <v>5.1000000000000004E-4</v>
      </c>
      <c r="BP237" s="278">
        <f t="shared" si="95"/>
        <v>5.1000000000000004E-4</v>
      </c>
      <c r="BQ237" s="312">
        <f t="shared" si="103"/>
        <v>1.1618651063205119</v>
      </c>
      <c r="BS237" s="31" t="s">
        <v>43</v>
      </c>
      <c r="BT237" s="159">
        <f t="shared" si="118"/>
        <v>40330</v>
      </c>
      <c r="BU237" s="162">
        <f t="shared" si="119"/>
        <v>7.9000000000000008E-3</v>
      </c>
      <c r="BV237" s="311">
        <f t="shared" si="104"/>
        <v>1.5469000000000008</v>
      </c>
      <c r="BX237" s="358" t="s">
        <v>242</v>
      </c>
      <c r="BY237" s="294">
        <f t="shared" si="122"/>
        <v>40330</v>
      </c>
      <c r="BZ237" s="357">
        <f t="shared" si="123"/>
        <v>5.0000000000000001E-3</v>
      </c>
      <c r="CA237" s="162">
        <f t="shared" si="105"/>
        <v>0.86094200000000087</v>
      </c>
      <c r="CB237" s="42"/>
      <c r="CF237" s="31" t="s">
        <v>197</v>
      </c>
      <c r="CG237" s="168">
        <f t="shared" si="101"/>
        <v>40330</v>
      </c>
      <c r="CH237" s="37">
        <v>0</v>
      </c>
      <c r="CI237" s="314">
        <f t="shared" si="98"/>
        <v>0</v>
      </c>
      <c r="CJ237" s="312">
        <f t="shared" si="106"/>
        <v>1</v>
      </c>
      <c r="CN237" s="315">
        <f t="shared" si="107"/>
        <v>40330</v>
      </c>
      <c r="CO237" s="312">
        <f t="shared" si="108"/>
        <v>1</v>
      </c>
      <c r="CQ237" s="315">
        <f t="shared" si="109"/>
        <v>40330</v>
      </c>
      <c r="CR237" s="316">
        <f t="shared" si="110"/>
        <v>1.5469000000000008</v>
      </c>
      <c r="CW237"/>
    </row>
    <row r="238" spans="2:101" ht="15" customHeight="1">
      <c r="B238" s="163">
        <v>43586</v>
      </c>
      <c r="C238" s="165">
        <v>998</v>
      </c>
      <c r="D238" s="274">
        <f t="shared" si="111"/>
        <v>43586</v>
      </c>
      <c r="E238" s="275">
        <f t="shared" si="112"/>
        <v>998</v>
      </c>
      <c r="G238" s="163">
        <v>43952</v>
      </c>
      <c r="H238" s="163">
        <v>43983</v>
      </c>
      <c r="I238" s="164">
        <v>0</v>
      </c>
      <c r="J238" s="159">
        <f t="shared" si="113"/>
        <v>43983</v>
      </c>
      <c r="K238" s="278">
        <f t="shared" si="114"/>
        <v>0</v>
      </c>
      <c r="M238" s="163">
        <v>42095</v>
      </c>
      <c r="N238" s="163">
        <v>42125</v>
      </c>
      <c r="O238" s="164">
        <v>5.0000000000000001E-3</v>
      </c>
      <c r="P238" s="159">
        <f t="shared" si="102"/>
        <v>42095</v>
      </c>
      <c r="Q238" s="292">
        <f t="shared" si="99"/>
        <v>5.0000000000000001E-3</v>
      </c>
      <c r="S238" s="163">
        <v>42125</v>
      </c>
      <c r="T238" s="164">
        <v>9.9000000000000008E-3</v>
      </c>
      <c r="U238" s="159">
        <f t="shared" si="115"/>
        <v>42125</v>
      </c>
      <c r="V238" s="285">
        <f t="shared" si="116"/>
        <v>9.9000000000000008E-3</v>
      </c>
      <c r="BM238" s="31" t="s">
        <v>198</v>
      </c>
      <c r="BN238" s="159">
        <f t="shared" si="120"/>
        <v>40360</v>
      </c>
      <c r="BO238" s="162">
        <f t="shared" si="121"/>
        <v>5.8900000000000001E-4</v>
      </c>
      <c r="BP238" s="278">
        <f t="shared" si="95"/>
        <v>5.8900000000000001E-4</v>
      </c>
      <c r="BQ238" s="312">
        <f t="shared" si="103"/>
        <v>1.1612728571633586</v>
      </c>
      <c r="BS238" s="31" t="s">
        <v>43</v>
      </c>
      <c r="BT238" s="159">
        <f t="shared" si="118"/>
        <v>40360</v>
      </c>
      <c r="BU238" s="162">
        <f t="shared" si="119"/>
        <v>8.6E-3</v>
      </c>
      <c r="BV238" s="311">
        <f t="shared" si="104"/>
        <v>1.5390000000000008</v>
      </c>
      <c r="BX238" s="358" t="s">
        <v>242</v>
      </c>
      <c r="BY238" s="294">
        <f t="shared" si="122"/>
        <v>40360</v>
      </c>
      <c r="BZ238" s="357">
        <f t="shared" si="123"/>
        <v>5.0000000000000001E-3</v>
      </c>
      <c r="CA238" s="162">
        <f t="shared" si="105"/>
        <v>0.85594200000000087</v>
      </c>
      <c r="CB238" s="42"/>
      <c r="CF238" s="31" t="s">
        <v>197</v>
      </c>
      <c r="CG238" s="168">
        <f t="shared" si="101"/>
        <v>40360</v>
      </c>
      <c r="CH238" s="37">
        <v>0</v>
      </c>
      <c r="CI238" s="314">
        <f t="shared" si="98"/>
        <v>0</v>
      </c>
      <c r="CJ238" s="312">
        <f t="shared" si="106"/>
        <v>1</v>
      </c>
      <c r="CN238" s="315">
        <f t="shared" si="107"/>
        <v>40360</v>
      </c>
      <c r="CO238" s="312">
        <f t="shared" si="108"/>
        <v>1</v>
      </c>
      <c r="CQ238" s="315">
        <f t="shared" si="109"/>
        <v>40360</v>
      </c>
      <c r="CR238" s="316">
        <f t="shared" si="110"/>
        <v>1.5390000000000008</v>
      </c>
      <c r="CW238" s="661" t="s">
        <v>446</v>
      </c>
    </row>
    <row r="239" spans="2:101" ht="15" customHeight="1">
      <c r="B239" s="163">
        <v>43617</v>
      </c>
      <c r="C239" s="165">
        <v>998</v>
      </c>
      <c r="D239" s="274">
        <f t="shared" si="111"/>
        <v>43617</v>
      </c>
      <c r="E239" s="275">
        <f t="shared" si="112"/>
        <v>998</v>
      </c>
      <c r="G239" s="163">
        <v>43983</v>
      </c>
      <c r="H239" s="163">
        <v>44013</v>
      </c>
      <c r="I239" s="164">
        <v>0</v>
      </c>
      <c r="J239" s="159">
        <f t="shared" si="113"/>
        <v>44013</v>
      </c>
      <c r="K239" s="278">
        <f t="shared" si="114"/>
        <v>0</v>
      </c>
      <c r="M239" s="163">
        <v>42125</v>
      </c>
      <c r="N239" s="163">
        <v>42156</v>
      </c>
      <c r="O239" s="164">
        <v>5.0000000000000001E-3</v>
      </c>
      <c r="P239" s="159">
        <f t="shared" si="102"/>
        <v>42125</v>
      </c>
      <c r="Q239" s="292">
        <f t="shared" si="99"/>
        <v>5.0000000000000001E-3</v>
      </c>
      <c r="S239" s="163">
        <v>42156</v>
      </c>
      <c r="T239" s="164">
        <v>1.0699999999999999E-2</v>
      </c>
      <c r="U239" s="159">
        <f t="shared" si="115"/>
        <v>42156</v>
      </c>
      <c r="V239" s="285">
        <f t="shared" si="116"/>
        <v>1.0699999999999999E-2</v>
      </c>
      <c r="BM239" s="31" t="s">
        <v>198</v>
      </c>
      <c r="BN239" s="159">
        <f t="shared" si="120"/>
        <v>40391</v>
      </c>
      <c r="BO239" s="162">
        <f t="shared" si="121"/>
        <v>1.1509999999999999E-3</v>
      </c>
      <c r="BP239" s="278">
        <f t="shared" si="95"/>
        <v>1.1509999999999999E-3</v>
      </c>
      <c r="BQ239" s="312">
        <f t="shared" si="103"/>
        <v>1.1605892700832796</v>
      </c>
      <c r="BS239" s="31" t="s">
        <v>43</v>
      </c>
      <c r="BT239" s="159">
        <f t="shared" si="118"/>
        <v>40391</v>
      </c>
      <c r="BU239" s="162">
        <f t="shared" si="119"/>
        <v>8.8999999999999999E-3</v>
      </c>
      <c r="BV239" s="311">
        <f t="shared" si="104"/>
        <v>1.5304000000000009</v>
      </c>
      <c r="BX239" s="358" t="s">
        <v>242</v>
      </c>
      <c r="BY239" s="294">
        <f t="shared" si="122"/>
        <v>40391</v>
      </c>
      <c r="BZ239" s="357">
        <f t="shared" si="123"/>
        <v>5.0000000000000001E-3</v>
      </c>
      <c r="CA239" s="162">
        <f t="shared" si="105"/>
        <v>0.85094200000000086</v>
      </c>
      <c r="CB239" s="42"/>
      <c r="CF239" s="31" t="s">
        <v>197</v>
      </c>
      <c r="CG239" s="168">
        <f t="shared" si="101"/>
        <v>40391</v>
      </c>
      <c r="CH239" s="37">
        <v>0</v>
      </c>
      <c r="CI239" s="314">
        <f t="shared" si="98"/>
        <v>0</v>
      </c>
      <c r="CJ239" s="312">
        <f t="shared" si="106"/>
        <v>1</v>
      </c>
      <c r="CN239" s="315">
        <f t="shared" si="107"/>
        <v>40391</v>
      </c>
      <c r="CO239" s="312">
        <f t="shared" si="108"/>
        <v>1</v>
      </c>
      <c r="CQ239" s="315">
        <f t="shared" si="109"/>
        <v>40391</v>
      </c>
      <c r="CR239" s="316">
        <f t="shared" si="110"/>
        <v>1.5304000000000009</v>
      </c>
      <c r="CW239" s="655" t="s">
        <v>442</v>
      </c>
    </row>
    <row r="240" spans="2:101" ht="15" customHeight="1">
      <c r="B240" s="163">
        <v>43647</v>
      </c>
      <c r="C240" s="165">
        <v>998</v>
      </c>
      <c r="D240" s="274">
        <f t="shared" si="111"/>
        <v>43647</v>
      </c>
      <c r="E240" s="275">
        <f t="shared" si="112"/>
        <v>998</v>
      </c>
      <c r="G240" s="163">
        <v>44013</v>
      </c>
      <c r="H240" s="163">
        <v>44044</v>
      </c>
      <c r="I240" s="164">
        <v>0</v>
      </c>
      <c r="J240" s="159">
        <f t="shared" si="113"/>
        <v>44044</v>
      </c>
      <c r="K240" s="278">
        <f t="shared" si="114"/>
        <v>0</v>
      </c>
      <c r="M240" s="163">
        <v>42156</v>
      </c>
      <c r="N240" s="163">
        <v>42186</v>
      </c>
      <c r="O240" s="164">
        <v>5.0000000000000001E-3</v>
      </c>
      <c r="P240" s="159">
        <f t="shared" si="102"/>
        <v>42156</v>
      </c>
      <c r="Q240" s="292">
        <f t="shared" si="99"/>
        <v>5.0000000000000001E-3</v>
      </c>
      <c r="S240" s="163">
        <v>42186</v>
      </c>
      <c r="T240" s="164">
        <v>1.18E-2</v>
      </c>
      <c r="U240" s="159">
        <f t="shared" si="115"/>
        <v>42186</v>
      </c>
      <c r="V240" s="285">
        <f t="shared" si="116"/>
        <v>1.18E-2</v>
      </c>
      <c r="BM240" s="31" t="s">
        <v>198</v>
      </c>
      <c r="BN240" s="159">
        <f t="shared" si="120"/>
        <v>40422</v>
      </c>
      <c r="BO240" s="162">
        <f t="shared" si="121"/>
        <v>9.0899999999999998E-4</v>
      </c>
      <c r="BP240" s="278">
        <f t="shared" si="95"/>
        <v>9.0899999999999998E-4</v>
      </c>
      <c r="BQ240" s="312">
        <f t="shared" si="103"/>
        <v>1.1592549676155541</v>
      </c>
      <c r="BS240" s="31" t="s">
        <v>43</v>
      </c>
      <c r="BT240" s="159">
        <f t="shared" si="118"/>
        <v>40422</v>
      </c>
      <c r="BU240" s="162">
        <f t="shared" si="119"/>
        <v>8.5000000000000006E-3</v>
      </c>
      <c r="BV240" s="311">
        <f t="shared" si="104"/>
        <v>1.521500000000001</v>
      </c>
      <c r="BX240" s="358" t="s">
        <v>242</v>
      </c>
      <c r="BY240" s="294">
        <f t="shared" si="122"/>
        <v>40422</v>
      </c>
      <c r="BZ240" s="357">
        <f t="shared" si="123"/>
        <v>5.0000000000000001E-3</v>
      </c>
      <c r="CA240" s="162">
        <f t="shared" si="105"/>
        <v>0.84594200000000086</v>
      </c>
      <c r="CB240" s="42"/>
      <c r="CF240" s="31" t="s">
        <v>197</v>
      </c>
      <c r="CG240" s="168">
        <f t="shared" si="101"/>
        <v>40422</v>
      </c>
      <c r="CH240" s="37">
        <v>0</v>
      </c>
      <c r="CI240" s="314">
        <f t="shared" si="98"/>
        <v>0</v>
      </c>
      <c r="CJ240" s="312">
        <f t="shared" si="106"/>
        <v>1</v>
      </c>
      <c r="CN240" s="315">
        <f t="shared" si="107"/>
        <v>40422</v>
      </c>
      <c r="CO240" s="312">
        <f t="shared" si="108"/>
        <v>1</v>
      </c>
      <c r="CQ240" s="315">
        <f t="shared" si="109"/>
        <v>40422</v>
      </c>
      <c r="CR240" s="316">
        <f t="shared" si="110"/>
        <v>1.521500000000001</v>
      </c>
      <c r="CW240"/>
    </row>
    <row r="241" spans="2:101" ht="15" customHeight="1">
      <c r="B241" s="163">
        <v>43678</v>
      </c>
      <c r="C241" s="165">
        <v>998</v>
      </c>
      <c r="D241" s="274">
        <f t="shared" si="111"/>
        <v>43678</v>
      </c>
      <c r="E241" s="275">
        <f t="shared" si="112"/>
        <v>998</v>
      </c>
      <c r="G241" s="163">
        <v>44044</v>
      </c>
      <c r="H241" s="163">
        <v>44075</v>
      </c>
      <c r="I241" s="164">
        <v>0</v>
      </c>
      <c r="J241" s="159">
        <f t="shared" si="113"/>
        <v>44075</v>
      </c>
      <c r="K241" s="278">
        <f t="shared" si="114"/>
        <v>0</v>
      </c>
      <c r="M241" s="163">
        <v>42186</v>
      </c>
      <c r="N241" s="163">
        <v>42217</v>
      </c>
      <c r="O241" s="164">
        <v>5.0000000000000001E-3</v>
      </c>
      <c r="P241" s="159">
        <f t="shared" si="102"/>
        <v>42186</v>
      </c>
      <c r="Q241" s="292">
        <f t="shared" si="99"/>
        <v>5.0000000000000001E-3</v>
      </c>
      <c r="S241" s="163">
        <v>42217</v>
      </c>
      <c r="T241" s="164">
        <v>1.11E-2</v>
      </c>
      <c r="U241" s="159">
        <f t="shared" si="115"/>
        <v>42217</v>
      </c>
      <c r="V241" s="285">
        <f t="shared" si="116"/>
        <v>1.11E-2</v>
      </c>
      <c r="BM241" s="31" t="s">
        <v>198</v>
      </c>
      <c r="BN241" s="159">
        <f t="shared" si="120"/>
        <v>40452</v>
      </c>
      <c r="BO241" s="162">
        <f t="shared" si="121"/>
        <v>7.0200000000000004E-4</v>
      </c>
      <c r="BP241" s="278">
        <f t="shared" si="95"/>
        <v>7.0200000000000004E-4</v>
      </c>
      <c r="BQ241" s="312">
        <f t="shared" si="103"/>
        <v>1.1582021618504321</v>
      </c>
      <c r="BS241" s="31" t="s">
        <v>43</v>
      </c>
      <c r="BT241" s="159">
        <f t="shared" si="118"/>
        <v>40452</v>
      </c>
      <c r="BU241" s="162">
        <f t="shared" si="119"/>
        <v>8.0999999999999996E-3</v>
      </c>
      <c r="BV241" s="311">
        <f t="shared" si="104"/>
        <v>1.513000000000001</v>
      </c>
      <c r="BX241" s="358" t="s">
        <v>242</v>
      </c>
      <c r="BY241" s="294">
        <f t="shared" si="122"/>
        <v>40452</v>
      </c>
      <c r="BZ241" s="357">
        <f t="shared" si="123"/>
        <v>5.0000000000000001E-3</v>
      </c>
      <c r="CA241" s="162">
        <f t="shared" si="105"/>
        <v>0.84094200000000086</v>
      </c>
      <c r="CB241" s="42"/>
      <c r="CF241" s="31" t="s">
        <v>197</v>
      </c>
      <c r="CG241" s="168">
        <f t="shared" si="101"/>
        <v>40452</v>
      </c>
      <c r="CH241" s="37">
        <v>0</v>
      </c>
      <c r="CI241" s="314">
        <f t="shared" si="98"/>
        <v>0</v>
      </c>
      <c r="CJ241" s="312">
        <f t="shared" si="106"/>
        <v>1</v>
      </c>
      <c r="CN241" s="315">
        <f t="shared" si="107"/>
        <v>40452</v>
      </c>
      <c r="CO241" s="312">
        <f t="shared" si="108"/>
        <v>1</v>
      </c>
      <c r="CQ241" s="315">
        <f t="shared" si="109"/>
        <v>40452</v>
      </c>
      <c r="CR241" s="316">
        <f t="shared" si="110"/>
        <v>1.513000000000001</v>
      </c>
      <c r="CW241" s="654" t="s">
        <v>447</v>
      </c>
    </row>
    <row r="242" spans="2:101" ht="15" customHeight="1">
      <c r="B242" s="163">
        <v>43709</v>
      </c>
      <c r="C242" s="165">
        <v>998</v>
      </c>
      <c r="D242" s="274">
        <f t="shared" si="111"/>
        <v>43709</v>
      </c>
      <c r="E242" s="275">
        <f t="shared" si="112"/>
        <v>998</v>
      </c>
      <c r="G242" s="163">
        <v>44075</v>
      </c>
      <c r="H242" s="163">
        <v>44105</v>
      </c>
      <c r="I242" s="164">
        <v>0</v>
      </c>
      <c r="J242" s="159">
        <f t="shared" si="113"/>
        <v>44105</v>
      </c>
      <c r="K242" s="278">
        <f t="shared" si="114"/>
        <v>0</v>
      </c>
      <c r="M242" s="163">
        <v>42217</v>
      </c>
      <c r="N242" s="163">
        <v>42248</v>
      </c>
      <c r="O242" s="164">
        <v>5.0000000000000001E-3</v>
      </c>
      <c r="P242" s="159">
        <f t="shared" si="102"/>
        <v>42217</v>
      </c>
      <c r="Q242" s="292">
        <f t="shared" si="99"/>
        <v>5.0000000000000001E-3</v>
      </c>
      <c r="S242" s="163">
        <v>42248</v>
      </c>
      <c r="T242" s="164">
        <v>1.11E-2</v>
      </c>
      <c r="U242" s="159">
        <f t="shared" si="115"/>
        <v>42248</v>
      </c>
      <c r="V242" s="285">
        <f t="shared" si="116"/>
        <v>1.11E-2</v>
      </c>
      <c r="BM242" s="31" t="s">
        <v>198</v>
      </c>
      <c r="BN242" s="159">
        <f t="shared" si="120"/>
        <v>40483</v>
      </c>
      <c r="BO242" s="162">
        <f t="shared" si="121"/>
        <v>4.7199999999999998E-4</v>
      </c>
      <c r="BP242" s="278">
        <f t="shared" si="95"/>
        <v>4.7199999999999998E-4</v>
      </c>
      <c r="BQ242" s="312">
        <f t="shared" si="103"/>
        <v>1.1573896742990741</v>
      </c>
      <c r="BS242" s="31" t="s">
        <v>43</v>
      </c>
      <c r="BT242" s="159">
        <f t="shared" si="118"/>
        <v>40483</v>
      </c>
      <c r="BU242" s="162">
        <f t="shared" si="119"/>
        <v>8.0999999999999996E-3</v>
      </c>
      <c r="BV242" s="311">
        <f t="shared" si="104"/>
        <v>1.504900000000001</v>
      </c>
      <c r="BX242" s="358" t="s">
        <v>242</v>
      </c>
      <c r="BY242" s="294">
        <f t="shared" si="122"/>
        <v>40483</v>
      </c>
      <c r="BZ242" s="357">
        <f t="shared" si="123"/>
        <v>5.0000000000000001E-3</v>
      </c>
      <c r="CA242" s="162">
        <f t="shared" si="105"/>
        <v>0.83594200000000085</v>
      </c>
      <c r="CB242" s="42"/>
      <c r="CF242" s="31" t="s">
        <v>197</v>
      </c>
      <c r="CG242" s="168">
        <f t="shared" si="101"/>
        <v>40483</v>
      </c>
      <c r="CH242" s="37">
        <v>0</v>
      </c>
      <c r="CI242" s="314">
        <f t="shared" si="98"/>
        <v>0</v>
      </c>
      <c r="CJ242" s="312">
        <f t="shared" si="106"/>
        <v>1</v>
      </c>
      <c r="CN242" s="315">
        <f t="shared" si="107"/>
        <v>40483</v>
      </c>
      <c r="CO242" s="312">
        <f t="shared" si="108"/>
        <v>1</v>
      </c>
      <c r="CQ242" s="315">
        <f t="shared" si="109"/>
        <v>40483</v>
      </c>
      <c r="CR242" s="316">
        <f t="shared" si="110"/>
        <v>1.504900000000001</v>
      </c>
      <c r="CW242"/>
    </row>
    <row r="243" spans="2:101" ht="15" customHeight="1">
      <c r="B243" s="163">
        <v>43739</v>
      </c>
      <c r="C243" s="165">
        <v>998</v>
      </c>
      <c r="D243" s="274">
        <f t="shared" si="111"/>
        <v>43739</v>
      </c>
      <c r="E243" s="275">
        <f t="shared" si="112"/>
        <v>998</v>
      </c>
      <c r="G243" s="163">
        <v>44105</v>
      </c>
      <c r="H243" s="163">
        <v>44136</v>
      </c>
      <c r="I243" s="164">
        <v>0</v>
      </c>
      <c r="J243" s="159">
        <f t="shared" si="113"/>
        <v>44136</v>
      </c>
      <c r="K243" s="278">
        <f t="shared" si="114"/>
        <v>0</v>
      </c>
      <c r="M243" s="163">
        <v>42248</v>
      </c>
      <c r="N243" s="163">
        <v>42278</v>
      </c>
      <c r="O243" s="164">
        <v>5.0000000000000001E-3</v>
      </c>
      <c r="P243" s="159">
        <f t="shared" si="102"/>
        <v>42248</v>
      </c>
      <c r="Q243" s="292">
        <f t="shared" si="99"/>
        <v>5.0000000000000001E-3</v>
      </c>
      <c r="S243" s="163">
        <v>42278</v>
      </c>
      <c r="T243" s="164">
        <v>1.11E-2</v>
      </c>
      <c r="U243" s="159">
        <f t="shared" si="115"/>
        <v>42278</v>
      </c>
      <c r="V243" s="285">
        <f t="shared" si="116"/>
        <v>1.11E-2</v>
      </c>
      <c r="BM243" s="31" t="s">
        <v>198</v>
      </c>
      <c r="BN243" s="159">
        <f t="shared" si="120"/>
        <v>40513</v>
      </c>
      <c r="BO243" s="162">
        <f t="shared" si="121"/>
        <v>3.3599999999999998E-4</v>
      </c>
      <c r="BP243" s="278">
        <f t="shared" si="95"/>
        <v>3.3599999999999998E-4</v>
      </c>
      <c r="BQ243" s="312">
        <f t="shared" si="103"/>
        <v>1.1568436440990593</v>
      </c>
      <c r="BS243" s="31" t="s">
        <v>43</v>
      </c>
      <c r="BT243" s="159">
        <f t="shared" si="118"/>
        <v>40513</v>
      </c>
      <c r="BU243" s="162">
        <f t="shared" si="119"/>
        <v>9.2999999999999992E-3</v>
      </c>
      <c r="BV243" s="311">
        <f t="shared" si="104"/>
        <v>1.496800000000001</v>
      </c>
      <c r="BX243" s="358" t="s">
        <v>242</v>
      </c>
      <c r="BY243" s="294">
        <f t="shared" si="122"/>
        <v>40513</v>
      </c>
      <c r="BZ243" s="357">
        <f t="shared" si="123"/>
        <v>5.0000000000000001E-3</v>
      </c>
      <c r="CA243" s="162">
        <f t="shared" si="105"/>
        <v>0.83094200000000085</v>
      </c>
      <c r="CB243" s="42"/>
      <c r="CF243" s="31" t="s">
        <v>197</v>
      </c>
      <c r="CG243" s="168">
        <f t="shared" si="101"/>
        <v>40513</v>
      </c>
      <c r="CH243" s="37">
        <v>0</v>
      </c>
      <c r="CI243" s="314">
        <f t="shared" si="98"/>
        <v>0</v>
      </c>
      <c r="CJ243" s="312">
        <f t="shared" si="106"/>
        <v>1</v>
      </c>
      <c r="CN243" s="315">
        <f t="shared" si="107"/>
        <v>40513</v>
      </c>
      <c r="CO243" s="312">
        <f t="shared" si="108"/>
        <v>1</v>
      </c>
      <c r="CQ243" s="315">
        <f t="shared" si="109"/>
        <v>40513</v>
      </c>
      <c r="CR243" s="316">
        <f t="shared" si="110"/>
        <v>1.496800000000001</v>
      </c>
      <c r="CW243" s="650" t="s">
        <v>448</v>
      </c>
    </row>
    <row r="244" spans="2:101" ht="15" customHeight="1">
      <c r="B244" s="163">
        <v>43770</v>
      </c>
      <c r="C244" s="165">
        <v>998</v>
      </c>
      <c r="D244" s="274">
        <f t="shared" si="111"/>
        <v>43770</v>
      </c>
      <c r="E244" s="275">
        <f t="shared" si="112"/>
        <v>998</v>
      </c>
      <c r="G244" s="163">
        <v>44136</v>
      </c>
      <c r="H244" s="163">
        <v>44166</v>
      </c>
      <c r="I244" s="164">
        <v>0</v>
      </c>
      <c r="J244" s="159">
        <f t="shared" si="113"/>
        <v>44166</v>
      </c>
      <c r="K244" s="278">
        <f t="shared" si="114"/>
        <v>0</v>
      </c>
      <c r="M244" s="163">
        <v>42278</v>
      </c>
      <c r="N244" s="163">
        <v>42309</v>
      </c>
      <c r="O244" s="164">
        <v>5.0000000000000001E-3</v>
      </c>
      <c r="P244" s="159">
        <f t="shared" si="102"/>
        <v>42278</v>
      </c>
      <c r="Q244" s="292">
        <f t="shared" si="99"/>
        <v>5.0000000000000001E-3</v>
      </c>
      <c r="S244" s="163">
        <v>42309</v>
      </c>
      <c r="T244" s="164">
        <v>1.06E-2</v>
      </c>
      <c r="U244" s="159">
        <f t="shared" si="115"/>
        <v>42309</v>
      </c>
      <c r="V244" s="285">
        <f t="shared" si="116"/>
        <v>1.06E-2</v>
      </c>
      <c r="BM244" s="31" t="s">
        <v>198</v>
      </c>
      <c r="BN244" s="159">
        <f t="shared" si="120"/>
        <v>40544</v>
      </c>
      <c r="BO244" s="162">
        <f t="shared" si="121"/>
        <v>1.4059999999999999E-3</v>
      </c>
      <c r="BP244" s="278">
        <f t="shared" si="95"/>
        <v>1.4059999999999999E-3</v>
      </c>
      <c r="BQ244" s="312">
        <f t="shared" si="103"/>
        <v>1.1564550751937943</v>
      </c>
      <c r="BS244" s="31" t="s">
        <v>43</v>
      </c>
      <c r="BT244" s="159">
        <f t="shared" si="118"/>
        <v>40544</v>
      </c>
      <c r="BU244" s="162">
        <f t="shared" si="119"/>
        <v>8.6E-3</v>
      </c>
      <c r="BV244" s="311">
        <f t="shared" si="104"/>
        <v>1.4875000000000009</v>
      </c>
      <c r="BX244" s="358" t="s">
        <v>242</v>
      </c>
      <c r="BY244" s="294">
        <f t="shared" si="122"/>
        <v>40544</v>
      </c>
      <c r="BZ244" s="357">
        <f t="shared" si="123"/>
        <v>5.0000000000000001E-3</v>
      </c>
      <c r="CA244" s="162">
        <f t="shared" si="105"/>
        <v>0.82594200000000084</v>
      </c>
      <c r="CB244" s="42"/>
      <c r="CF244" s="31" t="s">
        <v>197</v>
      </c>
      <c r="CG244" s="168">
        <f t="shared" si="101"/>
        <v>40544</v>
      </c>
      <c r="CH244" s="37">
        <v>0</v>
      </c>
      <c r="CI244" s="314">
        <f t="shared" si="98"/>
        <v>0</v>
      </c>
      <c r="CJ244" s="312">
        <f t="shared" si="106"/>
        <v>1</v>
      </c>
      <c r="CN244" s="315">
        <f t="shared" si="107"/>
        <v>40544</v>
      </c>
      <c r="CO244" s="312">
        <f t="shared" si="108"/>
        <v>1</v>
      </c>
      <c r="CQ244" s="315">
        <f t="shared" si="109"/>
        <v>40544</v>
      </c>
      <c r="CR244" s="316">
        <f t="shared" si="110"/>
        <v>1.4875000000000009</v>
      </c>
      <c r="CW244" s="655" t="s">
        <v>449</v>
      </c>
    </row>
    <row r="245" spans="2:101" ht="15" customHeight="1">
      <c r="B245" s="163">
        <v>43800</v>
      </c>
      <c r="C245" s="165">
        <v>998</v>
      </c>
      <c r="D245" s="274">
        <f t="shared" si="111"/>
        <v>43800</v>
      </c>
      <c r="E245" s="275">
        <f t="shared" si="112"/>
        <v>998</v>
      </c>
      <c r="G245" s="163">
        <v>44166</v>
      </c>
      <c r="H245" s="163">
        <v>44197</v>
      </c>
      <c r="I245" s="164">
        <v>0</v>
      </c>
      <c r="J245" s="159">
        <f t="shared" si="113"/>
        <v>44197</v>
      </c>
      <c r="K245" s="278">
        <f t="shared" si="114"/>
        <v>0</v>
      </c>
      <c r="M245" s="163">
        <v>42309</v>
      </c>
      <c r="N245" s="163">
        <v>42339</v>
      </c>
      <c r="O245" s="164">
        <v>5.0000000000000001E-3</v>
      </c>
      <c r="P245" s="159">
        <f t="shared" si="102"/>
        <v>42309</v>
      </c>
      <c r="Q245" s="292">
        <f t="shared" si="99"/>
        <v>5.0000000000000001E-3</v>
      </c>
      <c r="S245" s="163">
        <v>42339</v>
      </c>
      <c r="T245" s="164">
        <v>1.1599999999999999E-2</v>
      </c>
      <c r="U245" s="159">
        <f t="shared" si="115"/>
        <v>42339</v>
      </c>
      <c r="V245" s="285">
        <f t="shared" si="116"/>
        <v>1.1599999999999999E-2</v>
      </c>
      <c r="BM245" s="31" t="s">
        <v>198</v>
      </c>
      <c r="BN245" s="159">
        <f t="shared" si="120"/>
        <v>40575</v>
      </c>
      <c r="BO245" s="162">
        <f t="shared" si="121"/>
        <v>7.1500000000000003E-4</v>
      </c>
      <c r="BP245" s="278">
        <f t="shared" si="95"/>
        <v>7.1500000000000003E-4</v>
      </c>
      <c r="BQ245" s="312">
        <f t="shared" si="103"/>
        <v>1.1548313822703222</v>
      </c>
      <c r="BS245" s="31" t="s">
        <v>43</v>
      </c>
      <c r="BT245" s="159">
        <f t="shared" si="118"/>
        <v>40575</v>
      </c>
      <c r="BU245" s="162">
        <f t="shared" si="119"/>
        <v>8.3999999999999995E-3</v>
      </c>
      <c r="BV245" s="311">
        <f t="shared" si="104"/>
        <v>1.478900000000001</v>
      </c>
      <c r="BX245" s="358" t="s">
        <v>242</v>
      </c>
      <c r="BY245" s="294">
        <f t="shared" si="122"/>
        <v>40575</v>
      </c>
      <c r="BZ245" s="357">
        <f t="shared" si="123"/>
        <v>5.0000000000000001E-3</v>
      </c>
      <c r="CA245" s="162">
        <f t="shared" si="105"/>
        <v>0.82094200000000084</v>
      </c>
      <c r="CB245" s="42"/>
      <c r="CF245" s="31" t="s">
        <v>197</v>
      </c>
      <c r="CG245" s="168">
        <f t="shared" si="101"/>
        <v>40575</v>
      </c>
      <c r="CH245" s="37">
        <v>0</v>
      </c>
      <c r="CI245" s="314">
        <f t="shared" si="98"/>
        <v>0</v>
      </c>
      <c r="CJ245" s="312">
        <f t="shared" si="106"/>
        <v>1</v>
      </c>
      <c r="CN245" s="315">
        <f t="shared" si="107"/>
        <v>40575</v>
      </c>
      <c r="CO245" s="312">
        <f t="shared" si="108"/>
        <v>1</v>
      </c>
      <c r="CQ245" s="315">
        <f t="shared" si="109"/>
        <v>40575</v>
      </c>
      <c r="CR245" s="316">
        <f t="shared" si="110"/>
        <v>1.478900000000001</v>
      </c>
      <c r="CW245"/>
    </row>
    <row r="246" spans="2:101" ht="15" customHeight="1">
      <c r="B246" s="163">
        <v>43831</v>
      </c>
      <c r="C246" s="165">
        <v>1039</v>
      </c>
      <c r="D246" s="274">
        <f t="shared" si="111"/>
        <v>43831</v>
      </c>
      <c r="E246" s="275">
        <f t="shared" si="112"/>
        <v>1039</v>
      </c>
      <c r="G246" s="163">
        <v>44197</v>
      </c>
      <c r="H246" s="163">
        <v>44228</v>
      </c>
      <c r="I246" s="164">
        <v>0</v>
      </c>
      <c r="J246" s="159">
        <f t="shared" si="113"/>
        <v>44228</v>
      </c>
      <c r="K246" s="278">
        <f t="shared" si="114"/>
        <v>0</v>
      </c>
      <c r="M246" s="163">
        <v>42339</v>
      </c>
      <c r="N246" s="163">
        <v>42370</v>
      </c>
      <c r="O246" s="164">
        <v>5.0000000000000001E-3</v>
      </c>
      <c r="P246" s="159">
        <f t="shared" si="102"/>
        <v>42339</v>
      </c>
      <c r="Q246" s="292">
        <f t="shared" si="99"/>
        <v>5.0000000000000001E-3</v>
      </c>
      <c r="S246" s="163">
        <v>42370</v>
      </c>
      <c r="T246" s="164">
        <v>1.06E-2</v>
      </c>
      <c r="U246" s="159">
        <f t="shared" si="115"/>
        <v>42370</v>
      </c>
      <c r="V246" s="285">
        <f t="shared" si="116"/>
        <v>1.06E-2</v>
      </c>
      <c r="BM246" s="31" t="s">
        <v>198</v>
      </c>
      <c r="BN246" s="159">
        <f t="shared" si="120"/>
        <v>40603</v>
      </c>
      <c r="BO246" s="162">
        <f t="shared" si="121"/>
        <v>5.2400000000000005E-4</v>
      </c>
      <c r="BP246" s="278">
        <f t="shared" si="95"/>
        <v>5.2400000000000005E-4</v>
      </c>
      <c r="BQ246" s="312">
        <f t="shared" si="103"/>
        <v>1.1540062677888532</v>
      </c>
      <c r="BS246" s="31" t="s">
        <v>43</v>
      </c>
      <c r="BT246" s="159">
        <f t="shared" si="118"/>
        <v>40603</v>
      </c>
      <c r="BU246" s="162">
        <f t="shared" si="119"/>
        <v>9.1999999999999998E-3</v>
      </c>
      <c r="BV246" s="311">
        <f t="shared" si="104"/>
        <v>1.470500000000001</v>
      </c>
      <c r="BX246" s="358" t="s">
        <v>242</v>
      </c>
      <c r="BY246" s="294">
        <f t="shared" si="122"/>
        <v>40603</v>
      </c>
      <c r="BZ246" s="357">
        <f t="shared" si="123"/>
        <v>5.0000000000000001E-3</v>
      </c>
      <c r="CA246" s="162">
        <f t="shared" si="105"/>
        <v>0.81594200000000083</v>
      </c>
      <c r="CB246" s="42"/>
      <c r="CF246" s="31" t="s">
        <v>197</v>
      </c>
      <c r="CG246" s="168">
        <f t="shared" si="101"/>
        <v>40603</v>
      </c>
      <c r="CH246" s="37">
        <v>0</v>
      </c>
      <c r="CI246" s="314">
        <f t="shared" si="98"/>
        <v>0</v>
      </c>
      <c r="CJ246" s="312">
        <f t="shared" si="106"/>
        <v>1</v>
      </c>
      <c r="CN246" s="315">
        <f t="shared" si="107"/>
        <v>40603</v>
      </c>
      <c r="CO246" s="312">
        <f t="shared" si="108"/>
        <v>1</v>
      </c>
      <c r="CQ246" s="315">
        <f t="shared" si="109"/>
        <v>40603</v>
      </c>
      <c r="CR246" s="316">
        <f t="shared" si="110"/>
        <v>1.470500000000001</v>
      </c>
      <c r="CW246" s="650" t="s">
        <v>450</v>
      </c>
    </row>
    <row r="247" spans="2:101" ht="15" customHeight="1">
      <c r="B247" s="163">
        <v>43862</v>
      </c>
      <c r="C247" s="165">
        <v>1045</v>
      </c>
      <c r="D247" s="274">
        <f t="shared" si="111"/>
        <v>43862</v>
      </c>
      <c r="E247" s="275">
        <f t="shared" si="112"/>
        <v>1045</v>
      </c>
      <c r="G247" s="163">
        <v>44228</v>
      </c>
      <c r="H247" s="163">
        <v>44256</v>
      </c>
      <c r="I247" s="164">
        <v>0</v>
      </c>
      <c r="J247" s="159">
        <f t="shared" si="113"/>
        <v>44256</v>
      </c>
      <c r="K247" s="278">
        <f t="shared" si="114"/>
        <v>0</v>
      </c>
      <c r="M247" s="163">
        <v>42370</v>
      </c>
      <c r="N247" s="163">
        <v>42401</v>
      </c>
      <c r="O247" s="164">
        <v>5.0000000000000001E-3</v>
      </c>
      <c r="P247" s="159">
        <f t="shared" si="102"/>
        <v>42370</v>
      </c>
      <c r="Q247" s="292">
        <f t="shared" si="99"/>
        <v>5.0000000000000001E-3</v>
      </c>
      <c r="S247" s="163">
        <v>42401</v>
      </c>
      <c r="T247" s="164">
        <v>0.01</v>
      </c>
      <c r="U247" s="159">
        <f t="shared" si="115"/>
        <v>42401</v>
      </c>
      <c r="V247" s="285">
        <f t="shared" si="116"/>
        <v>0.01</v>
      </c>
      <c r="BM247" s="31" t="s">
        <v>198</v>
      </c>
      <c r="BN247" s="159">
        <f t="shared" si="120"/>
        <v>40634</v>
      </c>
      <c r="BO247" s="162">
        <f t="shared" si="121"/>
        <v>1.212E-3</v>
      </c>
      <c r="BP247" s="278">
        <f t="shared" si="95"/>
        <v>1.212E-3</v>
      </c>
      <c r="BQ247" s="312">
        <f t="shared" si="103"/>
        <v>1.1534018852010079</v>
      </c>
      <c r="BS247" s="31" t="s">
        <v>43</v>
      </c>
      <c r="BT247" s="159">
        <f t="shared" si="118"/>
        <v>40634</v>
      </c>
      <c r="BU247" s="162">
        <f t="shared" si="119"/>
        <v>8.3999999999999995E-3</v>
      </c>
      <c r="BV247" s="311">
        <f t="shared" si="104"/>
        <v>1.4613000000000009</v>
      </c>
      <c r="BX247" s="358" t="s">
        <v>242</v>
      </c>
      <c r="BY247" s="294">
        <f t="shared" si="122"/>
        <v>40634</v>
      </c>
      <c r="BZ247" s="357">
        <f t="shared" si="123"/>
        <v>5.0000000000000001E-3</v>
      </c>
      <c r="CA247" s="162">
        <f t="shared" si="105"/>
        <v>0.81094200000000083</v>
      </c>
      <c r="CB247" s="42"/>
      <c r="CF247" s="31" t="s">
        <v>197</v>
      </c>
      <c r="CG247" s="168">
        <f t="shared" si="101"/>
        <v>40634</v>
      </c>
      <c r="CH247" s="37">
        <v>0</v>
      </c>
      <c r="CI247" s="314">
        <f t="shared" si="98"/>
        <v>0</v>
      </c>
      <c r="CJ247" s="312">
        <f t="shared" si="106"/>
        <v>1</v>
      </c>
      <c r="CN247" s="315">
        <f t="shared" si="107"/>
        <v>40634</v>
      </c>
      <c r="CO247" s="312">
        <f t="shared" si="108"/>
        <v>1</v>
      </c>
      <c r="CQ247" s="315">
        <f t="shared" si="109"/>
        <v>40634</v>
      </c>
      <c r="CR247" s="316">
        <f t="shared" si="110"/>
        <v>1.4613000000000009</v>
      </c>
      <c r="CW247" s="655" t="s">
        <v>451</v>
      </c>
    </row>
    <row r="248" spans="2:101" ht="15" customHeight="1">
      <c r="B248" s="163">
        <v>43891</v>
      </c>
      <c r="C248" s="165">
        <v>1045</v>
      </c>
      <c r="D248" s="274">
        <f t="shared" si="111"/>
        <v>43891</v>
      </c>
      <c r="E248" s="275">
        <f t="shared" si="112"/>
        <v>1045</v>
      </c>
      <c r="G248" s="163">
        <v>44256</v>
      </c>
      <c r="H248" s="163">
        <v>44287</v>
      </c>
      <c r="I248" s="164">
        <v>0</v>
      </c>
      <c r="J248" s="159">
        <f t="shared" si="113"/>
        <v>44287</v>
      </c>
      <c r="K248" s="278">
        <f t="shared" si="114"/>
        <v>0</v>
      </c>
      <c r="M248" s="163">
        <v>42401</v>
      </c>
      <c r="N248" s="163">
        <v>42430</v>
      </c>
      <c r="O248" s="164">
        <v>5.0000000000000001E-3</v>
      </c>
      <c r="P248" s="159">
        <f t="shared" si="102"/>
        <v>42401</v>
      </c>
      <c r="Q248" s="292">
        <f t="shared" si="99"/>
        <v>5.0000000000000001E-3</v>
      </c>
      <c r="S248" s="163">
        <v>42430</v>
      </c>
      <c r="T248" s="164">
        <v>1.1599999999999999E-2</v>
      </c>
      <c r="U248" s="159">
        <f t="shared" si="115"/>
        <v>42430</v>
      </c>
      <c r="V248" s="285">
        <f t="shared" si="116"/>
        <v>1.1599999999999999E-2</v>
      </c>
      <c r="BM248" s="31" t="s">
        <v>198</v>
      </c>
      <c r="BN248" s="159">
        <f t="shared" si="120"/>
        <v>40664</v>
      </c>
      <c r="BO248" s="162">
        <f t="shared" si="121"/>
        <v>3.6900000000000002E-4</v>
      </c>
      <c r="BP248" s="278">
        <f t="shared" si="95"/>
        <v>3.6900000000000002E-4</v>
      </c>
      <c r="BQ248" s="312">
        <f t="shared" si="103"/>
        <v>1.1520056543479382</v>
      </c>
      <c r="BS248" s="31" t="s">
        <v>43</v>
      </c>
      <c r="BT248" s="159">
        <f t="shared" si="118"/>
        <v>40664</v>
      </c>
      <c r="BU248" s="162">
        <f t="shared" si="119"/>
        <v>9.9000000000000008E-3</v>
      </c>
      <c r="BV248" s="311">
        <f t="shared" si="104"/>
        <v>1.452900000000001</v>
      </c>
      <c r="BX248" s="358" t="s">
        <v>242</v>
      </c>
      <c r="BY248" s="294">
        <f t="shared" si="122"/>
        <v>40664</v>
      </c>
      <c r="BZ248" s="357">
        <f t="shared" si="123"/>
        <v>5.0000000000000001E-3</v>
      </c>
      <c r="CA248" s="162">
        <f t="shared" si="105"/>
        <v>0.80594200000000082</v>
      </c>
      <c r="CB248" s="42"/>
      <c r="CF248" s="31" t="s">
        <v>197</v>
      </c>
      <c r="CG248" s="168">
        <f t="shared" si="101"/>
        <v>40664</v>
      </c>
      <c r="CH248" s="37">
        <v>0</v>
      </c>
      <c r="CI248" s="314">
        <f t="shared" si="98"/>
        <v>0</v>
      </c>
      <c r="CJ248" s="312">
        <f t="shared" si="106"/>
        <v>1</v>
      </c>
      <c r="CN248" s="315">
        <f t="shared" si="107"/>
        <v>40664</v>
      </c>
      <c r="CO248" s="312">
        <f t="shared" si="108"/>
        <v>1</v>
      </c>
      <c r="CQ248" s="315">
        <f t="shared" si="109"/>
        <v>40664</v>
      </c>
      <c r="CR248" s="316">
        <f t="shared" si="110"/>
        <v>1.452900000000001</v>
      </c>
      <c r="CW248"/>
    </row>
    <row r="249" spans="2:101" ht="15" customHeight="1">
      <c r="B249" s="163">
        <v>43922</v>
      </c>
      <c r="C249" s="165">
        <v>1045</v>
      </c>
      <c r="D249" s="274">
        <f t="shared" si="111"/>
        <v>43922</v>
      </c>
      <c r="E249" s="275">
        <f t="shared" si="112"/>
        <v>1045</v>
      </c>
      <c r="G249" s="163">
        <v>44287</v>
      </c>
      <c r="H249" s="163">
        <v>44317</v>
      </c>
      <c r="I249" s="164">
        <v>0</v>
      </c>
      <c r="J249" s="159">
        <f t="shared" si="113"/>
        <v>44317</v>
      </c>
      <c r="K249" s="278">
        <f t="shared" si="114"/>
        <v>0</v>
      </c>
      <c r="M249" s="163">
        <v>42430</v>
      </c>
      <c r="N249" s="163">
        <v>42461</v>
      </c>
      <c r="O249" s="164">
        <v>5.0000000000000001E-3</v>
      </c>
      <c r="P249" s="159">
        <f t="shared" si="102"/>
        <v>42430</v>
      </c>
      <c r="Q249" s="292">
        <f t="shared" si="99"/>
        <v>5.0000000000000001E-3</v>
      </c>
      <c r="S249" s="163">
        <v>42461</v>
      </c>
      <c r="T249" s="164">
        <v>1.06E-2</v>
      </c>
      <c r="U249" s="159">
        <f t="shared" si="115"/>
        <v>42461</v>
      </c>
      <c r="V249" s="285">
        <f t="shared" si="116"/>
        <v>1.06E-2</v>
      </c>
      <c r="BM249" s="31" t="s">
        <v>198</v>
      </c>
      <c r="BN249" s="159">
        <f t="shared" si="120"/>
        <v>40695</v>
      </c>
      <c r="BO249" s="162">
        <f t="shared" si="121"/>
        <v>1.57E-3</v>
      </c>
      <c r="BP249" s="278">
        <f t="shared" si="95"/>
        <v>1.57E-3</v>
      </c>
      <c r="BQ249" s="312">
        <f t="shared" si="103"/>
        <v>1.1515807210618663</v>
      </c>
      <c r="BS249" s="31" t="s">
        <v>43</v>
      </c>
      <c r="BT249" s="159">
        <f t="shared" si="118"/>
        <v>40695</v>
      </c>
      <c r="BU249" s="162">
        <f t="shared" si="119"/>
        <v>9.5999999999999992E-3</v>
      </c>
      <c r="BV249" s="311">
        <f t="shared" si="104"/>
        <v>1.4430000000000009</v>
      </c>
      <c r="BX249" s="358" t="s">
        <v>242</v>
      </c>
      <c r="BY249" s="294">
        <f t="shared" si="122"/>
        <v>40695</v>
      </c>
      <c r="BZ249" s="357">
        <f t="shared" si="123"/>
        <v>5.0000000000000001E-3</v>
      </c>
      <c r="CA249" s="162">
        <f t="shared" si="105"/>
        <v>0.80094200000000082</v>
      </c>
      <c r="CB249" s="42"/>
      <c r="CF249" s="31" t="s">
        <v>197</v>
      </c>
      <c r="CG249" s="168">
        <f t="shared" si="101"/>
        <v>40695</v>
      </c>
      <c r="CH249" s="37">
        <v>0</v>
      </c>
      <c r="CI249" s="314">
        <f t="shared" si="98"/>
        <v>0</v>
      </c>
      <c r="CJ249" s="312">
        <f t="shared" si="106"/>
        <v>1</v>
      </c>
      <c r="CN249" s="315">
        <f t="shared" si="107"/>
        <v>40695</v>
      </c>
      <c r="CO249" s="312">
        <f t="shared" si="108"/>
        <v>1</v>
      </c>
      <c r="CQ249" s="315">
        <f t="shared" si="109"/>
        <v>40695</v>
      </c>
      <c r="CR249" s="316">
        <f t="shared" si="110"/>
        <v>1.4430000000000009</v>
      </c>
      <c r="CW249" s="650" t="s">
        <v>452</v>
      </c>
    </row>
    <row r="250" spans="2:101" ht="15" customHeight="1">
      <c r="B250" s="163">
        <v>43952</v>
      </c>
      <c r="C250" s="165">
        <v>1045</v>
      </c>
      <c r="D250" s="274">
        <f t="shared" si="111"/>
        <v>43952</v>
      </c>
      <c r="E250" s="275">
        <f t="shared" si="112"/>
        <v>1045</v>
      </c>
      <c r="G250" s="163">
        <v>44317</v>
      </c>
      <c r="H250" s="163">
        <v>44348</v>
      </c>
      <c r="I250" s="164">
        <v>0</v>
      </c>
      <c r="J250" s="159">
        <f t="shared" si="113"/>
        <v>44348</v>
      </c>
      <c r="K250" s="278">
        <f t="shared" si="114"/>
        <v>0</v>
      </c>
      <c r="M250" s="163">
        <v>42461</v>
      </c>
      <c r="N250" s="163">
        <v>42491</v>
      </c>
      <c r="O250" s="164">
        <v>5.0000000000000001E-3</v>
      </c>
      <c r="P250" s="159">
        <f t="shared" si="102"/>
        <v>42461</v>
      </c>
      <c r="Q250" s="292">
        <f t="shared" si="99"/>
        <v>5.0000000000000001E-3</v>
      </c>
      <c r="S250" s="163">
        <v>42491</v>
      </c>
      <c r="T250" s="164">
        <v>1.11E-2</v>
      </c>
      <c r="U250" s="159">
        <f t="shared" si="115"/>
        <v>42491</v>
      </c>
      <c r="V250" s="285">
        <f t="shared" si="116"/>
        <v>1.11E-2</v>
      </c>
      <c r="BM250" s="31" t="s">
        <v>198</v>
      </c>
      <c r="BN250" s="159">
        <f t="shared" si="120"/>
        <v>40725</v>
      </c>
      <c r="BO250" s="162">
        <f t="shared" si="121"/>
        <v>1.114E-3</v>
      </c>
      <c r="BP250" s="278">
        <f t="shared" si="95"/>
        <v>1.114E-3</v>
      </c>
      <c r="BQ250" s="312">
        <f t="shared" si="103"/>
        <v>1.14977557341161</v>
      </c>
      <c r="BS250" s="31" t="s">
        <v>43</v>
      </c>
      <c r="BT250" s="159">
        <f t="shared" si="118"/>
        <v>40725</v>
      </c>
      <c r="BU250" s="162">
        <f t="shared" si="119"/>
        <v>9.7000000000000003E-3</v>
      </c>
      <c r="BV250" s="311">
        <f t="shared" si="104"/>
        <v>1.4334000000000009</v>
      </c>
      <c r="BX250" s="358" t="s">
        <v>242</v>
      </c>
      <c r="BY250" s="294">
        <f t="shared" si="122"/>
        <v>40725</v>
      </c>
      <c r="BZ250" s="357">
        <f t="shared" si="123"/>
        <v>5.0000000000000001E-3</v>
      </c>
      <c r="CA250" s="162">
        <f t="shared" si="105"/>
        <v>0.79594200000000082</v>
      </c>
      <c r="CB250" s="42"/>
      <c r="CF250" s="31" t="s">
        <v>197</v>
      </c>
      <c r="CG250" s="168">
        <f t="shared" si="101"/>
        <v>40725</v>
      </c>
      <c r="CH250" s="37">
        <v>0</v>
      </c>
      <c r="CI250" s="314">
        <f t="shared" si="98"/>
        <v>0</v>
      </c>
      <c r="CJ250" s="312">
        <f t="shared" si="106"/>
        <v>1</v>
      </c>
      <c r="CN250" s="315">
        <f t="shared" si="107"/>
        <v>40725</v>
      </c>
      <c r="CO250" s="312">
        <f t="shared" si="108"/>
        <v>1</v>
      </c>
      <c r="CQ250" s="315">
        <f t="shared" si="109"/>
        <v>40725</v>
      </c>
      <c r="CR250" s="316">
        <f t="shared" si="110"/>
        <v>1.4334000000000009</v>
      </c>
      <c r="CW250" s="655" t="s">
        <v>453</v>
      </c>
    </row>
    <row r="251" spans="2:101" ht="15" customHeight="1">
      <c r="B251" s="163">
        <v>43983</v>
      </c>
      <c r="C251" s="165">
        <v>1045</v>
      </c>
      <c r="D251" s="274">
        <f t="shared" si="111"/>
        <v>43983</v>
      </c>
      <c r="E251" s="275">
        <f t="shared" si="112"/>
        <v>1045</v>
      </c>
      <c r="G251" s="163">
        <v>44348</v>
      </c>
      <c r="H251" s="163">
        <v>44378</v>
      </c>
      <c r="I251" s="164">
        <v>0</v>
      </c>
      <c r="J251" s="159">
        <f t="shared" si="113"/>
        <v>44378</v>
      </c>
      <c r="K251" s="278">
        <f t="shared" si="114"/>
        <v>0</v>
      </c>
      <c r="M251" s="163">
        <v>42491</v>
      </c>
      <c r="N251" s="163">
        <v>42522</v>
      </c>
      <c r="O251" s="164">
        <v>5.0000000000000001E-3</v>
      </c>
      <c r="P251" s="159">
        <f t="shared" si="102"/>
        <v>42491</v>
      </c>
      <c r="Q251" s="292">
        <f t="shared" si="99"/>
        <v>5.0000000000000001E-3</v>
      </c>
      <c r="S251" s="163">
        <v>42522</v>
      </c>
      <c r="T251" s="164">
        <v>1.1599999999999999E-2</v>
      </c>
      <c r="U251" s="159">
        <f t="shared" si="115"/>
        <v>42522</v>
      </c>
      <c r="V251" s="285">
        <f t="shared" si="116"/>
        <v>1.1599999999999999E-2</v>
      </c>
      <c r="BM251" s="31" t="s">
        <v>198</v>
      </c>
      <c r="BN251" s="159">
        <f t="shared" si="120"/>
        <v>40756</v>
      </c>
      <c r="BO251" s="162">
        <f t="shared" si="121"/>
        <v>1.2290000000000001E-3</v>
      </c>
      <c r="BP251" s="278">
        <f t="shared" si="95"/>
        <v>1.2290000000000001E-3</v>
      </c>
      <c r="BQ251" s="312">
        <f t="shared" si="103"/>
        <v>1.1484961487019558</v>
      </c>
      <c r="BS251" s="31" t="s">
        <v>43</v>
      </c>
      <c r="BT251" s="159">
        <f t="shared" si="118"/>
        <v>40756</v>
      </c>
      <c r="BU251" s="162">
        <f t="shared" si="119"/>
        <v>1.0699999999999999E-2</v>
      </c>
      <c r="BV251" s="311">
        <f t="shared" si="104"/>
        <v>1.4237000000000009</v>
      </c>
      <c r="BX251" s="358" t="s">
        <v>242</v>
      </c>
      <c r="BY251" s="294">
        <f t="shared" si="122"/>
        <v>40756</v>
      </c>
      <c r="BZ251" s="357">
        <f t="shared" si="123"/>
        <v>5.0000000000000001E-3</v>
      </c>
      <c r="CA251" s="162">
        <f t="shared" si="105"/>
        <v>0.79094200000000081</v>
      </c>
      <c r="CB251" s="42"/>
      <c r="CF251" s="31" t="s">
        <v>197</v>
      </c>
      <c r="CG251" s="168">
        <f t="shared" si="101"/>
        <v>40756</v>
      </c>
      <c r="CH251" s="37">
        <v>0</v>
      </c>
      <c r="CI251" s="314">
        <f t="shared" si="98"/>
        <v>0</v>
      </c>
      <c r="CJ251" s="312">
        <f t="shared" si="106"/>
        <v>1</v>
      </c>
      <c r="CN251" s="315">
        <f t="shared" si="107"/>
        <v>40756</v>
      </c>
      <c r="CO251" s="312">
        <f t="shared" si="108"/>
        <v>1</v>
      </c>
      <c r="CQ251" s="315">
        <f t="shared" si="109"/>
        <v>40756</v>
      </c>
      <c r="CR251" s="316">
        <f t="shared" si="110"/>
        <v>1.4237000000000009</v>
      </c>
      <c r="CW251"/>
    </row>
    <row r="252" spans="2:101" ht="15" customHeight="1">
      <c r="B252" s="163">
        <v>44013</v>
      </c>
      <c r="C252" s="165">
        <v>1045</v>
      </c>
      <c r="D252" s="274">
        <f t="shared" si="111"/>
        <v>44013</v>
      </c>
      <c r="E252" s="275">
        <f t="shared" si="112"/>
        <v>1045</v>
      </c>
      <c r="G252" s="163">
        <v>44378</v>
      </c>
      <c r="H252" s="163">
        <v>44409</v>
      </c>
      <c r="I252" s="164">
        <v>0</v>
      </c>
      <c r="J252" s="159">
        <f t="shared" si="113"/>
        <v>44409</v>
      </c>
      <c r="K252" s="278">
        <f t="shared" si="114"/>
        <v>0</v>
      </c>
      <c r="M252" s="163">
        <v>42522</v>
      </c>
      <c r="N252" s="163">
        <v>42552</v>
      </c>
      <c r="O252" s="164">
        <v>5.0000000000000001E-3</v>
      </c>
      <c r="P252" s="159">
        <f t="shared" si="102"/>
        <v>42522</v>
      </c>
      <c r="Q252" s="292">
        <f t="shared" si="99"/>
        <v>5.0000000000000001E-3</v>
      </c>
      <c r="S252" s="163">
        <v>42552</v>
      </c>
      <c r="T252" s="164">
        <v>1.11E-2</v>
      </c>
      <c r="U252" s="159">
        <f t="shared" si="115"/>
        <v>42552</v>
      </c>
      <c r="V252" s="285">
        <f t="shared" si="116"/>
        <v>1.11E-2</v>
      </c>
      <c r="BM252" s="31" t="s">
        <v>198</v>
      </c>
      <c r="BN252" s="159">
        <f t="shared" si="120"/>
        <v>40787</v>
      </c>
      <c r="BO252" s="162">
        <f t="shared" si="121"/>
        <v>2.0760000000000002E-3</v>
      </c>
      <c r="BP252" s="278">
        <f t="shared" si="95"/>
        <v>2.0760000000000002E-3</v>
      </c>
      <c r="BQ252" s="312">
        <f t="shared" si="103"/>
        <v>1.1470863795414994</v>
      </c>
      <c r="BS252" s="31" t="s">
        <v>43</v>
      </c>
      <c r="BT252" s="159">
        <f t="shared" si="118"/>
        <v>40787</v>
      </c>
      <c r="BU252" s="162">
        <f t="shared" si="119"/>
        <v>9.4000000000000004E-3</v>
      </c>
      <c r="BV252" s="311">
        <f t="shared" si="104"/>
        <v>1.4130000000000009</v>
      </c>
      <c r="BX252" s="358" t="s">
        <v>242</v>
      </c>
      <c r="BY252" s="294">
        <f t="shared" si="122"/>
        <v>40787</v>
      </c>
      <c r="BZ252" s="357">
        <f t="shared" si="123"/>
        <v>5.0000000000000001E-3</v>
      </c>
      <c r="CA252" s="162">
        <f t="shared" si="105"/>
        <v>0.78594200000000081</v>
      </c>
      <c r="CB252" s="42"/>
      <c r="CF252" s="31" t="s">
        <v>197</v>
      </c>
      <c r="CG252" s="168">
        <f t="shared" si="101"/>
        <v>40787</v>
      </c>
      <c r="CH252" s="37">
        <v>0</v>
      </c>
      <c r="CI252" s="314">
        <f t="shared" si="98"/>
        <v>0</v>
      </c>
      <c r="CJ252" s="312">
        <f t="shared" si="106"/>
        <v>1</v>
      </c>
      <c r="CN252" s="315">
        <f t="shared" si="107"/>
        <v>40787</v>
      </c>
      <c r="CO252" s="312">
        <f t="shared" si="108"/>
        <v>1</v>
      </c>
      <c r="CQ252" s="315">
        <f t="shared" si="109"/>
        <v>40787</v>
      </c>
      <c r="CR252" s="316">
        <f t="shared" si="110"/>
        <v>1.4130000000000009</v>
      </c>
      <c r="CW252" s="650" t="s">
        <v>454</v>
      </c>
    </row>
    <row r="253" spans="2:101" ht="15" customHeight="1">
      <c r="B253" s="163">
        <v>44044</v>
      </c>
      <c r="C253" s="165">
        <v>1045</v>
      </c>
      <c r="D253" s="274">
        <f t="shared" si="111"/>
        <v>44044</v>
      </c>
      <c r="E253" s="275">
        <f t="shared" si="112"/>
        <v>1045</v>
      </c>
      <c r="G253" s="163">
        <v>44409</v>
      </c>
      <c r="H253" s="163">
        <v>44440</v>
      </c>
      <c r="I253" s="164">
        <v>0</v>
      </c>
      <c r="J253" s="159">
        <f t="shared" si="113"/>
        <v>44440</v>
      </c>
      <c r="K253" s="278">
        <f t="shared" si="114"/>
        <v>0</v>
      </c>
      <c r="M253" s="163">
        <v>42552</v>
      </c>
      <c r="N253" s="163">
        <v>42583</v>
      </c>
      <c r="O253" s="164">
        <v>5.0000000000000001E-3</v>
      </c>
      <c r="P253" s="159">
        <f t="shared" si="102"/>
        <v>42552</v>
      </c>
      <c r="Q253" s="292">
        <f t="shared" si="99"/>
        <v>5.0000000000000001E-3</v>
      </c>
      <c r="S253" s="163">
        <v>42583</v>
      </c>
      <c r="T253" s="164">
        <v>1.2200000000000001E-2</v>
      </c>
      <c r="U253" s="159">
        <f t="shared" si="115"/>
        <v>42583</v>
      </c>
      <c r="V253" s="285">
        <f t="shared" si="116"/>
        <v>1.2200000000000001E-2</v>
      </c>
      <c r="BM253" s="31" t="s">
        <v>198</v>
      </c>
      <c r="BN253" s="159">
        <f t="shared" si="120"/>
        <v>40817</v>
      </c>
      <c r="BO253" s="162">
        <f t="shared" si="121"/>
        <v>1.003E-3</v>
      </c>
      <c r="BP253" s="278">
        <f t="shared" si="95"/>
        <v>1.003E-3</v>
      </c>
      <c r="BQ253" s="312">
        <f t="shared" si="103"/>
        <v>1.144709961661091</v>
      </c>
      <c r="BS253" s="31" t="s">
        <v>43</v>
      </c>
      <c r="BT253" s="159">
        <f t="shared" si="118"/>
        <v>40817</v>
      </c>
      <c r="BU253" s="162">
        <f t="shared" si="119"/>
        <v>8.8000000000000005E-3</v>
      </c>
      <c r="BV253" s="311">
        <f t="shared" si="104"/>
        <v>1.4036000000000008</v>
      </c>
      <c r="BX253" s="358" t="s">
        <v>242</v>
      </c>
      <c r="BY253" s="294">
        <f t="shared" si="122"/>
        <v>40817</v>
      </c>
      <c r="BZ253" s="357">
        <f t="shared" si="123"/>
        <v>5.0000000000000001E-3</v>
      </c>
      <c r="CA253" s="162">
        <f t="shared" si="105"/>
        <v>0.7809420000000008</v>
      </c>
      <c r="CB253" s="42"/>
      <c r="CF253" s="31" t="s">
        <v>197</v>
      </c>
      <c r="CG253" s="168">
        <f t="shared" si="101"/>
        <v>40817</v>
      </c>
      <c r="CH253" s="37">
        <v>0</v>
      </c>
      <c r="CI253" s="314">
        <f t="shared" si="98"/>
        <v>0</v>
      </c>
      <c r="CJ253" s="312">
        <f t="shared" si="106"/>
        <v>1</v>
      </c>
      <c r="CN253" s="315">
        <f t="shared" si="107"/>
        <v>40817</v>
      </c>
      <c r="CO253" s="312">
        <f t="shared" si="108"/>
        <v>1</v>
      </c>
      <c r="CQ253" s="315">
        <f t="shared" si="109"/>
        <v>40817</v>
      </c>
      <c r="CR253" s="316">
        <f t="shared" si="110"/>
        <v>1.4036000000000008</v>
      </c>
      <c r="CW253" s="655" t="s">
        <v>455</v>
      </c>
    </row>
    <row r="254" spans="2:101" ht="15" customHeight="1">
      <c r="B254" s="163">
        <v>44075</v>
      </c>
      <c r="C254" s="165">
        <v>1045</v>
      </c>
      <c r="D254" s="274">
        <f t="shared" si="111"/>
        <v>44075</v>
      </c>
      <c r="E254" s="275">
        <f t="shared" si="112"/>
        <v>1045</v>
      </c>
      <c r="G254" s="163">
        <v>44440</v>
      </c>
      <c r="H254" s="163">
        <v>44470</v>
      </c>
      <c r="I254" s="164">
        <v>0</v>
      </c>
      <c r="J254" s="159">
        <f t="shared" si="113"/>
        <v>44470</v>
      </c>
      <c r="K254" s="278">
        <f t="shared" si="114"/>
        <v>0</v>
      </c>
      <c r="M254" s="163">
        <v>42583</v>
      </c>
      <c r="N254" s="163">
        <v>42614</v>
      </c>
      <c r="O254" s="164">
        <v>5.0000000000000001E-3</v>
      </c>
      <c r="P254" s="159">
        <f t="shared" si="102"/>
        <v>42583</v>
      </c>
      <c r="Q254" s="292">
        <f t="shared" si="99"/>
        <v>5.0000000000000001E-3</v>
      </c>
      <c r="S254" s="163">
        <v>42614</v>
      </c>
      <c r="T254" s="164">
        <v>1.11E-2</v>
      </c>
      <c r="U254" s="159">
        <f t="shared" si="115"/>
        <v>42614</v>
      </c>
      <c r="V254" s="285">
        <f t="shared" si="116"/>
        <v>1.11E-2</v>
      </c>
      <c r="BM254" s="31" t="s">
        <v>198</v>
      </c>
      <c r="BN254" s="159">
        <f t="shared" si="120"/>
        <v>40848</v>
      </c>
      <c r="BO254" s="162">
        <f t="shared" si="121"/>
        <v>6.2E-4</v>
      </c>
      <c r="BP254" s="278">
        <f t="shared" si="95"/>
        <v>6.2E-4</v>
      </c>
      <c r="BQ254" s="312">
        <f t="shared" si="103"/>
        <v>1.1435629680041826</v>
      </c>
      <c r="BS254" s="31" t="s">
        <v>43</v>
      </c>
      <c r="BT254" s="159">
        <f t="shared" si="118"/>
        <v>40848</v>
      </c>
      <c r="BU254" s="162">
        <f t="shared" si="119"/>
        <v>8.6E-3</v>
      </c>
      <c r="BV254" s="311">
        <f t="shared" si="104"/>
        <v>1.3948000000000009</v>
      </c>
      <c r="BX254" s="358" t="s">
        <v>242</v>
      </c>
      <c r="BY254" s="294">
        <f t="shared" si="122"/>
        <v>40848</v>
      </c>
      <c r="BZ254" s="357">
        <f t="shared" si="123"/>
        <v>5.0000000000000001E-3</v>
      </c>
      <c r="CA254" s="162">
        <f t="shared" si="105"/>
        <v>0.7759420000000008</v>
      </c>
      <c r="CB254" s="42"/>
      <c r="CF254" s="31" t="s">
        <v>197</v>
      </c>
      <c r="CG254" s="168">
        <f t="shared" si="101"/>
        <v>40848</v>
      </c>
      <c r="CH254" s="37">
        <v>0</v>
      </c>
      <c r="CI254" s="314">
        <f t="shared" si="98"/>
        <v>0</v>
      </c>
      <c r="CJ254" s="312">
        <f t="shared" si="106"/>
        <v>1</v>
      </c>
      <c r="CN254" s="315">
        <f t="shared" si="107"/>
        <v>40848</v>
      </c>
      <c r="CO254" s="312">
        <f t="shared" si="108"/>
        <v>1</v>
      </c>
      <c r="CQ254" s="315">
        <f t="shared" si="109"/>
        <v>40848</v>
      </c>
      <c r="CR254" s="316">
        <f t="shared" si="110"/>
        <v>1.3948000000000009</v>
      </c>
      <c r="CW254"/>
    </row>
    <row r="255" spans="2:101" ht="15" customHeight="1">
      <c r="B255" s="163">
        <v>44105</v>
      </c>
      <c r="C255" s="165">
        <v>1045</v>
      </c>
      <c r="D255" s="274">
        <f t="shared" si="111"/>
        <v>44105</v>
      </c>
      <c r="E255" s="275">
        <f t="shared" si="112"/>
        <v>1045</v>
      </c>
      <c r="G255" s="163">
        <v>44470</v>
      </c>
      <c r="H255" s="163">
        <v>44501</v>
      </c>
      <c r="I255" s="164">
        <v>0</v>
      </c>
      <c r="J255" s="159">
        <f t="shared" si="113"/>
        <v>44501</v>
      </c>
      <c r="K255" s="278">
        <f t="shared" si="114"/>
        <v>0</v>
      </c>
      <c r="M255" s="163">
        <v>42614</v>
      </c>
      <c r="N255" s="163">
        <v>42644</v>
      </c>
      <c r="O255" s="164">
        <v>5.0000000000000001E-3</v>
      </c>
      <c r="P255" s="159">
        <f t="shared" si="102"/>
        <v>42614</v>
      </c>
      <c r="Q255" s="292">
        <f t="shared" si="99"/>
        <v>5.0000000000000001E-3</v>
      </c>
      <c r="S255" s="163">
        <v>42644</v>
      </c>
      <c r="T255" s="164">
        <v>1.0500000000000001E-2</v>
      </c>
      <c r="U255" s="159">
        <f t="shared" si="115"/>
        <v>42644</v>
      </c>
      <c r="V255" s="285">
        <f t="shared" si="116"/>
        <v>1.0500000000000001E-2</v>
      </c>
      <c r="BM255" s="31" t="s">
        <v>198</v>
      </c>
      <c r="BN255" s="159">
        <f t="shared" si="120"/>
        <v>40878</v>
      </c>
      <c r="BO255" s="162">
        <f t="shared" si="121"/>
        <v>6.4499999999999996E-4</v>
      </c>
      <c r="BP255" s="278">
        <f t="shared" ref="BP255:BP269" si="124">+BO255</f>
        <v>6.4499999999999996E-4</v>
      </c>
      <c r="BQ255" s="312">
        <f t="shared" si="103"/>
        <v>1.1428543982772505</v>
      </c>
      <c r="BS255" s="31" t="s">
        <v>43</v>
      </c>
      <c r="BT255" s="159">
        <f t="shared" si="118"/>
        <v>40878</v>
      </c>
      <c r="BU255" s="162">
        <f t="shared" si="119"/>
        <v>9.1000000000000004E-3</v>
      </c>
      <c r="BV255" s="311">
        <f t="shared" si="104"/>
        <v>1.386200000000001</v>
      </c>
      <c r="BX255" s="358" t="s">
        <v>242</v>
      </c>
      <c r="BY255" s="294">
        <f t="shared" si="122"/>
        <v>40878</v>
      </c>
      <c r="BZ255" s="357">
        <f t="shared" si="123"/>
        <v>5.0000000000000001E-3</v>
      </c>
      <c r="CA255" s="162">
        <f t="shared" si="105"/>
        <v>0.77094200000000079</v>
      </c>
      <c r="CB255" s="42"/>
      <c r="CF255" s="31" t="s">
        <v>197</v>
      </c>
      <c r="CG255" s="168">
        <f t="shared" si="101"/>
        <v>40878</v>
      </c>
      <c r="CH255" s="37">
        <v>0</v>
      </c>
      <c r="CI255" s="314">
        <f t="shared" si="98"/>
        <v>0</v>
      </c>
      <c r="CJ255" s="312">
        <f t="shared" si="106"/>
        <v>1</v>
      </c>
      <c r="CN255" s="315">
        <f t="shared" si="107"/>
        <v>40878</v>
      </c>
      <c r="CO255" s="312">
        <f t="shared" si="108"/>
        <v>1</v>
      </c>
      <c r="CQ255" s="315">
        <f t="shared" si="109"/>
        <v>40878</v>
      </c>
      <c r="CR255" s="316">
        <f t="shared" si="110"/>
        <v>1.386200000000001</v>
      </c>
      <c r="CW255" s="654" t="s">
        <v>456</v>
      </c>
    </row>
    <row r="256" spans="2:101" ht="15" customHeight="1">
      <c r="B256" s="163">
        <v>44136</v>
      </c>
      <c r="C256" s="165">
        <v>1045</v>
      </c>
      <c r="D256" s="274">
        <f t="shared" si="111"/>
        <v>44136</v>
      </c>
      <c r="E256" s="275">
        <f t="shared" si="112"/>
        <v>1045</v>
      </c>
      <c r="G256" s="163">
        <v>44501</v>
      </c>
      <c r="H256" s="163">
        <v>44531</v>
      </c>
      <c r="I256" s="164">
        <v>0</v>
      </c>
      <c r="J256" s="159">
        <f t="shared" si="113"/>
        <v>44531</v>
      </c>
      <c r="K256" s="278">
        <f t="shared" si="114"/>
        <v>0</v>
      </c>
      <c r="M256" s="163">
        <v>42644</v>
      </c>
      <c r="N256" s="163">
        <v>42675</v>
      </c>
      <c r="O256" s="164">
        <v>5.0000000000000001E-3</v>
      </c>
      <c r="P256" s="159">
        <f t="shared" si="102"/>
        <v>42644</v>
      </c>
      <c r="Q256" s="292">
        <f t="shared" si="99"/>
        <v>5.0000000000000001E-3</v>
      </c>
      <c r="S256" s="163">
        <v>42675</v>
      </c>
      <c r="T256" s="164">
        <v>1.04E-2</v>
      </c>
      <c r="U256" s="159">
        <f t="shared" si="115"/>
        <v>42675</v>
      </c>
      <c r="V256" s="285">
        <f t="shared" si="116"/>
        <v>1.04E-2</v>
      </c>
      <c r="BM256" s="31" t="s">
        <v>198</v>
      </c>
      <c r="BN256" s="159">
        <f t="shared" si="120"/>
        <v>40909</v>
      </c>
      <c r="BO256" s="162">
        <f t="shared" si="121"/>
        <v>9.3700000000000001E-4</v>
      </c>
      <c r="BP256" s="278">
        <f t="shared" si="124"/>
        <v>9.3700000000000001E-4</v>
      </c>
      <c r="BQ256" s="312">
        <f t="shared" si="103"/>
        <v>1.1421177323398912</v>
      </c>
      <c r="BS256" s="31" t="s">
        <v>43</v>
      </c>
      <c r="BT256" s="159">
        <f t="shared" si="118"/>
        <v>40909</v>
      </c>
      <c r="BU256" s="162">
        <f t="shared" si="119"/>
        <v>8.8999999999999999E-3</v>
      </c>
      <c r="BV256" s="311">
        <f t="shared" si="104"/>
        <v>1.3771000000000009</v>
      </c>
      <c r="BX256" s="358" t="s">
        <v>242</v>
      </c>
      <c r="BY256" s="294">
        <f t="shared" si="122"/>
        <v>40909</v>
      </c>
      <c r="BZ256" s="357">
        <f t="shared" si="123"/>
        <v>5.0000000000000001E-3</v>
      </c>
      <c r="CA256" s="162">
        <f t="shared" si="105"/>
        <v>0.76594200000000079</v>
      </c>
      <c r="CB256" s="42"/>
      <c r="CF256" s="31" t="s">
        <v>197</v>
      </c>
      <c r="CG256" s="168">
        <f t="shared" si="101"/>
        <v>40909</v>
      </c>
      <c r="CH256" s="37">
        <v>0</v>
      </c>
      <c r="CI256" s="314">
        <f t="shared" si="98"/>
        <v>0</v>
      </c>
      <c r="CJ256" s="312">
        <f t="shared" si="106"/>
        <v>1</v>
      </c>
      <c r="CN256" s="315">
        <f t="shared" si="107"/>
        <v>40909</v>
      </c>
      <c r="CO256" s="312">
        <f t="shared" si="108"/>
        <v>1</v>
      </c>
      <c r="CQ256" s="315">
        <f t="shared" si="109"/>
        <v>40909</v>
      </c>
      <c r="CR256" s="316">
        <f t="shared" si="110"/>
        <v>1.3771000000000009</v>
      </c>
      <c r="CW256"/>
    </row>
    <row r="257" spans="2:101" ht="15" customHeight="1">
      <c r="B257" s="163">
        <v>44166</v>
      </c>
      <c r="C257" s="165">
        <v>1045</v>
      </c>
      <c r="D257" s="274">
        <f t="shared" si="111"/>
        <v>44166</v>
      </c>
      <c r="E257" s="275">
        <f t="shared" si="112"/>
        <v>1045</v>
      </c>
      <c r="G257" s="163">
        <v>44531</v>
      </c>
      <c r="H257" s="163">
        <v>44562</v>
      </c>
      <c r="I257" s="164">
        <v>4.8799999999999999E-4</v>
      </c>
      <c r="J257" s="159">
        <f t="shared" si="113"/>
        <v>44562</v>
      </c>
      <c r="K257" s="278">
        <f t="shared" si="114"/>
        <v>4.8799999999999999E-4</v>
      </c>
      <c r="M257" s="163">
        <v>42675</v>
      </c>
      <c r="N257" s="163">
        <v>42705</v>
      </c>
      <c r="O257" s="164">
        <v>5.0000000000000001E-3</v>
      </c>
      <c r="P257" s="159">
        <f t="shared" si="102"/>
        <v>42675</v>
      </c>
      <c r="Q257" s="292">
        <f t="shared" si="99"/>
        <v>5.0000000000000001E-3</v>
      </c>
      <c r="S257" s="163">
        <v>42705</v>
      </c>
      <c r="T257" s="164">
        <v>1.12E-2</v>
      </c>
      <c r="U257" s="159">
        <f t="shared" si="115"/>
        <v>42705</v>
      </c>
      <c r="V257" s="285">
        <f t="shared" si="116"/>
        <v>1.12E-2</v>
      </c>
      <c r="BM257" s="31" t="s">
        <v>198</v>
      </c>
      <c r="BN257" s="159">
        <f t="shared" si="120"/>
        <v>40940</v>
      </c>
      <c r="BO257" s="162">
        <f t="shared" si="121"/>
        <v>8.6399999999999997E-4</v>
      </c>
      <c r="BP257" s="278">
        <f t="shared" si="124"/>
        <v>8.6399999999999997E-4</v>
      </c>
      <c r="BQ257" s="312">
        <f t="shared" si="103"/>
        <v>1.1410485698299606</v>
      </c>
      <c r="BS257" s="31" t="s">
        <v>43</v>
      </c>
      <c r="BT257" s="159">
        <f t="shared" si="118"/>
        <v>40940</v>
      </c>
      <c r="BU257" s="162">
        <f t="shared" si="119"/>
        <v>7.4999999999999997E-3</v>
      </c>
      <c r="BV257" s="311">
        <f t="shared" si="104"/>
        <v>1.368200000000001</v>
      </c>
      <c r="BX257" s="358" t="s">
        <v>242</v>
      </c>
      <c r="BY257" s="294">
        <f t="shared" si="122"/>
        <v>40940</v>
      </c>
      <c r="BZ257" s="357">
        <f t="shared" si="123"/>
        <v>5.0000000000000001E-3</v>
      </c>
      <c r="CA257" s="162">
        <f t="shared" si="105"/>
        <v>0.76094200000000078</v>
      </c>
      <c r="CB257" s="42"/>
      <c r="CF257" s="31" t="s">
        <v>197</v>
      </c>
      <c r="CG257" s="168">
        <f t="shared" si="101"/>
        <v>40940</v>
      </c>
      <c r="CH257" s="37">
        <v>0</v>
      </c>
      <c r="CI257" s="314">
        <f t="shared" ref="CI257:CI269" si="125">+CH257</f>
        <v>0</v>
      </c>
      <c r="CJ257" s="312">
        <f t="shared" si="106"/>
        <v>1</v>
      </c>
      <c r="CN257" s="315">
        <f t="shared" si="107"/>
        <v>40940</v>
      </c>
      <c r="CO257" s="312">
        <f t="shared" si="108"/>
        <v>1</v>
      </c>
      <c r="CQ257" s="315">
        <f t="shared" si="109"/>
        <v>40940</v>
      </c>
      <c r="CR257" s="316">
        <f t="shared" si="110"/>
        <v>1.368200000000001</v>
      </c>
      <c r="CW257" s="654" t="s">
        <v>457</v>
      </c>
    </row>
    <row r="258" spans="2:101" ht="15" customHeight="1">
      <c r="B258" s="163">
        <v>44197</v>
      </c>
      <c r="C258" s="165">
        <v>1100</v>
      </c>
      <c r="D258" s="274">
        <f t="shared" si="111"/>
        <v>44197</v>
      </c>
      <c r="E258" s="275">
        <f t="shared" si="112"/>
        <v>1100</v>
      </c>
      <c r="G258" s="163">
        <v>44562</v>
      </c>
      <c r="H258" s="163">
        <v>44593</v>
      </c>
      <c r="I258" s="164">
        <v>6.0499999999999996E-4</v>
      </c>
      <c r="J258" s="159">
        <f t="shared" si="113"/>
        <v>44593</v>
      </c>
      <c r="K258" s="278">
        <f t="shared" si="114"/>
        <v>6.0499999999999996E-4</v>
      </c>
      <c r="M258" s="163">
        <v>42705</v>
      </c>
      <c r="N258" s="163">
        <v>42736</v>
      </c>
      <c r="O258" s="164">
        <v>5.0000000000000001E-3</v>
      </c>
      <c r="P258" s="159">
        <f t="shared" si="102"/>
        <v>42705</v>
      </c>
      <c r="Q258" s="292">
        <f t="shared" si="99"/>
        <v>5.0000000000000001E-3</v>
      </c>
      <c r="S258" s="163">
        <v>42736</v>
      </c>
      <c r="T258" s="164">
        <v>1.09E-2</v>
      </c>
      <c r="U258" s="159">
        <f t="shared" si="115"/>
        <v>42736</v>
      </c>
      <c r="V258" s="285">
        <f t="shared" si="116"/>
        <v>1.09E-2</v>
      </c>
      <c r="BM258" s="31" t="s">
        <v>198</v>
      </c>
      <c r="BN258" s="159">
        <f t="shared" si="120"/>
        <v>40969</v>
      </c>
      <c r="BO258" s="162">
        <f t="shared" si="121"/>
        <v>0</v>
      </c>
      <c r="BP258" s="278">
        <f t="shared" si="124"/>
        <v>0</v>
      </c>
      <c r="BQ258" s="312">
        <f t="shared" si="103"/>
        <v>1.140063554918511</v>
      </c>
      <c r="BS258" s="31" t="s">
        <v>43</v>
      </c>
      <c r="BT258" s="159">
        <f t="shared" si="118"/>
        <v>40969</v>
      </c>
      <c r="BU258" s="162">
        <f t="shared" si="119"/>
        <v>8.2000000000000007E-3</v>
      </c>
      <c r="BV258" s="311">
        <f t="shared" si="104"/>
        <v>1.3607000000000009</v>
      </c>
      <c r="BX258" s="358" t="s">
        <v>242</v>
      </c>
      <c r="BY258" s="294">
        <f t="shared" si="122"/>
        <v>40969</v>
      </c>
      <c r="BZ258" s="357">
        <f t="shared" si="123"/>
        <v>5.0000000000000001E-3</v>
      </c>
      <c r="CA258" s="162">
        <f t="shared" si="105"/>
        <v>0.75594200000000078</v>
      </c>
      <c r="CB258" s="42"/>
      <c r="CF258" s="31" t="s">
        <v>197</v>
      </c>
      <c r="CG258" s="168">
        <f t="shared" si="101"/>
        <v>40969</v>
      </c>
      <c r="CH258" s="37">
        <v>0</v>
      </c>
      <c r="CI258" s="314">
        <f t="shared" si="125"/>
        <v>0</v>
      </c>
      <c r="CJ258" s="312">
        <f t="shared" si="106"/>
        <v>1</v>
      </c>
      <c r="CN258" s="315">
        <f t="shared" si="107"/>
        <v>40969</v>
      </c>
      <c r="CO258" s="312">
        <f t="shared" si="108"/>
        <v>1</v>
      </c>
      <c r="CQ258" s="315">
        <f t="shared" si="109"/>
        <v>40969</v>
      </c>
      <c r="CR258" s="316">
        <f t="shared" si="110"/>
        <v>1.3607000000000009</v>
      </c>
      <c r="CW258"/>
    </row>
    <row r="259" spans="2:101" ht="15" customHeight="1">
      <c r="B259" s="163">
        <v>44228</v>
      </c>
      <c r="C259" s="165">
        <v>1100</v>
      </c>
      <c r="D259" s="274">
        <f t="shared" si="111"/>
        <v>44228</v>
      </c>
      <c r="E259" s="275">
        <f t="shared" si="112"/>
        <v>1100</v>
      </c>
      <c r="G259" s="163">
        <v>44593</v>
      </c>
      <c r="H259" s="163">
        <v>44621</v>
      </c>
      <c r="I259" s="164">
        <v>0</v>
      </c>
      <c r="J259" s="159">
        <f t="shared" si="113"/>
        <v>44621</v>
      </c>
      <c r="K259" s="278">
        <f t="shared" si="114"/>
        <v>0</v>
      </c>
      <c r="M259" s="163">
        <v>42736</v>
      </c>
      <c r="N259" s="163">
        <v>42767</v>
      </c>
      <c r="O259" s="164">
        <v>5.0000000000000001E-3</v>
      </c>
      <c r="P259" s="159">
        <f t="shared" si="102"/>
        <v>42736</v>
      </c>
      <c r="Q259" s="292">
        <f t="shared" ref="Q259:Q322" si="126">IF(AND(P259&lt;&gt;"",P260=""),0,IF(TRIM(O259)="","",IF(AND(P259&gt;=vdt_ec113,VOP_EC113="SIM"),0,O259)))</f>
        <v>5.0000000000000001E-3</v>
      </c>
      <c r="S259" s="163">
        <v>42767</v>
      </c>
      <c r="T259" s="164">
        <v>8.6999999999999994E-3</v>
      </c>
      <c r="U259" s="159">
        <f t="shared" si="115"/>
        <v>42767</v>
      </c>
      <c r="V259" s="285">
        <f t="shared" si="116"/>
        <v>8.6999999999999994E-3</v>
      </c>
      <c r="BM259" s="31" t="s">
        <v>198</v>
      </c>
      <c r="BN259" s="159">
        <f t="shared" si="120"/>
        <v>41000</v>
      </c>
      <c r="BO259" s="162">
        <f t="shared" si="121"/>
        <v>1.0679999999999999E-3</v>
      </c>
      <c r="BP259" s="278">
        <f t="shared" si="124"/>
        <v>1.0679999999999999E-3</v>
      </c>
      <c r="BQ259" s="312">
        <f t="shared" si="103"/>
        <v>1.140063554918511</v>
      </c>
      <c r="BS259" s="31" t="s">
        <v>43</v>
      </c>
      <c r="BT259" s="159">
        <f t="shared" si="118"/>
        <v>41000</v>
      </c>
      <c r="BU259" s="162">
        <f t="shared" si="119"/>
        <v>7.1000000000000004E-3</v>
      </c>
      <c r="BV259" s="311">
        <f t="shared" si="104"/>
        <v>1.3525000000000009</v>
      </c>
      <c r="BX259" s="358" t="s">
        <v>242</v>
      </c>
      <c r="BY259" s="294">
        <f t="shared" si="122"/>
        <v>41000</v>
      </c>
      <c r="BZ259" s="357">
        <f t="shared" si="123"/>
        <v>5.0000000000000001E-3</v>
      </c>
      <c r="CA259" s="162">
        <f t="shared" si="105"/>
        <v>0.75094200000000078</v>
      </c>
      <c r="CB259" s="42"/>
      <c r="CF259" s="31" t="s">
        <v>197</v>
      </c>
      <c r="CG259" s="168">
        <f t="shared" ref="CG259:CG270" si="127">+EDATE(CG258,1)</f>
        <v>41000</v>
      </c>
      <c r="CH259" s="37">
        <v>0</v>
      </c>
      <c r="CI259" s="314">
        <f t="shared" si="125"/>
        <v>0</v>
      </c>
      <c r="CJ259" s="312">
        <f t="shared" si="106"/>
        <v>1</v>
      </c>
      <c r="CN259" s="315">
        <f t="shared" si="107"/>
        <v>41000</v>
      </c>
      <c r="CO259" s="312">
        <f t="shared" si="108"/>
        <v>1</v>
      </c>
      <c r="CQ259" s="315">
        <f t="shared" si="109"/>
        <v>41000</v>
      </c>
      <c r="CR259" s="316">
        <f t="shared" si="110"/>
        <v>1.3525000000000009</v>
      </c>
      <c r="CW259" s="650" t="s">
        <v>458</v>
      </c>
    </row>
    <row r="260" spans="2:101" ht="15" customHeight="1">
      <c r="B260" s="163">
        <v>44256</v>
      </c>
      <c r="C260" s="165">
        <v>1100</v>
      </c>
      <c r="D260" s="274">
        <f t="shared" si="111"/>
        <v>44256</v>
      </c>
      <c r="E260" s="275">
        <f t="shared" si="112"/>
        <v>1100</v>
      </c>
      <c r="G260" s="163">
        <v>44621</v>
      </c>
      <c r="H260" s="163">
        <v>44652</v>
      </c>
      <c r="I260" s="164">
        <v>9.7099999999999997E-4</v>
      </c>
      <c r="J260" s="159">
        <f t="shared" si="113"/>
        <v>44652</v>
      </c>
      <c r="K260" s="278">
        <f t="shared" si="114"/>
        <v>9.7099999999999997E-4</v>
      </c>
      <c r="M260" s="163">
        <v>42767</v>
      </c>
      <c r="N260" s="163">
        <v>42795</v>
      </c>
      <c r="O260" s="164">
        <v>5.0000000000000001E-3</v>
      </c>
      <c r="P260" s="159">
        <f t="shared" ref="P260:P323" si="128">IF(AND(TRIM(M260)="",TRIM(M259)&lt;&gt;""),EDATE(P259,1),IF(TRIM(M260)="","",TRUNC(M260,0)))</f>
        <v>42767</v>
      </c>
      <c r="Q260" s="292">
        <f t="shared" si="126"/>
        <v>5.0000000000000001E-3</v>
      </c>
      <c r="S260" s="163">
        <v>42795</v>
      </c>
      <c r="T260" s="164">
        <v>1.0500000000000001E-2</v>
      </c>
      <c r="U260" s="159">
        <f t="shared" si="115"/>
        <v>42795</v>
      </c>
      <c r="V260" s="285">
        <f t="shared" si="116"/>
        <v>1.0500000000000001E-2</v>
      </c>
      <c r="BM260" s="31" t="s">
        <v>198</v>
      </c>
      <c r="BN260" s="159">
        <f t="shared" si="120"/>
        <v>41030</v>
      </c>
      <c r="BO260" s="162">
        <f t="shared" si="121"/>
        <v>2.2699999999999999E-4</v>
      </c>
      <c r="BP260" s="278">
        <f t="shared" si="124"/>
        <v>2.2699999999999999E-4</v>
      </c>
      <c r="BQ260" s="312">
        <f t="shared" si="103"/>
        <v>1.1388472660383819</v>
      </c>
      <c r="BS260" s="31" t="s">
        <v>43</v>
      </c>
      <c r="BT260" s="159">
        <f t="shared" si="118"/>
        <v>41030</v>
      </c>
      <c r="BU260" s="162">
        <f t="shared" si="119"/>
        <v>7.4000000000000003E-3</v>
      </c>
      <c r="BV260" s="311">
        <f t="shared" si="104"/>
        <v>1.3454000000000008</v>
      </c>
      <c r="BX260" s="358" t="s">
        <v>242</v>
      </c>
      <c r="BY260" s="294">
        <f t="shared" si="122"/>
        <v>41030</v>
      </c>
      <c r="BZ260" s="357">
        <f t="shared" si="123"/>
        <v>5.0000000000000001E-3</v>
      </c>
      <c r="CA260" s="162">
        <f t="shared" si="105"/>
        <v>0.74594200000000077</v>
      </c>
      <c r="CB260" s="42"/>
      <c r="CF260" s="31" t="s">
        <v>197</v>
      </c>
      <c r="CG260" s="168">
        <f t="shared" si="127"/>
        <v>41030</v>
      </c>
      <c r="CH260" s="37">
        <v>0</v>
      </c>
      <c r="CI260" s="314">
        <f t="shared" si="125"/>
        <v>0</v>
      </c>
      <c r="CJ260" s="312">
        <f t="shared" si="106"/>
        <v>1</v>
      </c>
      <c r="CN260" s="315">
        <f t="shared" si="107"/>
        <v>41030</v>
      </c>
      <c r="CO260" s="312">
        <f t="shared" si="108"/>
        <v>1</v>
      </c>
      <c r="CQ260" s="315">
        <f t="shared" si="109"/>
        <v>41030</v>
      </c>
      <c r="CR260" s="316">
        <f t="shared" si="110"/>
        <v>1.3454000000000008</v>
      </c>
      <c r="CW260" s="661" t="s">
        <v>429</v>
      </c>
    </row>
    <row r="261" spans="2:101" ht="15" customHeight="1">
      <c r="B261" s="163">
        <v>44287</v>
      </c>
      <c r="C261" s="165">
        <v>1100</v>
      </c>
      <c r="D261" s="274">
        <f t="shared" si="111"/>
        <v>44287</v>
      </c>
      <c r="E261" s="275">
        <f t="shared" si="112"/>
        <v>1100</v>
      </c>
      <c r="G261" s="163">
        <v>44652</v>
      </c>
      <c r="H261" s="163">
        <v>44682</v>
      </c>
      <c r="I261" s="164">
        <v>5.5500000000000005E-4</v>
      </c>
      <c r="J261" s="159">
        <f t="shared" si="113"/>
        <v>44682</v>
      </c>
      <c r="K261" s="278">
        <f t="shared" si="114"/>
        <v>5.5500000000000005E-4</v>
      </c>
      <c r="M261" s="163">
        <v>42795</v>
      </c>
      <c r="N261" s="163">
        <v>42826</v>
      </c>
      <c r="O261" s="164">
        <v>5.0000000000000001E-3</v>
      </c>
      <c r="P261" s="159">
        <f t="shared" si="128"/>
        <v>42795</v>
      </c>
      <c r="Q261" s="292">
        <f t="shared" si="126"/>
        <v>5.0000000000000001E-3</v>
      </c>
      <c r="S261" s="163">
        <v>42826</v>
      </c>
      <c r="T261" s="164">
        <v>7.9000000000000008E-3</v>
      </c>
      <c r="U261" s="159">
        <f t="shared" si="115"/>
        <v>42826</v>
      </c>
      <c r="V261" s="285">
        <f t="shared" si="116"/>
        <v>7.9000000000000008E-3</v>
      </c>
      <c r="BM261" s="31" t="s">
        <v>198</v>
      </c>
      <c r="BN261" s="159">
        <f t="shared" si="120"/>
        <v>41061</v>
      </c>
      <c r="BO261" s="162">
        <f t="shared" si="121"/>
        <v>4.6799999999999999E-4</v>
      </c>
      <c r="BP261" s="278">
        <f t="shared" si="124"/>
        <v>4.6799999999999999E-4</v>
      </c>
      <c r="BQ261" s="312">
        <f t="shared" si="103"/>
        <v>1.1385888063793339</v>
      </c>
      <c r="BS261" s="31" t="s">
        <v>43</v>
      </c>
      <c r="BT261" s="159">
        <f t="shared" si="118"/>
        <v>41061</v>
      </c>
      <c r="BU261" s="162">
        <f t="shared" si="119"/>
        <v>6.4000000000000003E-3</v>
      </c>
      <c r="BV261" s="311">
        <f t="shared" si="104"/>
        <v>1.3380000000000007</v>
      </c>
      <c r="BX261" s="358" t="s">
        <v>242</v>
      </c>
      <c r="BY261" s="294">
        <f t="shared" si="122"/>
        <v>41061</v>
      </c>
      <c r="BZ261" s="357">
        <f t="shared" si="123"/>
        <v>4.8279999999999998E-3</v>
      </c>
      <c r="CA261" s="162">
        <f t="shared" si="105"/>
        <v>0.74094200000000077</v>
      </c>
      <c r="CB261" s="42"/>
      <c r="CF261" s="31" t="s">
        <v>197</v>
      </c>
      <c r="CG261" s="168">
        <f t="shared" si="127"/>
        <v>41061</v>
      </c>
      <c r="CH261" s="37">
        <v>0</v>
      </c>
      <c r="CI261" s="314">
        <f t="shared" si="125"/>
        <v>0</v>
      </c>
      <c r="CJ261" s="312">
        <f t="shared" si="106"/>
        <v>1</v>
      </c>
      <c r="CN261" s="315">
        <f t="shared" si="107"/>
        <v>41061</v>
      </c>
      <c r="CO261" s="312">
        <f t="shared" si="108"/>
        <v>1</v>
      </c>
      <c r="CQ261" s="315">
        <f t="shared" si="109"/>
        <v>41061</v>
      </c>
      <c r="CR261" s="316">
        <f t="shared" si="110"/>
        <v>1.3380000000000007</v>
      </c>
      <c r="CW261" s="655" t="s">
        <v>459</v>
      </c>
    </row>
    <row r="262" spans="2:101" ht="15" customHeight="1">
      <c r="B262" s="163">
        <v>44317</v>
      </c>
      <c r="C262" s="165">
        <v>1100</v>
      </c>
      <c r="D262" s="274">
        <f t="shared" si="111"/>
        <v>44317</v>
      </c>
      <c r="E262" s="275">
        <f t="shared" si="112"/>
        <v>1100</v>
      </c>
      <c r="G262" s="163">
        <v>44682</v>
      </c>
      <c r="H262" s="163">
        <v>44713</v>
      </c>
      <c r="I262" s="164">
        <v>1.663E-3</v>
      </c>
      <c r="J262" s="159">
        <f t="shared" si="113"/>
        <v>44713</v>
      </c>
      <c r="K262" s="278">
        <f t="shared" si="114"/>
        <v>1.663E-3</v>
      </c>
      <c r="M262" s="163">
        <v>42826</v>
      </c>
      <c r="N262" s="163">
        <v>42856</v>
      </c>
      <c r="O262" s="164">
        <v>5.0000000000000001E-3</v>
      </c>
      <c r="P262" s="159">
        <f t="shared" si="128"/>
        <v>42826</v>
      </c>
      <c r="Q262" s="292">
        <f t="shared" si="126"/>
        <v>5.0000000000000001E-3</v>
      </c>
      <c r="S262" s="163">
        <v>42856</v>
      </c>
      <c r="T262" s="164">
        <v>9.2999999999999992E-3</v>
      </c>
      <c r="U262" s="159">
        <f t="shared" si="115"/>
        <v>42856</v>
      </c>
      <c r="V262" s="285">
        <f t="shared" si="116"/>
        <v>9.2999999999999992E-3</v>
      </c>
      <c r="BM262" s="31" t="s">
        <v>198</v>
      </c>
      <c r="BN262" s="159">
        <f t="shared" si="120"/>
        <v>41091</v>
      </c>
      <c r="BO262" s="162">
        <f t="shared" si="121"/>
        <v>0</v>
      </c>
      <c r="BP262" s="278">
        <f t="shared" si="124"/>
        <v>0</v>
      </c>
      <c r="BQ262" s="312">
        <f t="shared" ref="BQ262:BQ325" si="129">+IF(BN262="","",IF(BQ263="",1,BQ263)*(1+BP262))</f>
        <v>1.1380561960795688</v>
      </c>
      <c r="BS262" s="31" t="s">
        <v>43</v>
      </c>
      <c r="BT262" s="159">
        <f t="shared" si="118"/>
        <v>41091</v>
      </c>
      <c r="BU262" s="162">
        <f t="shared" si="119"/>
        <v>6.7999999999999996E-3</v>
      </c>
      <c r="BV262" s="311">
        <f t="shared" ref="BV262:BV325" si="130">+IF(BU262="","",IF(AND(BU262&lt;&gt;"",BU263=""),BU262,BU262+BV263))</f>
        <v>1.3316000000000008</v>
      </c>
      <c r="BX262" s="358" t="s">
        <v>242</v>
      </c>
      <c r="BY262" s="294">
        <f t="shared" si="122"/>
        <v>41091</v>
      </c>
      <c r="BZ262" s="357">
        <f t="shared" si="123"/>
        <v>4.8279999999999998E-3</v>
      </c>
      <c r="CA262" s="162">
        <f t="shared" ref="CA262:CA325" si="131">+IF(BZ262="","",BZ262+IF(CA263="",0,CA263))</f>
        <v>0.73611400000000071</v>
      </c>
      <c r="CB262" s="42"/>
      <c r="CF262" s="31" t="s">
        <v>197</v>
      </c>
      <c r="CG262" s="168">
        <f t="shared" si="127"/>
        <v>41091</v>
      </c>
      <c r="CH262" s="37">
        <v>0</v>
      </c>
      <c r="CI262" s="314">
        <f t="shared" si="125"/>
        <v>0</v>
      </c>
      <c r="CJ262" s="312">
        <f t="shared" ref="CJ262:CJ325" si="132">+IF(BQ262="","",IF(CJ263="",1,CJ263)*(1+CI262))</f>
        <v>1</v>
      </c>
      <c r="CN262" s="315">
        <f t="shared" ref="CN262:CN325" si="133">+IF(BN262="","",BN262)</f>
        <v>41091</v>
      </c>
      <c r="CO262" s="312">
        <f t="shared" ref="CO262:CO325" si="134">+IF(CN262="","",IF(COD_JCM=3,1,IF(COD_JCM=1,CJ262,BQ262)))</f>
        <v>1</v>
      </c>
      <c r="CQ262" s="315">
        <f t="shared" ref="CQ262:CQ325" si="135">+IF(BT262="","",BT262)</f>
        <v>41091</v>
      </c>
      <c r="CR262" s="316">
        <f t="shared" ref="CR262:CR325" si="136">+IF(CQ262="","",IF(COD_JCM=3,0,IF(COD_JCM=1,BV262,CA262)))</f>
        <v>1.3316000000000008</v>
      </c>
      <c r="CW262"/>
    </row>
    <row r="263" spans="2:101" ht="15" customHeight="1">
      <c r="B263" s="163">
        <v>44348</v>
      </c>
      <c r="C263" s="165">
        <v>1100</v>
      </c>
      <c r="D263" s="274">
        <f t="shared" ref="D263:D326" si="137">+IF(TRIM(B263)="","",TRUNC(B263,0))</f>
        <v>44348</v>
      </c>
      <c r="E263" s="275">
        <f t="shared" ref="E263:E326" si="138">+IF(TRIM(C263)="","",C263)</f>
        <v>1100</v>
      </c>
      <c r="G263" s="163">
        <v>44713</v>
      </c>
      <c r="H263" s="163">
        <v>44743</v>
      </c>
      <c r="I263" s="164">
        <v>1.4840000000000001E-3</v>
      </c>
      <c r="J263" s="159">
        <f t="shared" ref="J263:J326" si="139">+IF(AND(TRIM(H263)="",TRIM(H262)&lt;&gt;""),EDATE(J262,1),IF(TRIM(H263)="","",TRUNC(H263,0)))</f>
        <v>44743</v>
      </c>
      <c r="K263" s="278">
        <f t="shared" ref="K263:K326" si="140">+IF(AND(I263="",I262&lt;&gt;""),0,IF(TRIM(I263)="","",IF(AND(J263&gt;=vdt_ec113,VOP_EC113="SIM"),0,I263)))</f>
        <v>1.4840000000000001E-3</v>
      </c>
      <c r="M263" s="163">
        <v>42856</v>
      </c>
      <c r="N263" s="163">
        <v>42887</v>
      </c>
      <c r="O263" s="164">
        <v>5.0000000000000001E-3</v>
      </c>
      <c r="P263" s="159">
        <f t="shared" si="128"/>
        <v>42856</v>
      </c>
      <c r="Q263" s="292">
        <f t="shared" si="126"/>
        <v>5.0000000000000001E-3</v>
      </c>
      <c r="S263" s="163">
        <v>42887</v>
      </c>
      <c r="T263" s="164">
        <v>8.0999999999999996E-3</v>
      </c>
      <c r="U263" s="159">
        <f t="shared" ref="U263:U326" si="141">+IF(AND(TRIM(S263)="",TRIM(S262)&lt;&gt;""),EDATE(U262,1),IF(TRIM(S263)="","",TRUNC(S263,0)))</f>
        <v>42887</v>
      </c>
      <c r="V263" s="285">
        <f t="shared" ref="V263:V326" si="142">+IF(AND(T263="",T262&lt;&gt;""),0,IF(TRIM(T263)="","",IF(AND(U263&gt;=vdt_ec113,VOP_EC113="SIM"),0,T263)))</f>
        <v>8.0999999999999996E-3</v>
      </c>
      <c r="BM263" s="31" t="s">
        <v>198</v>
      </c>
      <c r="BN263" s="159">
        <f t="shared" si="120"/>
        <v>41122</v>
      </c>
      <c r="BO263" s="162">
        <f t="shared" si="121"/>
        <v>1.44E-4</v>
      </c>
      <c r="BP263" s="278">
        <f t="shared" si="124"/>
        <v>1.44E-4</v>
      </c>
      <c r="BQ263" s="312">
        <f t="shared" si="129"/>
        <v>1.1380561960795688</v>
      </c>
      <c r="BS263" s="31" t="s">
        <v>43</v>
      </c>
      <c r="BT263" s="159">
        <f t="shared" si="118"/>
        <v>41122</v>
      </c>
      <c r="BU263" s="162">
        <f t="shared" si="119"/>
        <v>6.8999999999999999E-3</v>
      </c>
      <c r="BV263" s="311">
        <f t="shared" si="130"/>
        <v>1.3248000000000009</v>
      </c>
      <c r="BX263" s="358" t="s">
        <v>242</v>
      </c>
      <c r="BY263" s="294">
        <f t="shared" si="122"/>
        <v>41122</v>
      </c>
      <c r="BZ263" s="357">
        <f t="shared" si="123"/>
        <v>4.5510000000000004E-3</v>
      </c>
      <c r="CA263" s="162">
        <f t="shared" si="131"/>
        <v>0.73128600000000066</v>
      </c>
      <c r="CB263" s="42"/>
      <c r="CF263" s="31" t="s">
        <v>197</v>
      </c>
      <c r="CG263" s="168">
        <f t="shared" si="127"/>
        <v>41122</v>
      </c>
      <c r="CH263" s="37">
        <v>0</v>
      </c>
      <c r="CI263" s="314">
        <f t="shared" si="125"/>
        <v>0</v>
      </c>
      <c r="CJ263" s="312">
        <f t="shared" si="132"/>
        <v>1</v>
      </c>
      <c r="CN263" s="315">
        <f t="shared" si="133"/>
        <v>41122</v>
      </c>
      <c r="CO263" s="312">
        <f t="shared" si="134"/>
        <v>1</v>
      </c>
      <c r="CQ263" s="315">
        <f t="shared" si="135"/>
        <v>41122</v>
      </c>
      <c r="CR263" s="316">
        <f t="shared" si="136"/>
        <v>1.3248000000000009</v>
      </c>
      <c r="CW263" s="650" t="s">
        <v>460</v>
      </c>
    </row>
    <row r="264" spans="2:101" ht="15" customHeight="1">
      <c r="B264" s="163">
        <v>44378</v>
      </c>
      <c r="C264" s="165">
        <v>1100</v>
      </c>
      <c r="D264" s="274">
        <f t="shared" si="137"/>
        <v>44378</v>
      </c>
      <c r="E264" s="275">
        <f t="shared" si="138"/>
        <v>1100</v>
      </c>
      <c r="G264" s="163">
        <v>44743</v>
      </c>
      <c r="H264" s="163">
        <v>44774</v>
      </c>
      <c r="I264" s="164">
        <v>1.6310000000000001E-3</v>
      </c>
      <c r="J264" s="159">
        <f t="shared" si="139"/>
        <v>44774</v>
      </c>
      <c r="K264" s="278">
        <f t="shared" si="140"/>
        <v>1.6310000000000001E-3</v>
      </c>
      <c r="M264" s="163">
        <v>42887</v>
      </c>
      <c r="N264" s="163">
        <v>42917</v>
      </c>
      <c r="O264" s="164">
        <v>5.0000000000000001E-3</v>
      </c>
      <c r="P264" s="159">
        <f t="shared" si="128"/>
        <v>42887</v>
      </c>
      <c r="Q264" s="292">
        <f t="shared" si="126"/>
        <v>5.0000000000000001E-3</v>
      </c>
      <c r="S264" s="163">
        <v>42917</v>
      </c>
      <c r="T264" s="164">
        <v>8.0000000000000002E-3</v>
      </c>
      <c r="U264" s="159">
        <f t="shared" si="141"/>
        <v>42917</v>
      </c>
      <c r="V264" s="285">
        <f t="shared" si="142"/>
        <v>8.0000000000000002E-3</v>
      </c>
      <c r="BM264" s="31" t="s">
        <v>198</v>
      </c>
      <c r="BN264" s="159">
        <f t="shared" si="120"/>
        <v>41153</v>
      </c>
      <c r="BO264" s="162">
        <f t="shared" si="121"/>
        <v>1.2300000000000001E-4</v>
      </c>
      <c r="BP264" s="278">
        <f t="shared" si="124"/>
        <v>1.2300000000000001E-4</v>
      </c>
      <c r="BQ264" s="312">
        <f t="shared" si="129"/>
        <v>1.137892339582669</v>
      </c>
      <c r="BS264" s="31" t="s">
        <v>43</v>
      </c>
      <c r="BT264" s="159">
        <f t="shared" si="118"/>
        <v>41153</v>
      </c>
      <c r="BU264" s="162">
        <f t="shared" si="119"/>
        <v>5.4000000000000003E-3</v>
      </c>
      <c r="BV264" s="311">
        <f t="shared" si="130"/>
        <v>1.317900000000001</v>
      </c>
      <c r="BX264" s="358" t="s">
        <v>242</v>
      </c>
      <c r="BY264" s="294">
        <f t="shared" si="122"/>
        <v>41153</v>
      </c>
      <c r="BZ264" s="357">
        <f t="shared" si="123"/>
        <v>4.2729999999999999E-3</v>
      </c>
      <c r="CA264" s="162">
        <f t="shared" si="131"/>
        <v>0.72673500000000069</v>
      </c>
      <c r="CB264" s="42"/>
      <c r="CF264" s="31" t="s">
        <v>197</v>
      </c>
      <c r="CG264" s="168">
        <f t="shared" si="127"/>
        <v>41153</v>
      </c>
      <c r="CH264" s="37">
        <v>0</v>
      </c>
      <c r="CI264" s="314">
        <f t="shared" si="125"/>
        <v>0</v>
      </c>
      <c r="CJ264" s="312">
        <f t="shared" si="132"/>
        <v>1</v>
      </c>
      <c r="CN264" s="315">
        <f t="shared" si="133"/>
        <v>41153</v>
      </c>
      <c r="CO264" s="312">
        <f t="shared" si="134"/>
        <v>1</v>
      </c>
      <c r="CQ264" s="315">
        <f t="shared" si="135"/>
        <v>41153</v>
      </c>
      <c r="CR264" s="316">
        <f t="shared" si="136"/>
        <v>1.317900000000001</v>
      </c>
      <c r="CW264" s="661" t="s">
        <v>429</v>
      </c>
    </row>
    <row r="265" spans="2:101" ht="15" customHeight="1">
      <c r="B265" s="163">
        <v>44409</v>
      </c>
      <c r="C265" s="165">
        <v>1100</v>
      </c>
      <c r="D265" s="274">
        <f t="shared" si="137"/>
        <v>44409</v>
      </c>
      <c r="E265" s="275">
        <f t="shared" si="138"/>
        <v>1100</v>
      </c>
      <c r="G265" s="163">
        <v>44774</v>
      </c>
      <c r="H265" s="163">
        <v>44805</v>
      </c>
      <c r="I265" s="164">
        <v>2.4090000000000001E-3</v>
      </c>
      <c r="J265" s="159">
        <f t="shared" si="139"/>
        <v>44805</v>
      </c>
      <c r="K265" s="278">
        <f t="shared" si="140"/>
        <v>2.4090000000000001E-3</v>
      </c>
      <c r="M265" s="163">
        <v>42917</v>
      </c>
      <c r="N265" s="163">
        <v>42948</v>
      </c>
      <c r="O265" s="164">
        <v>5.0000000000000001E-3</v>
      </c>
      <c r="P265" s="159">
        <f t="shared" si="128"/>
        <v>42917</v>
      </c>
      <c r="Q265" s="292">
        <f t="shared" si="126"/>
        <v>5.0000000000000001E-3</v>
      </c>
      <c r="S265" s="163">
        <v>42948</v>
      </c>
      <c r="T265" s="164">
        <v>8.0000000000000002E-3</v>
      </c>
      <c r="U265" s="159">
        <f t="shared" si="141"/>
        <v>42948</v>
      </c>
      <c r="V265" s="285">
        <f t="shared" si="142"/>
        <v>8.0000000000000002E-3</v>
      </c>
      <c r="BM265" s="31" t="s">
        <v>198</v>
      </c>
      <c r="BN265" s="159">
        <f t="shared" si="120"/>
        <v>41183</v>
      </c>
      <c r="BO265" s="162">
        <f t="shared" si="121"/>
        <v>0</v>
      </c>
      <c r="BP265" s="278">
        <f t="shared" si="124"/>
        <v>0</v>
      </c>
      <c r="BQ265" s="312">
        <f t="shared" si="129"/>
        <v>1.1377523960379563</v>
      </c>
      <c r="BS265" s="31" t="s">
        <v>43</v>
      </c>
      <c r="BT265" s="159">
        <f t="shared" si="118"/>
        <v>41183</v>
      </c>
      <c r="BU265" s="162">
        <f t="shared" si="119"/>
        <v>6.1000000000000004E-3</v>
      </c>
      <c r="BV265" s="311">
        <f t="shared" si="130"/>
        <v>1.3125000000000009</v>
      </c>
      <c r="BX265" s="358" t="s">
        <v>242</v>
      </c>
      <c r="BY265" s="294">
        <f t="shared" si="122"/>
        <v>41183</v>
      </c>
      <c r="BZ265" s="357">
        <f t="shared" si="123"/>
        <v>4.2729999999999999E-3</v>
      </c>
      <c r="CA265" s="162">
        <f t="shared" si="131"/>
        <v>0.72246200000000071</v>
      </c>
      <c r="CB265" s="42"/>
      <c r="CF265" s="31" t="s">
        <v>197</v>
      </c>
      <c r="CG265" s="168">
        <f t="shared" si="127"/>
        <v>41183</v>
      </c>
      <c r="CH265" s="37">
        <v>0</v>
      </c>
      <c r="CI265" s="314">
        <f t="shared" si="125"/>
        <v>0</v>
      </c>
      <c r="CJ265" s="312">
        <f t="shared" si="132"/>
        <v>1</v>
      </c>
      <c r="CN265" s="315">
        <f t="shared" si="133"/>
        <v>41183</v>
      </c>
      <c r="CO265" s="312">
        <f t="shared" si="134"/>
        <v>1</v>
      </c>
      <c r="CQ265" s="315">
        <f t="shared" si="135"/>
        <v>41183</v>
      </c>
      <c r="CR265" s="316">
        <f t="shared" si="136"/>
        <v>1.3125000000000009</v>
      </c>
      <c r="CW265" s="655" t="s">
        <v>461</v>
      </c>
    </row>
    <row r="266" spans="2:101" ht="15" customHeight="1">
      <c r="B266" s="163">
        <v>44440</v>
      </c>
      <c r="C266" s="165">
        <v>1100</v>
      </c>
      <c r="D266" s="274">
        <f t="shared" si="137"/>
        <v>44440</v>
      </c>
      <c r="E266" s="275">
        <f t="shared" si="138"/>
        <v>1100</v>
      </c>
      <c r="G266" s="163">
        <v>44805</v>
      </c>
      <c r="H266" s="163">
        <v>44835</v>
      </c>
      <c r="I266" s="164">
        <v>1.805E-3</v>
      </c>
      <c r="J266" s="159">
        <f t="shared" si="139"/>
        <v>44835</v>
      </c>
      <c r="K266" s="278">
        <f t="shared" si="140"/>
        <v>1.805E-3</v>
      </c>
      <c r="M266" s="163">
        <v>42948</v>
      </c>
      <c r="N266" s="163">
        <v>42979</v>
      </c>
      <c r="O266" s="164">
        <v>5.0000000000000001E-3</v>
      </c>
      <c r="P266" s="159">
        <f t="shared" si="128"/>
        <v>42948</v>
      </c>
      <c r="Q266" s="292">
        <f t="shared" si="126"/>
        <v>5.0000000000000001E-3</v>
      </c>
      <c r="S266" s="163">
        <v>42979</v>
      </c>
      <c r="T266" s="164">
        <v>6.4000000000000003E-3</v>
      </c>
      <c r="U266" s="159">
        <f t="shared" si="141"/>
        <v>42979</v>
      </c>
      <c r="V266" s="285">
        <f t="shared" si="142"/>
        <v>6.4000000000000003E-3</v>
      </c>
      <c r="BM266" s="31" t="s">
        <v>198</v>
      </c>
      <c r="BN266" s="159">
        <f t="shared" si="120"/>
        <v>41214</v>
      </c>
      <c r="BO266" s="162">
        <f t="shared" si="121"/>
        <v>0</v>
      </c>
      <c r="BP266" s="278">
        <f t="shared" si="124"/>
        <v>0</v>
      </c>
      <c r="BQ266" s="312">
        <f t="shared" si="129"/>
        <v>1.1377523960379563</v>
      </c>
      <c r="BS266" s="31" t="s">
        <v>43</v>
      </c>
      <c r="BT266" s="159">
        <f t="shared" si="118"/>
        <v>41214</v>
      </c>
      <c r="BU266" s="162">
        <f t="shared" si="119"/>
        <v>5.4999999999999997E-3</v>
      </c>
      <c r="BV266" s="311">
        <f t="shared" si="130"/>
        <v>1.3064000000000009</v>
      </c>
      <c r="BX266" s="358" t="s">
        <v>242</v>
      </c>
      <c r="BY266" s="294">
        <f t="shared" si="122"/>
        <v>41214</v>
      </c>
      <c r="BZ266" s="357">
        <f t="shared" si="123"/>
        <v>4.1339999999999997E-3</v>
      </c>
      <c r="CA266" s="162">
        <f t="shared" si="131"/>
        <v>0.71818900000000074</v>
      </c>
      <c r="CB266" s="42"/>
      <c r="CF266" s="31" t="s">
        <v>197</v>
      </c>
      <c r="CG266" s="168">
        <f t="shared" si="127"/>
        <v>41214</v>
      </c>
      <c r="CH266" s="37">
        <v>0</v>
      </c>
      <c r="CI266" s="314">
        <f t="shared" si="125"/>
        <v>0</v>
      </c>
      <c r="CJ266" s="312">
        <f t="shared" si="132"/>
        <v>1</v>
      </c>
      <c r="CN266" s="315">
        <f t="shared" si="133"/>
        <v>41214</v>
      </c>
      <c r="CO266" s="312">
        <f t="shared" si="134"/>
        <v>1</v>
      </c>
      <c r="CQ266" s="315">
        <f t="shared" si="135"/>
        <v>41214</v>
      </c>
      <c r="CR266" s="316">
        <f t="shared" si="136"/>
        <v>1.3064000000000009</v>
      </c>
      <c r="CW266"/>
    </row>
    <row r="267" spans="2:101" ht="15" customHeight="1">
      <c r="B267" s="163">
        <v>44470</v>
      </c>
      <c r="C267" s="165">
        <v>1100</v>
      </c>
      <c r="D267" s="274">
        <f t="shared" si="137"/>
        <v>44470</v>
      </c>
      <c r="E267" s="275">
        <f t="shared" si="138"/>
        <v>1100</v>
      </c>
      <c r="G267" s="163">
        <v>44835</v>
      </c>
      <c r="H267" s="163">
        <v>44866</v>
      </c>
      <c r="I267" s="164">
        <v>1.4940000000000001E-3</v>
      </c>
      <c r="J267" s="159">
        <f t="shared" si="139"/>
        <v>44866</v>
      </c>
      <c r="K267" s="278">
        <f t="shared" si="140"/>
        <v>1.4940000000000001E-3</v>
      </c>
      <c r="M267" s="163">
        <v>42979</v>
      </c>
      <c r="N267" s="163">
        <v>43009</v>
      </c>
      <c r="O267" s="164">
        <v>5.0000000000000001E-3</v>
      </c>
      <c r="P267" s="159">
        <f t="shared" si="128"/>
        <v>42979</v>
      </c>
      <c r="Q267" s="292">
        <f t="shared" si="126"/>
        <v>5.0000000000000001E-3</v>
      </c>
      <c r="S267" s="163">
        <v>43009</v>
      </c>
      <c r="T267" s="164">
        <v>6.4000000000000003E-3</v>
      </c>
      <c r="U267" s="159">
        <f t="shared" si="141"/>
        <v>43009</v>
      </c>
      <c r="V267" s="285">
        <f t="shared" si="142"/>
        <v>6.4000000000000003E-3</v>
      </c>
      <c r="BM267" s="31" t="s">
        <v>198</v>
      </c>
      <c r="BN267" s="159">
        <f t="shared" si="120"/>
        <v>41244</v>
      </c>
      <c r="BO267" s="162">
        <f t="shared" si="121"/>
        <v>0</v>
      </c>
      <c r="BP267" s="278">
        <f t="shared" si="124"/>
        <v>0</v>
      </c>
      <c r="BQ267" s="312">
        <f t="shared" si="129"/>
        <v>1.1377523960379563</v>
      </c>
      <c r="BS267" s="31" t="s">
        <v>43</v>
      </c>
      <c r="BT267" s="159">
        <f t="shared" si="118"/>
        <v>41244</v>
      </c>
      <c r="BU267" s="162">
        <f t="shared" si="119"/>
        <v>5.4999999999999997E-3</v>
      </c>
      <c r="BV267" s="311">
        <f t="shared" si="130"/>
        <v>1.3009000000000008</v>
      </c>
      <c r="BX267" s="358" t="s">
        <v>242</v>
      </c>
      <c r="BY267" s="294">
        <f t="shared" si="122"/>
        <v>41244</v>
      </c>
      <c r="BZ267" s="357">
        <f t="shared" si="123"/>
        <v>4.1339999999999997E-3</v>
      </c>
      <c r="CA267" s="162">
        <f t="shared" si="131"/>
        <v>0.71405500000000077</v>
      </c>
      <c r="CB267" s="42"/>
      <c r="CF267" s="31" t="s">
        <v>197</v>
      </c>
      <c r="CG267" s="168">
        <f t="shared" si="127"/>
        <v>41244</v>
      </c>
      <c r="CH267" s="37">
        <v>0</v>
      </c>
      <c r="CI267" s="314">
        <f t="shared" si="125"/>
        <v>0</v>
      </c>
      <c r="CJ267" s="312">
        <f t="shared" si="132"/>
        <v>1</v>
      </c>
      <c r="CN267" s="315">
        <f t="shared" si="133"/>
        <v>41244</v>
      </c>
      <c r="CO267" s="312">
        <f t="shared" si="134"/>
        <v>1</v>
      </c>
      <c r="CQ267" s="315">
        <f t="shared" si="135"/>
        <v>41244</v>
      </c>
      <c r="CR267" s="316">
        <f t="shared" si="136"/>
        <v>1.3009000000000008</v>
      </c>
      <c r="CW267" s="650" t="s">
        <v>462</v>
      </c>
    </row>
    <row r="268" spans="2:101" ht="15" customHeight="1">
      <c r="B268" s="163">
        <v>44501</v>
      </c>
      <c r="C268" s="165">
        <v>1100</v>
      </c>
      <c r="D268" s="274">
        <f t="shared" si="137"/>
        <v>44501</v>
      </c>
      <c r="E268" s="275">
        <f t="shared" si="138"/>
        <v>1100</v>
      </c>
      <c r="G268" s="163">
        <v>44866</v>
      </c>
      <c r="H268" s="163">
        <v>44896</v>
      </c>
      <c r="I268" s="164">
        <v>1.5070000000000001E-3</v>
      </c>
      <c r="J268" s="159">
        <f t="shared" si="139"/>
        <v>44896</v>
      </c>
      <c r="K268" s="278">
        <f t="shared" si="140"/>
        <v>1.5070000000000001E-3</v>
      </c>
      <c r="M268" s="163">
        <v>43009</v>
      </c>
      <c r="N268" s="163">
        <v>43040</v>
      </c>
      <c r="O268" s="164">
        <v>4.6899999999999997E-3</v>
      </c>
      <c r="P268" s="159">
        <f t="shared" si="128"/>
        <v>43009</v>
      </c>
      <c r="Q268" s="292">
        <f t="shared" si="126"/>
        <v>4.6899999999999997E-3</v>
      </c>
      <c r="S268" s="163">
        <v>43040</v>
      </c>
      <c r="T268" s="164">
        <v>5.7000000000000002E-3</v>
      </c>
      <c r="U268" s="159">
        <f t="shared" si="141"/>
        <v>43040</v>
      </c>
      <c r="V268" s="285">
        <f t="shared" si="142"/>
        <v>5.7000000000000002E-3</v>
      </c>
      <c r="BM268" s="31" t="s">
        <v>198</v>
      </c>
      <c r="BN268" s="159">
        <f t="shared" si="120"/>
        <v>41275</v>
      </c>
      <c r="BO268" s="162">
        <f t="shared" si="121"/>
        <v>0</v>
      </c>
      <c r="BP268" s="278">
        <f t="shared" si="124"/>
        <v>0</v>
      </c>
      <c r="BQ268" s="312">
        <f t="shared" si="129"/>
        <v>1.1377523960379563</v>
      </c>
      <c r="BS268" s="31" t="s">
        <v>43</v>
      </c>
      <c r="BT268" s="159">
        <f t="shared" si="118"/>
        <v>41275</v>
      </c>
      <c r="BU268" s="162">
        <f t="shared" si="119"/>
        <v>6.0000000000000001E-3</v>
      </c>
      <c r="BV268" s="311">
        <f t="shared" si="130"/>
        <v>1.2954000000000008</v>
      </c>
      <c r="BX268" s="358" t="s">
        <v>242</v>
      </c>
      <c r="BY268" s="294">
        <f t="shared" si="122"/>
        <v>41275</v>
      </c>
      <c r="BZ268" s="357">
        <f t="shared" si="123"/>
        <v>4.1339999999999997E-3</v>
      </c>
      <c r="CA268" s="162">
        <f t="shared" si="131"/>
        <v>0.7099210000000008</v>
      </c>
      <c r="CB268" s="42"/>
      <c r="CF268" s="31" t="s">
        <v>197</v>
      </c>
      <c r="CG268" s="168">
        <f t="shared" si="127"/>
        <v>41275</v>
      </c>
      <c r="CH268" s="37">
        <v>0</v>
      </c>
      <c r="CI268" s="314">
        <f t="shared" si="125"/>
        <v>0</v>
      </c>
      <c r="CJ268" s="312">
        <f t="shared" si="132"/>
        <v>1</v>
      </c>
      <c r="CN268" s="315">
        <f t="shared" si="133"/>
        <v>41275</v>
      </c>
      <c r="CO268" s="312">
        <f t="shared" si="134"/>
        <v>1</v>
      </c>
      <c r="CQ268" s="315">
        <f t="shared" si="135"/>
        <v>41275</v>
      </c>
      <c r="CR268" s="316">
        <f t="shared" si="136"/>
        <v>1.2954000000000008</v>
      </c>
      <c r="CW268" s="661" t="s">
        <v>429</v>
      </c>
    </row>
    <row r="269" spans="2:101" ht="15" customHeight="1">
      <c r="B269" s="163">
        <v>44531</v>
      </c>
      <c r="C269" s="165">
        <v>1100</v>
      </c>
      <c r="D269" s="274">
        <f t="shared" si="137"/>
        <v>44531</v>
      </c>
      <c r="E269" s="275">
        <f t="shared" si="138"/>
        <v>1100</v>
      </c>
      <c r="G269" s="163">
        <v>44896</v>
      </c>
      <c r="H269" s="163">
        <v>44927</v>
      </c>
      <c r="I269" s="164">
        <v>2.0720000000000001E-3</v>
      </c>
      <c r="J269" s="159">
        <f t="shared" si="139"/>
        <v>44927</v>
      </c>
      <c r="K269" s="278">
        <f t="shared" si="140"/>
        <v>2.0720000000000001E-3</v>
      </c>
      <c r="M269" s="163">
        <v>43040</v>
      </c>
      <c r="N269" s="163">
        <v>43070</v>
      </c>
      <c r="O269" s="164">
        <v>4.2729999999999999E-3</v>
      </c>
      <c r="P269" s="159">
        <f t="shared" si="128"/>
        <v>43040</v>
      </c>
      <c r="Q269" s="292">
        <f t="shared" si="126"/>
        <v>4.2729999999999999E-3</v>
      </c>
      <c r="S269" s="163">
        <v>43070</v>
      </c>
      <c r="T269" s="164">
        <v>5.4000000000000003E-3</v>
      </c>
      <c r="U269" s="159">
        <f t="shared" si="141"/>
        <v>43070</v>
      </c>
      <c r="V269" s="285">
        <f t="shared" si="142"/>
        <v>5.4000000000000003E-3</v>
      </c>
      <c r="BM269" s="31" t="s">
        <v>198</v>
      </c>
      <c r="BN269" s="159">
        <f t="shared" si="120"/>
        <v>41306</v>
      </c>
      <c r="BO269" s="162">
        <f t="shared" si="121"/>
        <v>0</v>
      </c>
      <c r="BP269" s="278">
        <f t="shared" si="124"/>
        <v>0</v>
      </c>
      <c r="BQ269" s="312">
        <f t="shared" si="129"/>
        <v>1.1377523960379563</v>
      </c>
      <c r="BS269" s="31" t="s">
        <v>43</v>
      </c>
      <c r="BT269" s="159">
        <f t="shared" si="118"/>
        <v>41306</v>
      </c>
      <c r="BU269" s="162">
        <f t="shared" si="119"/>
        <v>4.8999999999999998E-3</v>
      </c>
      <c r="BV269" s="311">
        <f t="shared" si="130"/>
        <v>1.2894000000000008</v>
      </c>
      <c r="BX269" s="358" t="s">
        <v>242</v>
      </c>
      <c r="BY269" s="294">
        <f t="shared" si="122"/>
        <v>41306</v>
      </c>
      <c r="BZ269" s="357">
        <f t="shared" si="123"/>
        <v>4.1339999999999997E-3</v>
      </c>
      <c r="CA269" s="162">
        <f t="shared" si="131"/>
        <v>0.70578700000000083</v>
      </c>
      <c r="CB269" s="42"/>
      <c r="CF269" s="31" t="s">
        <v>197</v>
      </c>
      <c r="CG269" s="168">
        <f t="shared" si="127"/>
        <v>41306</v>
      </c>
      <c r="CH269" s="37">
        <v>0</v>
      </c>
      <c r="CI269" s="314">
        <f t="shared" si="125"/>
        <v>0</v>
      </c>
      <c r="CJ269" s="312">
        <f t="shared" si="132"/>
        <v>1</v>
      </c>
      <c r="CN269" s="315">
        <f t="shared" si="133"/>
        <v>41306</v>
      </c>
      <c r="CO269" s="312">
        <f t="shared" si="134"/>
        <v>1</v>
      </c>
      <c r="CQ269" s="315">
        <f t="shared" si="135"/>
        <v>41306</v>
      </c>
      <c r="CR269" s="316">
        <f t="shared" si="136"/>
        <v>1.2894000000000008</v>
      </c>
      <c r="CW269" s="655" t="s">
        <v>463</v>
      </c>
    </row>
    <row r="270" spans="2:101" ht="15" customHeight="1">
      <c r="B270" s="163">
        <v>44562</v>
      </c>
      <c r="C270" s="165">
        <v>1212</v>
      </c>
      <c r="D270" s="274">
        <f t="shared" si="137"/>
        <v>44562</v>
      </c>
      <c r="E270" s="275">
        <f t="shared" si="138"/>
        <v>1212</v>
      </c>
      <c r="G270" s="163">
        <v>44927</v>
      </c>
      <c r="H270" s="163">
        <v>44958</v>
      </c>
      <c r="I270" s="164">
        <v>2.081E-3</v>
      </c>
      <c r="J270" s="159">
        <f t="shared" si="139"/>
        <v>44958</v>
      </c>
      <c r="K270" s="278">
        <f t="shared" si="140"/>
        <v>2.081E-3</v>
      </c>
      <c r="M270" s="163">
        <v>43070</v>
      </c>
      <c r="N270" s="163">
        <v>43101</v>
      </c>
      <c r="O270" s="164">
        <v>4.2729999999999999E-3</v>
      </c>
      <c r="P270" s="159">
        <f t="shared" si="128"/>
        <v>43070</v>
      </c>
      <c r="Q270" s="292">
        <f t="shared" si="126"/>
        <v>4.2729999999999999E-3</v>
      </c>
      <c r="S270" s="163">
        <v>43101</v>
      </c>
      <c r="T270" s="164">
        <v>5.7999999999999996E-3</v>
      </c>
      <c r="U270" s="159">
        <f t="shared" si="141"/>
        <v>43101</v>
      </c>
      <c r="V270" s="285">
        <f t="shared" si="142"/>
        <v>5.7999999999999996E-3</v>
      </c>
      <c r="BM270" s="31" t="s">
        <v>198</v>
      </c>
      <c r="BN270" s="159">
        <f t="shared" si="120"/>
        <v>41334</v>
      </c>
      <c r="BO270" s="162">
        <f t="shared" si="121"/>
        <v>0</v>
      </c>
      <c r="BP270" s="278">
        <f>+IF(BO270="","",BO270)</f>
        <v>0</v>
      </c>
      <c r="BQ270" s="312">
        <f t="shared" si="129"/>
        <v>1.1377523960379563</v>
      </c>
      <c r="BS270" s="31" t="s">
        <v>43</v>
      </c>
      <c r="BT270" s="159">
        <f t="shared" si="118"/>
        <v>41334</v>
      </c>
      <c r="BU270" s="162">
        <f t="shared" si="119"/>
        <v>5.4999999999999997E-3</v>
      </c>
      <c r="BV270" s="311">
        <f t="shared" si="130"/>
        <v>1.2845000000000009</v>
      </c>
      <c r="BX270" s="358" t="s">
        <v>242</v>
      </c>
      <c r="BY270" s="294">
        <f t="shared" si="122"/>
        <v>41334</v>
      </c>
      <c r="BZ270" s="357">
        <f t="shared" si="123"/>
        <v>4.1339999999999997E-3</v>
      </c>
      <c r="CA270" s="162">
        <f t="shared" si="131"/>
        <v>0.70165300000000086</v>
      </c>
      <c r="CB270" s="42"/>
      <c r="CF270" s="31" t="s">
        <v>197</v>
      </c>
      <c r="CG270" s="168">
        <f t="shared" si="127"/>
        <v>41334</v>
      </c>
      <c r="CH270" s="37">
        <v>0</v>
      </c>
      <c r="CI270" s="314">
        <f>+IF(CH270="","",CH270)</f>
        <v>0</v>
      </c>
      <c r="CJ270" s="312">
        <f t="shared" si="132"/>
        <v>1</v>
      </c>
      <c r="CN270" s="315">
        <f t="shared" si="133"/>
        <v>41334</v>
      </c>
      <c r="CO270" s="312">
        <f t="shared" si="134"/>
        <v>1</v>
      </c>
      <c r="CQ270" s="315">
        <f t="shared" si="135"/>
        <v>41334</v>
      </c>
      <c r="CR270" s="316">
        <f t="shared" si="136"/>
        <v>1.2845000000000009</v>
      </c>
      <c r="CW270"/>
    </row>
    <row r="271" spans="2:101" ht="15" customHeight="1">
      <c r="B271" s="163">
        <v>44593</v>
      </c>
      <c r="C271" s="165">
        <v>1212</v>
      </c>
      <c r="D271" s="274">
        <f t="shared" si="137"/>
        <v>44593</v>
      </c>
      <c r="E271" s="275">
        <f t="shared" si="138"/>
        <v>1212</v>
      </c>
      <c r="G271" s="163">
        <v>44958</v>
      </c>
      <c r="H271" s="163">
        <v>44986</v>
      </c>
      <c r="I271" s="164">
        <v>8.3000000000000001E-4</v>
      </c>
      <c r="J271" s="159">
        <f t="shared" si="139"/>
        <v>44986</v>
      </c>
      <c r="K271" s="278">
        <f t="shared" si="140"/>
        <v>8.3000000000000001E-4</v>
      </c>
      <c r="M271" s="163">
        <v>43101</v>
      </c>
      <c r="N271" s="163">
        <v>43132</v>
      </c>
      <c r="O271" s="164">
        <v>3.9940000000000002E-3</v>
      </c>
      <c r="P271" s="159">
        <f t="shared" si="128"/>
        <v>43101</v>
      </c>
      <c r="Q271" s="292">
        <f t="shared" si="126"/>
        <v>3.9940000000000002E-3</v>
      </c>
      <c r="S271" s="163">
        <v>43132</v>
      </c>
      <c r="T271" s="164">
        <v>4.7000000000000002E-3</v>
      </c>
      <c r="U271" s="159">
        <f t="shared" si="141"/>
        <v>43132</v>
      </c>
      <c r="V271" s="285">
        <f t="shared" si="142"/>
        <v>4.7000000000000002E-3</v>
      </c>
      <c r="BM271" s="31" t="s">
        <v>198</v>
      </c>
      <c r="BN271" s="159">
        <f t="shared" si="120"/>
        <v>41365</v>
      </c>
      <c r="BO271" s="162">
        <f t="shared" si="121"/>
        <v>0</v>
      </c>
      <c r="BP271" s="278">
        <f t="shared" ref="BP271:BP279" si="143">+IF(BO271="","",BO271)</f>
        <v>0</v>
      </c>
      <c r="BQ271" s="312">
        <f t="shared" si="129"/>
        <v>1.1377523960379563</v>
      </c>
      <c r="BS271" s="31" t="s">
        <v>43</v>
      </c>
      <c r="BT271" s="159">
        <f t="shared" si="118"/>
        <v>41365</v>
      </c>
      <c r="BU271" s="162">
        <f t="shared" si="119"/>
        <v>6.1000000000000004E-3</v>
      </c>
      <c r="BV271" s="311">
        <f t="shared" si="130"/>
        <v>1.2790000000000008</v>
      </c>
      <c r="BX271" s="358" t="s">
        <v>242</v>
      </c>
      <c r="BY271" s="294">
        <f t="shared" si="122"/>
        <v>41365</v>
      </c>
      <c r="BZ271" s="357">
        <f t="shared" si="123"/>
        <v>4.1339999999999997E-3</v>
      </c>
      <c r="CA271" s="162">
        <f t="shared" si="131"/>
        <v>0.69751900000000089</v>
      </c>
      <c r="CB271" s="42"/>
      <c r="CF271" s="31" t="s">
        <v>197</v>
      </c>
      <c r="CG271" s="168">
        <v>41365</v>
      </c>
      <c r="CH271" s="37">
        <v>0</v>
      </c>
      <c r="CI271" s="314">
        <f t="shared" ref="CI271:CI279" si="144">+IF(CH271="","",CH271)</f>
        <v>0</v>
      </c>
      <c r="CJ271" s="312">
        <f t="shared" si="132"/>
        <v>1</v>
      </c>
      <c r="CN271" s="315">
        <f t="shared" si="133"/>
        <v>41365</v>
      </c>
      <c r="CO271" s="312">
        <f t="shared" si="134"/>
        <v>1</v>
      </c>
      <c r="CQ271" s="315">
        <f t="shared" si="135"/>
        <v>41365</v>
      </c>
      <c r="CR271" s="316">
        <f t="shared" si="136"/>
        <v>1.2790000000000008</v>
      </c>
      <c r="CW271" s="650" t="s">
        <v>464</v>
      </c>
    </row>
    <row r="272" spans="2:101" ht="15" customHeight="1">
      <c r="B272" s="163">
        <v>44621</v>
      </c>
      <c r="C272" s="165">
        <v>1212</v>
      </c>
      <c r="D272" s="274">
        <f t="shared" si="137"/>
        <v>44621</v>
      </c>
      <c r="E272" s="275">
        <f t="shared" si="138"/>
        <v>1212</v>
      </c>
      <c r="G272" s="163">
        <v>44986</v>
      </c>
      <c r="H272" s="163">
        <v>45017</v>
      </c>
      <c r="I272" s="164">
        <v>2.392E-3</v>
      </c>
      <c r="J272" s="159">
        <f t="shared" si="139"/>
        <v>45017</v>
      </c>
      <c r="K272" s="278">
        <f t="shared" si="140"/>
        <v>2.392E-3</v>
      </c>
      <c r="M272" s="163">
        <v>43132</v>
      </c>
      <c r="N272" s="163">
        <v>43160</v>
      </c>
      <c r="O272" s="164">
        <v>3.9940000000000002E-3</v>
      </c>
      <c r="P272" s="159">
        <f t="shared" si="128"/>
        <v>43132</v>
      </c>
      <c r="Q272" s="292">
        <f t="shared" si="126"/>
        <v>3.9940000000000002E-3</v>
      </c>
      <c r="S272" s="163">
        <v>43160</v>
      </c>
      <c r="T272" s="164">
        <v>5.3E-3</v>
      </c>
      <c r="U272" s="159">
        <f t="shared" si="141"/>
        <v>43160</v>
      </c>
      <c r="V272" s="285">
        <f t="shared" si="142"/>
        <v>5.3E-3</v>
      </c>
      <c r="BM272" s="31" t="s">
        <v>198</v>
      </c>
      <c r="BN272" s="159">
        <f t="shared" si="120"/>
        <v>41395</v>
      </c>
      <c r="BO272" s="162">
        <f t="shared" si="121"/>
        <v>0</v>
      </c>
      <c r="BP272" s="278">
        <f t="shared" si="143"/>
        <v>0</v>
      </c>
      <c r="BQ272" s="312">
        <f t="shared" si="129"/>
        <v>1.1377523960379563</v>
      </c>
      <c r="BS272" s="31" t="s">
        <v>43</v>
      </c>
      <c r="BT272" s="159">
        <f t="shared" ref="BT272:BT335" si="145">U214</f>
        <v>41395</v>
      </c>
      <c r="BU272" s="162">
        <f t="shared" ref="BU272:BU335" si="146">V214</f>
        <v>6.0000000000000001E-3</v>
      </c>
      <c r="BV272" s="311">
        <f t="shared" si="130"/>
        <v>1.2729000000000008</v>
      </c>
      <c r="BX272" s="358" t="s">
        <v>242</v>
      </c>
      <c r="BY272" s="294">
        <f t="shared" si="122"/>
        <v>41395</v>
      </c>
      <c r="BZ272" s="357">
        <f t="shared" si="123"/>
        <v>4.2729999999999999E-3</v>
      </c>
      <c r="CA272" s="162">
        <f t="shared" si="131"/>
        <v>0.69338500000000092</v>
      </c>
      <c r="CB272" s="42"/>
      <c r="CF272" s="31" t="s">
        <v>197</v>
      </c>
      <c r="CG272" s="168">
        <v>41395</v>
      </c>
      <c r="CH272" s="37">
        <v>0</v>
      </c>
      <c r="CI272" s="314">
        <f t="shared" si="144"/>
        <v>0</v>
      </c>
      <c r="CJ272" s="312">
        <f t="shared" si="132"/>
        <v>1</v>
      </c>
      <c r="CN272" s="315">
        <f t="shared" si="133"/>
        <v>41395</v>
      </c>
      <c r="CO272" s="312">
        <f t="shared" si="134"/>
        <v>1</v>
      </c>
      <c r="CQ272" s="315">
        <f t="shared" si="135"/>
        <v>41395</v>
      </c>
      <c r="CR272" s="316">
        <f t="shared" si="136"/>
        <v>1.2729000000000008</v>
      </c>
      <c r="CW272" s="661" t="s">
        <v>429</v>
      </c>
    </row>
    <row r="273" spans="2:101" ht="15" customHeight="1">
      <c r="B273" s="163">
        <v>44652</v>
      </c>
      <c r="C273" s="165">
        <v>1212</v>
      </c>
      <c r="D273" s="274">
        <f t="shared" si="137"/>
        <v>44652</v>
      </c>
      <c r="E273" s="275">
        <f t="shared" si="138"/>
        <v>1212</v>
      </c>
      <c r="G273" s="163">
        <v>45017</v>
      </c>
      <c r="H273" s="163">
        <v>45047</v>
      </c>
      <c r="I273" s="164">
        <v>8.2100000000000001E-4</v>
      </c>
      <c r="J273" s="159">
        <f t="shared" si="139"/>
        <v>45047</v>
      </c>
      <c r="K273" s="278">
        <f t="shared" si="140"/>
        <v>8.2100000000000001E-4</v>
      </c>
      <c r="M273" s="163">
        <v>43160</v>
      </c>
      <c r="N273" s="163">
        <v>43191</v>
      </c>
      <c r="O273" s="164">
        <v>3.8549999999999999E-3</v>
      </c>
      <c r="P273" s="159">
        <f t="shared" si="128"/>
        <v>43160</v>
      </c>
      <c r="Q273" s="292">
        <f t="shared" si="126"/>
        <v>3.8549999999999999E-3</v>
      </c>
      <c r="S273" s="163">
        <v>43191</v>
      </c>
      <c r="T273" s="164">
        <v>5.1999999999999998E-3</v>
      </c>
      <c r="U273" s="159">
        <f t="shared" si="141"/>
        <v>43191</v>
      </c>
      <c r="V273" s="285">
        <f t="shared" si="142"/>
        <v>5.1999999999999998E-3</v>
      </c>
      <c r="BM273" s="31" t="s">
        <v>198</v>
      </c>
      <c r="BN273" s="159">
        <f t="shared" si="120"/>
        <v>41426</v>
      </c>
      <c r="BO273" s="162">
        <f t="shared" si="121"/>
        <v>0</v>
      </c>
      <c r="BP273" s="278">
        <f t="shared" si="143"/>
        <v>0</v>
      </c>
      <c r="BQ273" s="312">
        <f t="shared" si="129"/>
        <v>1.1377523960379563</v>
      </c>
      <c r="BS273" s="31" t="s">
        <v>43</v>
      </c>
      <c r="BT273" s="159">
        <f t="shared" si="145"/>
        <v>41426</v>
      </c>
      <c r="BU273" s="162">
        <f t="shared" si="146"/>
        <v>6.1000000000000004E-3</v>
      </c>
      <c r="BV273" s="311">
        <f t="shared" si="130"/>
        <v>1.2669000000000008</v>
      </c>
      <c r="BX273" s="358" t="s">
        <v>242</v>
      </c>
      <c r="BY273" s="294">
        <f t="shared" si="122"/>
        <v>41426</v>
      </c>
      <c r="BZ273" s="357">
        <f t="shared" si="123"/>
        <v>4.5510000000000004E-3</v>
      </c>
      <c r="CA273" s="162">
        <f t="shared" si="131"/>
        <v>0.68911200000000095</v>
      </c>
      <c r="CB273" s="42"/>
      <c r="CF273" s="31" t="s">
        <v>197</v>
      </c>
      <c r="CG273" s="168">
        <v>41426</v>
      </c>
      <c r="CH273" s="37">
        <v>0</v>
      </c>
      <c r="CI273" s="314">
        <f t="shared" si="144"/>
        <v>0</v>
      </c>
      <c r="CJ273" s="312">
        <f t="shared" si="132"/>
        <v>1</v>
      </c>
      <c r="CN273" s="315">
        <f t="shared" si="133"/>
        <v>41426</v>
      </c>
      <c r="CO273" s="312">
        <f t="shared" si="134"/>
        <v>1</v>
      </c>
      <c r="CQ273" s="315">
        <f t="shared" si="135"/>
        <v>41426</v>
      </c>
      <c r="CR273" s="316">
        <f t="shared" si="136"/>
        <v>1.2669000000000008</v>
      </c>
      <c r="CW273" s="655" t="s">
        <v>465</v>
      </c>
    </row>
    <row r="274" spans="2:101" ht="15" customHeight="1">
      <c r="B274" s="163">
        <v>44682</v>
      </c>
      <c r="C274" s="165">
        <v>1212</v>
      </c>
      <c r="D274" s="274">
        <f t="shared" si="137"/>
        <v>44682</v>
      </c>
      <c r="E274" s="275">
        <f t="shared" si="138"/>
        <v>1212</v>
      </c>
      <c r="G274" s="163">
        <v>45047</v>
      </c>
      <c r="H274" s="163">
        <v>45078</v>
      </c>
      <c r="I274" s="164">
        <v>2.147E-3</v>
      </c>
      <c r="J274" s="159">
        <f t="shared" si="139"/>
        <v>45078</v>
      </c>
      <c r="K274" s="278">
        <f t="shared" si="140"/>
        <v>2.147E-3</v>
      </c>
      <c r="M274" s="163">
        <v>43191</v>
      </c>
      <c r="N274" s="163">
        <v>43221</v>
      </c>
      <c r="O274" s="164">
        <v>3.715E-3</v>
      </c>
      <c r="P274" s="159">
        <f t="shared" si="128"/>
        <v>43191</v>
      </c>
      <c r="Q274" s="292">
        <f t="shared" si="126"/>
        <v>3.715E-3</v>
      </c>
      <c r="S274" s="163">
        <v>43221</v>
      </c>
      <c r="T274" s="164">
        <v>5.1999999999999998E-3</v>
      </c>
      <c r="U274" s="159">
        <f t="shared" si="141"/>
        <v>43221</v>
      </c>
      <c r="V274" s="285">
        <f t="shared" si="142"/>
        <v>5.1999999999999998E-3</v>
      </c>
      <c r="BM274" s="31" t="s">
        <v>198</v>
      </c>
      <c r="BN274" s="159">
        <f t="shared" si="120"/>
        <v>41456</v>
      </c>
      <c r="BO274" s="162">
        <f t="shared" si="121"/>
        <v>0</v>
      </c>
      <c r="BP274" s="278">
        <f t="shared" si="143"/>
        <v>0</v>
      </c>
      <c r="BQ274" s="312">
        <f t="shared" si="129"/>
        <v>1.1377523960379563</v>
      </c>
      <c r="BS274" s="31" t="s">
        <v>43</v>
      </c>
      <c r="BT274" s="159">
        <f t="shared" si="145"/>
        <v>41456</v>
      </c>
      <c r="BU274" s="162">
        <f t="shared" si="146"/>
        <v>7.1999999999999998E-3</v>
      </c>
      <c r="BV274" s="311">
        <f t="shared" si="130"/>
        <v>1.2608000000000008</v>
      </c>
      <c r="BX274" s="358" t="s">
        <v>242</v>
      </c>
      <c r="BY274" s="294">
        <f t="shared" si="122"/>
        <v>41456</v>
      </c>
      <c r="BZ274" s="357">
        <f t="shared" si="123"/>
        <v>4.5510000000000004E-3</v>
      </c>
      <c r="CA274" s="162">
        <f t="shared" si="131"/>
        <v>0.68456100000000097</v>
      </c>
      <c r="CB274" s="42"/>
      <c r="CF274" s="31" t="s">
        <v>197</v>
      </c>
      <c r="CG274" s="168">
        <v>41456</v>
      </c>
      <c r="CH274" s="37">
        <v>0</v>
      </c>
      <c r="CI274" s="314">
        <f t="shared" si="144"/>
        <v>0</v>
      </c>
      <c r="CJ274" s="312">
        <f t="shared" si="132"/>
        <v>1</v>
      </c>
      <c r="CN274" s="315">
        <f t="shared" si="133"/>
        <v>41456</v>
      </c>
      <c r="CO274" s="312">
        <f t="shared" si="134"/>
        <v>1</v>
      </c>
      <c r="CQ274" s="315">
        <f t="shared" si="135"/>
        <v>41456</v>
      </c>
      <c r="CR274" s="316">
        <f t="shared" si="136"/>
        <v>1.2608000000000008</v>
      </c>
      <c r="CW274"/>
    </row>
    <row r="275" spans="2:101" ht="15" customHeight="1">
      <c r="B275" s="163">
        <v>44713</v>
      </c>
      <c r="C275" s="165">
        <v>1212</v>
      </c>
      <c r="D275" s="274">
        <f t="shared" si="137"/>
        <v>44713</v>
      </c>
      <c r="E275" s="275">
        <f t="shared" si="138"/>
        <v>1212</v>
      </c>
      <c r="G275" s="163">
        <v>45078</v>
      </c>
      <c r="H275" s="163">
        <v>45108</v>
      </c>
      <c r="I275" s="164">
        <v>1.799E-3</v>
      </c>
      <c r="J275" s="159">
        <f t="shared" si="139"/>
        <v>45108</v>
      </c>
      <c r="K275" s="278">
        <f t="shared" si="140"/>
        <v>1.799E-3</v>
      </c>
      <c r="M275" s="163">
        <v>43221</v>
      </c>
      <c r="N275" s="163">
        <v>43252</v>
      </c>
      <c r="O275" s="164">
        <v>3.715E-3</v>
      </c>
      <c r="P275" s="159">
        <f t="shared" si="128"/>
        <v>43221</v>
      </c>
      <c r="Q275" s="292">
        <f t="shared" si="126"/>
        <v>3.715E-3</v>
      </c>
      <c r="S275" s="163">
        <v>43252</v>
      </c>
      <c r="T275" s="164">
        <v>5.1999999999999998E-3</v>
      </c>
      <c r="U275" s="159">
        <f t="shared" si="141"/>
        <v>43252</v>
      </c>
      <c r="V275" s="285">
        <f t="shared" si="142"/>
        <v>5.1999999999999998E-3</v>
      </c>
      <c r="BM275" s="31" t="s">
        <v>198</v>
      </c>
      <c r="BN275" s="159">
        <f t="shared" si="120"/>
        <v>41487</v>
      </c>
      <c r="BO275" s="162">
        <f t="shared" si="121"/>
        <v>2.0900000000000001E-4</v>
      </c>
      <c r="BP275" s="278">
        <f t="shared" si="143"/>
        <v>2.0900000000000001E-4</v>
      </c>
      <c r="BQ275" s="312">
        <f t="shared" si="129"/>
        <v>1.1377523960379563</v>
      </c>
      <c r="BS275" s="31" t="s">
        <v>43</v>
      </c>
      <c r="BT275" s="159">
        <f t="shared" si="145"/>
        <v>41487</v>
      </c>
      <c r="BU275" s="162">
        <f t="shared" si="146"/>
        <v>7.1000000000000004E-3</v>
      </c>
      <c r="BV275" s="311">
        <f t="shared" si="130"/>
        <v>1.2536000000000007</v>
      </c>
      <c r="BX275" s="358" t="s">
        <v>242</v>
      </c>
      <c r="BY275" s="294">
        <f t="shared" si="122"/>
        <v>41487</v>
      </c>
      <c r="BZ275" s="357">
        <f t="shared" si="123"/>
        <v>4.8279999999999998E-3</v>
      </c>
      <c r="CA275" s="162">
        <f t="shared" si="131"/>
        <v>0.680010000000001</v>
      </c>
      <c r="CB275" s="42"/>
      <c r="CF275" s="31" t="s">
        <v>197</v>
      </c>
      <c r="CG275" s="168">
        <v>41487</v>
      </c>
      <c r="CH275" s="37">
        <v>0</v>
      </c>
      <c r="CI275" s="314">
        <f t="shared" si="144"/>
        <v>0</v>
      </c>
      <c r="CJ275" s="312">
        <f t="shared" si="132"/>
        <v>1</v>
      </c>
      <c r="CN275" s="315">
        <f t="shared" si="133"/>
        <v>41487</v>
      </c>
      <c r="CO275" s="312">
        <f t="shared" si="134"/>
        <v>1</v>
      </c>
      <c r="CQ275" s="315">
        <f t="shared" si="135"/>
        <v>41487</v>
      </c>
      <c r="CR275" s="316">
        <f t="shared" si="136"/>
        <v>1.2536000000000007</v>
      </c>
      <c r="CW275" s="650" t="s">
        <v>466</v>
      </c>
    </row>
    <row r="276" spans="2:101" ht="15" customHeight="1">
      <c r="B276" s="163">
        <v>44743</v>
      </c>
      <c r="C276" s="165">
        <v>1212</v>
      </c>
      <c r="D276" s="274">
        <f t="shared" si="137"/>
        <v>44743</v>
      </c>
      <c r="E276" s="275">
        <f t="shared" si="138"/>
        <v>1212</v>
      </c>
      <c r="G276" s="163">
        <v>45108</v>
      </c>
      <c r="H276" s="163">
        <v>45139</v>
      </c>
      <c r="I276" s="164">
        <v>1.5809999999999999E-3</v>
      </c>
      <c r="J276" s="159">
        <f t="shared" si="139"/>
        <v>45139</v>
      </c>
      <c r="K276" s="278">
        <f t="shared" si="140"/>
        <v>1.5809999999999999E-3</v>
      </c>
      <c r="M276" s="163">
        <v>43252</v>
      </c>
      <c r="N276" s="163">
        <v>43282</v>
      </c>
      <c r="O276" s="164">
        <v>3.715E-3</v>
      </c>
      <c r="P276" s="159">
        <f t="shared" si="128"/>
        <v>43252</v>
      </c>
      <c r="Q276" s="292">
        <f t="shared" si="126"/>
        <v>3.715E-3</v>
      </c>
      <c r="S276" s="163">
        <v>43282</v>
      </c>
      <c r="T276" s="164">
        <v>5.4000000000000003E-3</v>
      </c>
      <c r="U276" s="159">
        <f t="shared" si="141"/>
        <v>43282</v>
      </c>
      <c r="V276" s="285">
        <f t="shared" si="142"/>
        <v>5.4000000000000003E-3</v>
      </c>
      <c r="BM276" s="31" t="s">
        <v>198</v>
      </c>
      <c r="BN276" s="159">
        <f t="shared" si="120"/>
        <v>41518</v>
      </c>
      <c r="BO276" s="162">
        <f t="shared" si="121"/>
        <v>0</v>
      </c>
      <c r="BP276" s="278">
        <f t="shared" si="143"/>
        <v>0</v>
      </c>
      <c r="BQ276" s="312">
        <f t="shared" si="129"/>
        <v>1.1375146554749622</v>
      </c>
      <c r="BS276" s="31" t="s">
        <v>43</v>
      </c>
      <c r="BT276" s="159">
        <f t="shared" si="145"/>
        <v>41518</v>
      </c>
      <c r="BU276" s="162">
        <f t="shared" si="146"/>
        <v>7.1000000000000004E-3</v>
      </c>
      <c r="BV276" s="311">
        <f t="shared" si="130"/>
        <v>1.2465000000000006</v>
      </c>
      <c r="BX276" s="358" t="s">
        <v>242</v>
      </c>
      <c r="BY276" s="294">
        <f t="shared" si="122"/>
        <v>41518</v>
      </c>
      <c r="BZ276" s="357">
        <f t="shared" si="123"/>
        <v>5.0000000000000001E-3</v>
      </c>
      <c r="CA276" s="162">
        <f t="shared" si="131"/>
        <v>0.67518200000000095</v>
      </c>
      <c r="CB276" s="42"/>
      <c r="CF276" s="31" t="s">
        <v>197</v>
      </c>
      <c r="CG276" s="168">
        <v>41518</v>
      </c>
      <c r="CH276" s="37">
        <v>0</v>
      </c>
      <c r="CI276" s="314">
        <f t="shared" si="144"/>
        <v>0</v>
      </c>
      <c r="CJ276" s="312">
        <f t="shared" si="132"/>
        <v>1</v>
      </c>
      <c r="CN276" s="315">
        <f t="shared" si="133"/>
        <v>41518</v>
      </c>
      <c r="CO276" s="312">
        <f t="shared" si="134"/>
        <v>1</v>
      </c>
      <c r="CQ276" s="315">
        <f t="shared" si="135"/>
        <v>41518</v>
      </c>
      <c r="CR276" s="316">
        <f t="shared" si="136"/>
        <v>1.2465000000000006</v>
      </c>
      <c r="CW276" s="661" t="s">
        <v>429</v>
      </c>
    </row>
    <row r="277" spans="2:101" ht="15" customHeight="1">
      <c r="B277" s="163">
        <v>44774</v>
      </c>
      <c r="C277" s="165">
        <v>1212</v>
      </c>
      <c r="D277" s="274">
        <f t="shared" si="137"/>
        <v>44774</v>
      </c>
      <c r="E277" s="275">
        <f t="shared" si="138"/>
        <v>1212</v>
      </c>
      <c r="G277" s="163">
        <v>45139</v>
      </c>
      <c r="H277" s="163">
        <v>45170</v>
      </c>
      <c r="I277" s="164">
        <v>2.16E-3</v>
      </c>
      <c r="J277" s="159">
        <f t="shared" si="139"/>
        <v>45170</v>
      </c>
      <c r="K277" s="278">
        <f t="shared" si="140"/>
        <v>2.16E-3</v>
      </c>
      <c r="M277" s="163">
        <v>43282</v>
      </c>
      <c r="N277" s="163">
        <v>43313</v>
      </c>
      <c r="O277" s="164">
        <v>3.715E-3</v>
      </c>
      <c r="P277" s="159">
        <f t="shared" si="128"/>
        <v>43282</v>
      </c>
      <c r="Q277" s="292">
        <f t="shared" si="126"/>
        <v>3.715E-3</v>
      </c>
      <c r="S277" s="163">
        <v>43313</v>
      </c>
      <c r="T277" s="164">
        <v>5.7000000000000002E-3</v>
      </c>
      <c r="U277" s="159">
        <f t="shared" si="141"/>
        <v>43313</v>
      </c>
      <c r="V277" s="285">
        <f t="shared" si="142"/>
        <v>5.7000000000000002E-3</v>
      </c>
      <c r="BM277" s="31" t="s">
        <v>198</v>
      </c>
      <c r="BN277" s="159">
        <f t="shared" si="120"/>
        <v>41548</v>
      </c>
      <c r="BO277" s="162">
        <f t="shared" si="121"/>
        <v>7.8999999999999996E-5</v>
      </c>
      <c r="BP277" s="278">
        <f t="shared" si="143"/>
        <v>7.8999999999999996E-5</v>
      </c>
      <c r="BQ277" s="312">
        <f t="shared" si="129"/>
        <v>1.1375146554749622</v>
      </c>
      <c r="BS277" s="31" t="s">
        <v>43</v>
      </c>
      <c r="BT277" s="159">
        <f t="shared" si="145"/>
        <v>41548</v>
      </c>
      <c r="BU277" s="162">
        <f t="shared" si="146"/>
        <v>8.0999999999999996E-3</v>
      </c>
      <c r="BV277" s="311">
        <f t="shared" si="130"/>
        <v>1.2394000000000005</v>
      </c>
      <c r="BX277" s="358" t="s">
        <v>242</v>
      </c>
      <c r="BY277" s="294">
        <f t="shared" si="122"/>
        <v>41548</v>
      </c>
      <c r="BZ277" s="357">
        <f t="shared" si="123"/>
        <v>5.0000000000000001E-3</v>
      </c>
      <c r="CA277" s="162">
        <f t="shared" si="131"/>
        <v>0.67018200000000094</v>
      </c>
      <c r="CB277" s="42"/>
      <c r="CF277" s="31" t="s">
        <v>197</v>
      </c>
      <c r="CG277" s="168">
        <v>41548</v>
      </c>
      <c r="CH277" s="37">
        <v>0</v>
      </c>
      <c r="CI277" s="314">
        <f t="shared" si="144"/>
        <v>0</v>
      </c>
      <c r="CJ277" s="312">
        <f t="shared" si="132"/>
        <v>1</v>
      </c>
      <c r="CN277" s="315">
        <f t="shared" si="133"/>
        <v>41548</v>
      </c>
      <c r="CO277" s="312">
        <f t="shared" si="134"/>
        <v>1</v>
      </c>
      <c r="CQ277" s="315">
        <f t="shared" si="135"/>
        <v>41548</v>
      </c>
      <c r="CR277" s="316">
        <f t="shared" si="136"/>
        <v>1.2394000000000005</v>
      </c>
      <c r="CW277" s="655" t="s">
        <v>467</v>
      </c>
    </row>
    <row r="278" spans="2:101" ht="15" customHeight="1">
      <c r="B278" s="163">
        <v>44805</v>
      </c>
      <c r="C278" s="165">
        <v>1212</v>
      </c>
      <c r="D278" s="274">
        <f t="shared" si="137"/>
        <v>44805</v>
      </c>
      <c r="E278" s="275">
        <f t="shared" si="138"/>
        <v>1212</v>
      </c>
      <c r="G278" s="163">
        <v>45170</v>
      </c>
      <c r="H278" s="163">
        <v>45200</v>
      </c>
      <c r="I278" s="164">
        <v>1.1299999999999999E-3</v>
      </c>
      <c r="J278" s="159">
        <f t="shared" si="139"/>
        <v>45200</v>
      </c>
      <c r="K278" s="278">
        <f t="shared" si="140"/>
        <v>1.1299999999999999E-3</v>
      </c>
      <c r="M278" s="163">
        <v>43313</v>
      </c>
      <c r="N278" s="163">
        <v>43344</v>
      </c>
      <c r="O278" s="164">
        <v>3.715E-3</v>
      </c>
      <c r="P278" s="159">
        <f t="shared" si="128"/>
        <v>43313</v>
      </c>
      <c r="Q278" s="292">
        <f t="shared" si="126"/>
        <v>3.715E-3</v>
      </c>
      <c r="S278" s="163">
        <v>43344</v>
      </c>
      <c r="T278" s="164">
        <v>4.7000000000000002E-3</v>
      </c>
      <c r="U278" s="159">
        <f t="shared" si="141"/>
        <v>43344</v>
      </c>
      <c r="V278" s="285">
        <f t="shared" si="142"/>
        <v>4.7000000000000002E-3</v>
      </c>
      <c r="BM278" s="31" t="s">
        <v>198</v>
      </c>
      <c r="BN278" s="159">
        <f t="shared" si="120"/>
        <v>41579</v>
      </c>
      <c r="BO278" s="162">
        <f t="shared" si="121"/>
        <v>9.2000000000000003E-4</v>
      </c>
      <c r="BP278" s="278">
        <f t="shared" si="143"/>
        <v>9.2000000000000003E-4</v>
      </c>
      <c r="BQ278" s="312">
        <f t="shared" si="129"/>
        <v>1.1374247989158479</v>
      </c>
      <c r="BS278" s="31" t="s">
        <v>43</v>
      </c>
      <c r="BT278" s="159">
        <f t="shared" si="145"/>
        <v>41579</v>
      </c>
      <c r="BU278" s="162">
        <f t="shared" si="146"/>
        <v>7.1999999999999998E-3</v>
      </c>
      <c r="BV278" s="311">
        <f t="shared" si="130"/>
        <v>1.2313000000000005</v>
      </c>
      <c r="BX278" s="358" t="s">
        <v>242</v>
      </c>
      <c r="BY278" s="294">
        <f t="shared" si="122"/>
        <v>41579</v>
      </c>
      <c r="BZ278" s="357">
        <f t="shared" si="123"/>
        <v>5.0000000000000001E-3</v>
      </c>
      <c r="CA278" s="162">
        <f t="shared" si="131"/>
        <v>0.66518200000000094</v>
      </c>
      <c r="CB278" s="42"/>
      <c r="CF278" s="31" t="s">
        <v>197</v>
      </c>
      <c r="CG278" s="168">
        <v>41579</v>
      </c>
      <c r="CH278" s="37">
        <v>0</v>
      </c>
      <c r="CI278" s="314">
        <f t="shared" si="144"/>
        <v>0</v>
      </c>
      <c r="CJ278" s="312">
        <f t="shared" si="132"/>
        <v>1</v>
      </c>
      <c r="CN278" s="315">
        <f t="shared" si="133"/>
        <v>41579</v>
      </c>
      <c r="CO278" s="312">
        <f t="shared" si="134"/>
        <v>1</v>
      </c>
      <c r="CQ278" s="315">
        <f t="shared" si="135"/>
        <v>41579</v>
      </c>
      <c r="CR278" s="316">
        <f t="shared" si="136"/>
        <v>1.2313000000000005</v>
      </c>
      <c r="CW278"/>
    </row>
    <row r="279" spans="2:101" ht="15" customHeight="1">
      <c r="B279" s="163">
        <v>44835</v>
      </c>
      <c r="C279" s="165">
        <v>1212</v>
      </c>
      <c r="D279" s="274">
        <f t="shared" si="137"/>
        <v>44835</v>
      </c>
      <c r="E279" s="275">
        <f t="shared" si="138"/>
        <v>1212</v>
      </c>
      <c r="G279" s="163">
        <v>45200</v>
      </c>
      <c r="H279" s="163">
        <v>45231</v>
      </c>
      <c r="I279" s="164">
        <v>1.0560000000000001E-3</v>
      </c>
      <c r="J279" s="159">
        <f t="shared" si="139"/>
        <v>45231</v>
      </c>
      <c r="K279" s="278">
        <f t="shared" si="140"/>
        <v>1.0560000000000001E-3</v>
      </c>
      <c r="M279" s="163">
        <v>43344</v>
      </c>
      <c r="N279" s="163">
        <v>43374</v>
      </c>
      <c r="O279" s="164">
        <v>3.715E-3</v>
      </c>
      <c r="P279" s="159">
        <f t="shared" si="128"/>
        <v>43344</v>
      </c>
      <c r="Q279" s="292">
        <f t="shared" si="126"/>
        <v>3.715E-3</v>
      </c>
      <c r="S279" s="163">
        <v>43374</v>
      </c>
      <c r="T279" s="164">
        <v>5.4000000000000003E-3</v>
      </c>
      <c r="U279" s="159">
        <f t="shared" si="141"/>
        <v>43374</v>
      </c>
      <c r="V279" s="285">
        <f t="shared" si="142"/>
        <v>5.4000000000000003E-3</v>
      </c>
      <c r="BM279" s="31" t="s">
        <v>198</v>
      </c>
      <c r="BN279" s="159">
        <f t="shared" si="120"/>
        <v>41609</v>
      </c>
      <c r="BO279" s="162">
        <f t="shared" si="121"/>
        <v>2.0699999999999999E-4</v>
      </c>
      <c r="BP279" s="278">
        <f t="shared" si="143"/>
        <v>2.0699999999999999E-4</v>
      </c>
      <c r="BQ279" s="312">
        <f t="shared" si="129"/>
        <v>1.1363793299323102</v>
      </c>
      <c r="BS279" s="31" t="s">
        <v>43</v>
      </c>
      <c r="BT279" s="159">
        <f t="shared" si="145"/>
        <v>41609</v>
      </c>
      <c r="BU279" s="162">
        <f t="shared" si="146"/>
        <v>7.9000000000000008E-3</v>
      </c>
      <c r="BV279" s="311">
        <f t="shared" si="130"/>
        <v>1.2241000000000004</v>
      </c>
      <c r="BX279" s="358" t="s">
        <v>242</v>
      </c>
      <c r="BY279" s="294">
        <f t="shared" si="122"/>
        <v>41609</v>
      </c>
      <c r="BZ279" s="357">
        <f t="shared" si="123"/>
        <v>5.0000000000000001E-3</v>
      </c>
      <c r="CA279" s="162">
        <f t="shared" si="131"/>
        <v>0.66018200000000093</v>
      </c>
      <c r="CB279" s="42"/>
      <c r="CF279" s="31" t="s">
        <v>197</v>
      </c>
      <c r="CG279" s="168">
        <v>41609</v>
      </c>
      <c r="CH279" s="37">
        <v>0</v>
      </c>
      <c r="CI279" s="314">
        <f t="shared" si="144"/>
        <v>0</v>
      </c>
      <c r="CJ279" s="312">
        <f t="shared" si="132"/>
        <v>1</v>
      </c>
      <c r="CN279" s="315">
        <f t="shared" si="133"/>
        <v>41609</v>
      </c>
      <c r="CO279" s="312">
        <f t="shared" si="134"/>
        <v>1</v>
      </c>
      <c r="CQ279" s="315">
        <f t="shared" si="135"/>
        <v>41609</v>
      </c>
      <c r="CR279" s="316">
        <f t="shared" si="136"/>
        <v>1.2241000000000004</v>
      </c>
      <c r="CW279" s="650" t="s">
        <v>468</v>
      </c>
    </row>
    <row r="280" spans="2:101" ht="15" customHeight="1">
      <c r="B280" s="163">
        <v>44866</v>
      </c>
      <c r="C280" s="165">
        <v>1212</v>
      </c>
      <c r="D280" s="274">
        <f t="shared" si="137"/>
        <v>44866</v>
      </c>
      <c r="E280" s="275">
        <f t="shared" si="138"/>
        <v>1212</v>
      </c>
      <c r="G280" s="163">
        <v>45231</v>
      </c>
      <c r="H280" s="163">
        <v>45261</v>
      </c>
      <c r="I280" s="164">
        <v>7.7499999999999997E-4</v>
      </c>
      <c r="J280" s="159">
        <f t="shared" si="139"/>
        <v>45261</v>
      </c>
      <c r="K280" s="278">
        <f t="shared" si="140"/>
        <v>7.7499999999999997E-4</v>
      </c>
      <c r="M280" s="163">
        <v>43374</v>
      </c>
      <c r="N280" s="163">
        <v>43405</v>
      </c>
      <c r="O280" s="164">
        <v>3.715E-3</v>
      </c>
      <c r="P280" s="159">
        <f t="shared" si="128"/>
        <v>43374</v>
      </c>
      <c r="Q280" s="292">
        <f t="shared" si="126"/>
        <v>3.715E-3</v>
      </c>
      <c r="S280" s="163">
        <v>43405</v>
      </c>
      <c r="T280" s="164">
        <v>4.8999999999999998E-3</v>
      </c>
      <c r="U280" s="159">
        <f t="shared" si="141"/>
        <v>43405</v>
      </c>
      <c r="V280" s="285">
        <f t="shared" si="142"/>
        <v>4.8999999999999998E-3</v>
      </c>
      <c r="BM280" s="31" t="s">
        <v>198</v>
      </c>
      <c r="BN280" s="159">
        <f t="shared" si="120"/>
        <v>41640</v>
      </c>
      <c r="BO280" s="162">
        <f t="shared" si="121"/>
        <v>4.9399999999999997E-4</v>
      </c>
      <c r="BP280" s="278">
        <f t="shared" ref="BP280:BP294" si="147">+IF(BO280="","",BO280)</f>
        <v>4.9399999999999997E-4</v>
      </c>
      <c r="BQ280" s="312">
        <f t="shared" si="129"/>
        <v>1.1361441480936547</v>
      </c>
      <c r="BS280" s="31" t="s">
        <v>43</v>
      </c>
      <c r="BT280" s="159">
        <f t="shared" si="145"/>
        <v>41640</v>
      </c>
      <c r="BU280" s="162">
        <f t="shared" si="146"/>
        <v>8.5000000000000006E-3</v>
      </c>
      <c r="BV280" s="311">
        <f t="shared" si="130"/>
        <v>1.2162000000000004</v>
      </c>
      <c r="BX280" s="358" t="s">
        <v>242</v>
      </c>
      <c r="BY280" s="294">
        <f t="shared" si="122"/>
        <v>41640</v>
      </c>
      <c r="BZ280" s="357">
        <f t="shared" si="123"/>
        <v>5.0000000000000001E-3</v>
      </c>
      <c r="CA280" s="162">
        <f t="shared" si="131"/>
        <v>0.65518200000000093</v>
      </c>
      <c r="CB280" s="42"/>
      <c r="CF280" s="31" t="s">
        <v>197</v>
      </c>
      <c r="CG280" s="168">
        <v>41640</v>
      </c>
      <c r="CH280" s="37">
        <v>0</v>
      </c>
      <c r="CI280" s="314">
        <f t="shared" ref="CI280:CI294" si="148">+IF(CH280="","",CH280)</f>
        <v>0</v>
      </c>
      <c r="CJ280" s="312">
        <f t="shared" si="132"/>
        <v>1</v>
      </c>
      <c r="CN280" s="315">
        <f t="shared" si="133"/>
        <v>41640</v>
      </c>
      <c r="CO280" s="312">
        <f t="shared" si="134"/>
        <v>1</v>
      </c>
      <c r="CQ280" s="315">
        <f t="shared" si="135"/>
        <v>41640</v>
      </c>
      <c r="CR280" s="316">
        <f t="shared" si="136"/>
        <v>1.2162000000000004</v>
      </c>
      <c r="CW280" s="654" t="s">
        <v>469</v>
      </c>
    </row>
    <row r="281" spans="2:101" ht="15" customHeight="1">
      <c r="B281" s="163">
        <v>44896</v>
      </c>
      <c r="C281" s="165">
        <v>1212</v>
      </c>
      <c r="D281" s="274">
        <f t="shared" si="137"/>
        <v>44896</v>
      </c>
      <c r="E281" s="275">
        <f t="shared" si="138"/>
        <v>1212</v>
      </c>
      <c r="G281" s="163">
        <v>45261</v>
      </c>
      <c r="H281" s="163">
        <v>45292</v>
      </c>
      <c r="I281" s="164">
        <v>6.8999999999999997E-4</v>
      </c>
      <c r="J281" s="159">
        <f t="shared" si="139"/>
        <v>45292</v>
      </c>
      <c r="K281" s="278">
        <f t="shared" si="140"/>
        <v>6.8999999999999997E-4</v>
      </c>
      <c r="M281" s="163">
        <v>43405</v>
      </c>
      <c r="N281" s="163">
        <v>43435</v>
      </c>
      <c r="O281" s="164">
        <v>3.715E-3</v>
      </c>
      <c r="P281" s="159">
        <f t="shared" si="128"/>
        <v>43405</v>
      </c>
      <c r="Q281" s="292">
        <f t="shared" si="126"/>
        <v>3.715E-3</v>
      </c>
      <c r="S281" s="163">
        <v>43435</v>
      </c>
      <c r="T281" s="164">
        <v>4.8999999999999998E-3</v>
      </c>
      <c r="U281" s="159">
        <f t="shared" si="141"/>
        <v>43435</v>
      </c>
      <c r="V281" s="285">
        <f t="shared" si="142"/>
        <v>4.8999999999999998E-3</v>
      </c>
      <c r="BM281" s="31" t="s">
        <v>198</v>
      </c>
      <c r="BN281" s="159">
        <f t="shared" si="120"/>
        <v>41671</v>
      </c>
      <c r="BO281" s="162">
        <f t="shared" si="121"/>
        <v>1.126E-3</v>
      </c>
      <c r="BP281" s="278">
        <f t="shared" si="147"/>
        <v>1.126E-3</v>
      </c>
      <c r="BQ281" s="312">
        <f t="shared" si="129"/>
        <v>1.1355831700076708</v>
      </c>
      <c r="BS281" s="31" t="s">
        <v>43</v>
      </c>
      <c r="BT281" s="159">
        <f t="shared" si="145"/>
        <v>41671</v>
      </c>
      <c r="BU281" s="162">
        <f t="shared" si="146"/>
        <v>7.9000000000000008E-3</v>
      </c>
      <c r="BV281" s="311">
        <f t="shared" si="130"/>
        <v>1.2077000000000004</v>
      </c>
      <c r="BX281" s="358" t="s">
        <v>242</v>
      </c>
      <c r="BY281" s="294">
        <f t="shared" si="122"/>
        <v>41671</v>
      </c>
      <c r="BZ281" s="357">
        <f t="shared" si="123"/>
        <v>5.0000000000000001E-3</v>
      </c>
      <c r="CA281" s="162">
        <f t="shared" si="131"/>
        <v>0.65018200000000093</v>
      </c>
      <c r="CB281" s="42"/>
      <c r="CF281" s="31" t="s">
        <v>197</v>
      </c>
      <c r="CG281" s="168">
        <v>41671</v>
      </c>
      <c r="CH281" s="37">
        <v>0</v>
      </c>
      <c r="CI281" s="314">
        <f t="shared" si="148"/>
        <v>0</v>
      </c>
      <c r="CJ281" s="312">
        <f t="shared" si="132"/>
        <v>1</v>
      </c>
      <c r="CN281" s="315">
        <f t="shared" si="133"/>
        <v>41671</v>
      </c>
      <c r="CO281" s="312">
        <f t="shared" si="134"/>
        <v>1</v>
      </c>
      <c r="CQ281" s="315">
        <f t="shared" si="135"/>
        <v>41671</v>
      </c>
      <c r="CR281" s="316">
        <f t="shared" si="136"/>
        <v>1.2077000000000004</v>
      </c>
      <c r="CW281"/>
    </row>
    <row r="282" spans="2:101" ht="15" customHeight="1">
      <c r="B282" s="163">
        <v>44927</v>
      </c>
      <c r="C282" s="165">
        <v>1302</v>
      </c>
      <c r="D282" s="274">
        <f t="shared" si="137"/>
        <v>44927</v>
      </c>
      <c r="E282" s="275">
        <f t="shared" si="138"/>
        <v>1302</v>
      </c>
      <c r="G282" s="163">
        <v>45292</v>
      </c>
      <c r="H282" s="163">
        <v>45323</v>
      </c>
      <c r="I282" s="164">
        <v>8.7500000000000002E-4</v>
      </c>
      <c r="J282" s="159">
        <f t="shared" si="139"/>
        <v>45323</v>
      </c>
      <c r="K282" s="278">
        <f t="shared" si="140"/>
        <v>8.7500000000000002E-4</v>
      </c>
      <c r="M282" s="163">
        <v>43435</v>
      </c>
      <c r="N282" s="163">
        <v>43466</v>
      </c>
      <c r="O282" s="164">
        <v>3.715E-3</v>
      </c>
      <c r="P282" s="159">
        <f t="shared" si="128"/>
        <v>43435</v>
      </c>
      <c r="Q282" s="292">
        <f t="shared" si="126"/>
        <v>3.715E-3</v>
      </c>
      <c r="S282" s="163">
        <v>43466</v>
      </c>
      <c r="T282" s="164">
        <v>5.4000000000000003E-3</v>
      </c>
      <c r="U282" s="159">
        <f t="shared" si="141"/>
        <v>43466</v>
      </c>
      <c r="V282" s="285">
        <f t="shared" si="142"/>
        <v>5.4000000000000003E-3</v>
      </c>
      <c r="BM282" s="31" t="s">
        <v>198</v>
      </c>
      <c r="BN282" s="159">
        <f t="shared" si="120"/>
        <v>41699</v>
      </c>
      <c r="BO282" s="162">
        <f t="shared" si="121"/>
        <v>5.3700000000000004E-4</v>
      </c>
      <c r="BP282" s="278">
        <f t="shared" si="147"/>
        <v>5.3700000000000004E-4</v>
      </c>
      <c r="BQ282" s="312">
        <f t="shared" si="129"/>
        <v>1.1343059415175221</v>
      </c>
      <c r="BS282" s="31" t="s">
        <v>43</v>
      </c>
      <c r="BT282" s="159">
        <f t="shared" si="145"/>
        <v>41699</v>
      </c>
      <c r="BU282" s="162">
        <f t="shared" si="146"/>
        <v>7.7000000000000002E-3</v>
      </c>
      <c r="BV282" s="311">
        <f t="shared" si="130"/>
        <v>1.1998000000000004</v>
      </c>
      <c r="BX282" s="358" t="s">
        <v>242</v>
      </c>
      <c r="BY282" s="294">
        <f t="shared" si="122"/>
        <v>41699</v>
      </c>
      <c r="BZ282" s="357">
        <f t="shared" si="123"/>
        <v>5.0000000000000001E-3</v>
      </c>
      <c r="CA282" s="162">
        <f t="shared" si="131"/>
        <v>0.64518200000000092</v>
      </c>
      <c r="CB282" s="42"/>
      <c r="CF282" s="31" t="s">
        <v>197</v>
      </c>
      <c r="CG282" s="168">
        <v>41699</v>
      </c>
      <c r="CH282" s="37">
        <v>0</v>
      </c>
      <c r="CI282" s="314">
        <f t="shared" si="148"/>
        <v>0</v>
      </c>
      <c r="CJ282" s="312">
        <f t="shared" si="132"/>
        <v>1</v>
      </c>
      <c r="CN282" s="315">
        <f t="shared" si="133"/>
        <v>41699</v>
      </c>
      <c r="CO282" s="312">
        <f t="shared" si="134"/>
        <v>1</v>
      </c>
      <c r="CQ282" s="315">
        <f t="shared" si="135"/>
        <v>41699</v>
      </c>
      <c r="CR282" s="316">
        <f t="shared" si="136"/>
        <v>1.1998000000000004</v>
      </c>
      <c r="CW282" s="650" t="s">
        <v>470</v>
      </c>
    </row>
    <row r="283" spans="2:101" ht="15" customHeight="1">
      <c r="B283" s="163">
        <v>44958</v>
      </c>
      <c r="C283" s="165">
        <v>1302</v>
      </c>
      <c r="D283" s="274">
        <f t="shared" si="137"/>
        <v>44958</v>
      </c>
      <c r="E283" s="275">
        <f t="shared" si="138"/>
        <v>1302</v>
      </c>
      <c r="G283" s="163">
        <v>45323</v>
      </c>
      <c r="H283" s="163">
        <v>45352</v>
      </c>
      <c r="I283" s="164">
        <v>7.8999999999999996E-5</v>
      </c>
      <c r="J283" s="159">
        <f t="shared" si="139"/>
        <v>45352</v>
      </c>
      <c r="K283" s="278">
        <f t="shared" si="140"/>
        <v>7.8999999999999996E-5</v>
      </c>
      <c r="M283" s="163">
        <v>43466</v>
      </c>
      <c r="N283" s="163">
        <v>43497</v>
      </c>
      <c r="O283" s="164">
        <v>3.715E-3</v>
      </c>
      <c r="P283" s="159">
        <f t="shared" si="128"/>
        <v>43466</v>
      </c>
      <c r="Q283" s="292">
        <f t="shared" si="126"/>
        <v>3.715E-3</v>
      </c>
      <c r="S283" s="163">
        <v>43497</v>
      </c>
      <c r="T283" s="164">
        <v>4.8999999999999998E-3</v>
      </c>
      <c r="U283" s="159">
        <f t="shared" si="141"/>
        <v>43497</v>
      </c>
      <c r="V283" s="285">
        <f t="shared" si="142"/>
        <v>4.8999999999999998E-3</v>
      </c>
      <c r="BM283" s="31" t="s">
        <v>198</v>
      </c>
      <c r="BN283" s="159">
        <f t="shared" si="120"/>
        <v>41730</v>
      </c>
      <c r="BO283" s="162">
        <f t="shared" si="121"/>
        <v>2.6600000000000001E-4</v>
      </c>
      <c r="BP283" s="278">
        <f t="shared" si="147"/>
        <v>2.6600000000000001E-4</v>
      </c>
      <c r="BQ283" s="312">
        <f t="shared" si="129"/>
        <v>1.1336971461500396</v>
      </c>
      <c r="BS283" s="31" t="s">
        <v>43</v>
      </c>
      <c r="BT283" s="159">
        <f t="shared" si="145"/>
        <v>41730</v>
      </c>
      <c r="BU283" s="162">
        <f t="shared" si="146"/>
        <v>8.2000000000000007E-3</v>
      </c>
      <c r="BV283" s="311">
        <f t="shared" si="130"/>
        <v>1.1921000000000004</v>
      </c>
      <c r="BX283" s="358" t="s">
        <v>242</v>
      </c>
      <c r="BY283" s="294">
        <f t="shared" si="122"/>
        <v>41730</v>
      </c>
      <c r="BZ283" s="357">
        <f t="shared" si="123"/>
        <v>5.0000000000000001E-3</v>
      </c>
      <c r="CA283" s="162">
        <f t="shared" si="131"/>
        <v>0.64018200000000092</v>
      </c>
      <c r="CB283" s="42"/>
      <c r="CF283" s="31" t="s">
        <v>197</v>
      </c>
      <c r="CG283" s="168">
        <v>41730</v>
      </c>
      <c r="CH283" s="37">
        <v>0</v>
      </c>
      <c r="CI283" s="314">
        <f t="shared" si="148"/>
        <v>0</v>
      </c>
      <c r="CJ283" s="312">
        <f t="shared" si="132"/>
        <v>1</v>
      </c>
      <c r="CN283" s="315">
        <f t="shared" si="133"/>
        <v>41730</v>
      </c>
      <c r="CO283" s="312">
        <f t="shared" si="134"/>
        <v>1</v>
      </c>
      <c r="CQ283" s="315">
        <f t="shared" si="135"/>
        <v>41730</v>
      </c>
      <c r="CR283" s="316">
        <f t="shared" si="136"/>
        <v>1.1921000000000004</v>
      </c>
      <c r="CW283" s="661" t="s">
        <v>471</v>
      </c>
    </row>
    <row r="284" spans="2:101" ht="15" customHeight="1">
      <c r="B284" s="163">
        <v>44986</v>
      </c>
      <c r="C284" s="165">
        <v>1302</v>
      </c>
      <c r="D284" s="274">
        <f t="shared" si="137"/>
        <v>44986</v>
      </c>
      <c r="E284" s="275">
        <f t="shared" si="138"/>
        <v>1302</v>
      </c>
      <c r="G284" s="163">
        <v>45352</v>
      </c>
      <c r="H284" s="163">
        <v>45383</v>
      </c>
      <c r="I284" s="164">
        <v>3.3100000000000002E-4</v>
      </c>
      <c r="J284" s="159">
        <f t="shared" si="139"/>
        <v>45383</v>
      </c>
      <c r="K284" s="278">
        <f t="shared" si="140"/>
        <v>3.3100000000000002E-4</v>
      </c>
      <c r="M284" s="163">
        <v>43497</v>
      </c>
      <c r="N284" s="163">
        <v>43525</v>
      </c>
      <c r="O284" s="164">
        <v>3.715E-3</v>
      </c>
      <c r="P284" s="159">
        <f t="shared" si="128"/>
        <v>43497</v>
      </c>
      <c r="Q284" s="292">
        <f t="shared" si="126"/>
        <v>3.715E-3</v>
      </c>
      <c r="S284" s="163">
        <v>43525</v>
      </c>
      <c r="T284" s="164">
        <v>4.7000000000000002E-3</v>
      </c>
      <c r="U284" s="159">
        <f t="shared" si="141"/>
        <v>43525</v>
      </c>
      <c r="V284" s="285">
        <f t="shared" si="142"/>
        <v>4.7000000000000002E-3</v>
      </c>
      <c r="BM284" s="31" t="s">
        <v>198</v>
      </c>
      <c r="BN284" s="159">
        <f t="shared" si="120"/>
        <v>41760</v>
      </c>
      <c r="BO284" s="162">
        <f t="shared" si="121"/>
        <v>4.5899999999999999E-4</v>
      </c>
      <c r="BP284" s="278">
        <f t="shared" si="147"/>
        <v>4.5899999999999999E-4</v>
      </c>
      <c r="BQ284" s="312">
        <f t="shared" si="129"/>
        <v>1.1333956629037072</v>
      </c>
      <c r="BS284" s="31" t="s">
        <v>43</v>
      </c>
      <c r="BT284" s="159">
        <f t="shared" si="145"/>
        <v>41760</v>
      </c>
      <c r="BU284" s="162">
        <f t="shared" si="146"/>
        <v>8.6999999999999994E-3</v>
      </c>
      <c r="BV284" s="311">
        <f t="shared" si="130"/>
        <v>1.1839000000000004</v>
      </c>
      <c r="BX284" s="358" t="s">
        <v>242</v>
      </c>
      <c r="BY284" s="294">
        <f t="shared" si="122"/>
        <v>41760</v>
      </c>
      <c r="BZ284" s="357">
        <f t="shared" si="123"/>
        <v>5.0000000000000001E-3</v>
      </c>
      <c r="CA284" s="162">
        <f t="shared" si="131"/>
        <v>0.63518200000000091</v>
      </c>
      <c r="CB284" s="42"/>
      <c r="CF284" s="31" t="s">
        <v>197</v>
      </c>
      <c r="CG284" s="168">
        <v>41760</v>
      </c>
      <c r="CH284" s="37">
        <v>0</v>
      </c>
      <c r="CI284" s="314">
        <f t="shared" si="148"/>
        <v>0</v>
      </c>
      <c r="CJ284" s="312">
        <f t="shared" si="132"/>
        <v>1</v>
      </c>
      <c r="CN284" s="315">
        <f t="shared" si="133"/>
        <v>41760</v>
      </c>
      <c r="CO284" s="312">
        <f t="shared" si="134"/>
        <v>1</v>
      </c>
      <c r="CQ284" s="315">
        <f t="shared" si="135"/>
        <v>41760</v>
      </c>
      <c r="CR284" s="316">
        <f t="shared" si="136"/>
        <v>1.1839000000000004</v>
      </c>
      <c r="CW284" s="655" t="s">
        <v>472</v>
      </c>
    </row>
    <row r="285" spans="2:101" ht="15" customHeight="1">
      <c r="B285" s="163">
        <v>45017</v>
      </c>
      <c r="C285" s="165">
        <v>1302</v>
      </c>
      <c r="D285" s="274">
        <f t="shared" si="137"/>
        <v>45017</v>
      </c>
      <c r="E285" s="275">
        <f t="shared" si="138"/>
        <v>1302</v>
      </c>
      <c r="G285" s="163">
        <v>45383</v>
      </c>
      <c r="H285" s="163">
        <v>45413</v>
      </c>
      <c r="I285" s="164">
        <v>1.023E-3</v>
      </c>
      <c r="J285" s="159">
        <f t="shared" si="139"/>
        <v>45413</v>
      </c>
      <c r="K285" s="278">
        <f t="shared" si="140"/>
        <v>1.023E-3</v>
      </c>
      <c r="M285" s="163">
        <v>43525</v>
      </c>
      <c r="N285" s="163">
        <v>43556</v>
      </c>
      <c r="O285" s="164">
        <v>3.715E-3</v>
      </c>
      <c r="P285" s="159">
        <f t="shared" si="128"/>
        <v>43525</v>
      </c>
      <c r="Q285" s="292">
        <f t="shared" si="126"/>
        <v>3.715E-3</v>
      </c>
      <c r="S285" s="163">
        <v>43556</v>
      </c>
      <c r="T285" s="164">
        <v>5.1999999999999998E-3</v>
      </c>
      <c r="U285" s="159">
        <f t="shared" si="141"/>
        <v>43556</v>
      </c>
      <c r="V285" s="285">
        <f t="shared" si="142"/>
        <v>5.1999999999999998E-3</v>
      </c>
      <c r="BM285" s="31" t="s">
        <v>198</v>
      </c>
      <c r="BN285" s="159">
        <f t="shared" si="120"/>
        <v>41791</v>
      </c>
      <c r="BO285" s="162">
        <f t="shared" si="121"/>
        <v>6.0400000000000004E-4</v>
      </c>
      <c r="BP285" s="278">
        <f t="shared" si="147"/>
        <v>6.0400000000000004E-4</v>
      </c>
      <c r="BQ285" s="312">
        <f t="shared" si="129"/>
        <v>1.132875672969814</v>
      </c>
      <c r="BS285" s="31" t="s">
        <v>43</v>
      </c>
      <c r="BT285" s="159">
        <f t="shared" si="145"/>
        <v>41791</v>
      </c>
      <c r="BU285" s="162">
        <f t="shared" si="146"/>
        <v>8.2000000000000007E-3</v>
      </c>
      <c r="BV285" s="311">
        <f t="shared" si="130"/>
        <v>1.1752000000000005</v>
      </c>
      <c r="BX285" s="358" t="s">
        <v>242</v>
      </c>
      <c r="BY285" s="294">
        <f t="shared" si="122"/>
        <v>41791</v>
      </c>
      <c r="BZ285" s="357">
        <f t="shared" si="123"/>
        <v>5.0000000000000001E-3</v>
      </c>
      <c r="CA285" s="162">
        <f t="shared" si="131"/>
        <v>0.63018200000000091</v>
      </c>
      <c r="CB285" s="42"/>
      <c r="CF285" s="31" t="s">
        <v>197</v>
      </c>
      <c r="CG285" s="168">
        <v>41791</v>
      </c>
      <c r="CH285" s="37">
        <v>0</v>
      </c>
      <c r="CI285" s="314">
        <f t="shared" si="148"/>
        <v>0</v>
      </c>
      <c r="CJ285" s="312">
        <f t="shared" si="132"/>
        <v>1</v>
      </c>
      <c r="CN285" s="315">
        <f t="shared" si="133"/>
        <v>41791</v>
      </c>
      <c r="CO285" s="312">
        <f t="shared" si="134"/>
        <v>1</v>
      </c>
      <c r="CQ285" s="315">
        <f t="shared" si="135"/>
        <v>41791</v>
      </c>
      <c r="CR285" s="316">
        <f t="shared" si="136"/>
        <v>1.1752000000000005</v>
      </c>
      <c r="CW285"/>
    </row>
    <row r="286" spans="2:101" ht="15" customHeight="1">
      <c r="B286" s="163">
        <v>45047</v>
      </c>
      <c r="C286" s="165">
        <v>1302</v>
      </c>
      <c r="D286" s="274">
        <f t="shared" si="137"/>
        <v>45047</v>
      </c>
      <c r="E286" s="275">
        <f t="shared" si="138"/>
        <v>1302</v>
      </c>
      <c r="G286" s="163">
        <v>45413</v>
      </c>
      <c r="H286" s="163">
        <v>45444</v>
      </c>
      <c r="I286" s="164">
        <v>8.7000000000000001E-4</v>
      </c>
      <c r="J286" s="159">
        <f t="shared" si="139"/>
        <v>45444</v>
      </c>
      <c r="K286" s="278">
        <f t="shared" si="140"/>
        <v>8.7000000000000001E-4</v>
      </c>
      <c r="M286" s="163">
        <v>43556</v>
      </c>
      <c r="N286" s="163">
        <v>43586</v>
      </c>
      <c r="O286" s="164">
        <v>3.715E-3</v>
      </c>
      <c r="P286" s="159">
        <f t="shared" si="128"/>
        <v>43556</v>
      </c>
      <c r="Q286" s="292">
        <f t="shared" si="126"/>
        <v>3.715E-3</v>
      </c>
      <c r="S286" s="163">
        <v>43586</v>
      </c>
      <c r="T286" s="164">
        <v>5.4000000000000003E-3</v>
      </c>
      <c r="U286" s="159">
        <f t="shared" si="141"/>
        <v>43586</v>
      </c>
      <c r="V286" s="285">
        <f t="shared" si="142"/>
        <v>5.4000000000000003E-3</v>
      </c>
      <c r="BM286" s="31" t="s">
        <v>198</v>
      </c>
      <c r="BN286" s="159">
        <f t="shared" si="120"/>
        <v>41821</v>
      </c>
      <c r="BO286" s="162">
        <f t="shared" si="121"/>
        <v>4.6500000000000003E-4</v>
      </c>
      <c r="BP286" s="278">
        <f t="shared" si="147"/>
        <v>4.6500000000000003E-4</v>
      </c>
      <c r="BQ286" s="312">
        <f t="shared" si="129"/>
        <v>1.1321918291050344</v>
      </c>
      <c r="BS286" s="31" t="s">
        <v>43</v>
      </c>
      <c r="BT286" s="159">
        <f t="shared" si="145"/>
        <v>41821</v>
      </c>
      <c r="BU286" s="162">
        <f t="shared" si="146"/>
        <v>9.4999999999999998E-3</v>
      </c>
      <c r="BV286" s="311">
        <f t="shared" si="130"/>
        <v>1.1670000000000005</v>
      </c>
      <c r="BX286" s="358" t="s">
        <v>242</v>
      </c>
      <c r="BY286" s="294">
        <f t="shared" si="122"/>
        <v>41821</v>
      </c>
      <c r="BZ286" s="357">
        <f t="shared" si="123"/>
        <v>5.0000000000000001E-3</v>
      </c>
      <c r="CA286" s="162">
        <f t="shared" si="131"/>
        <v>0.6251820000000009</v>
      </c>
      <c r="CB286" s="42"/>
      <c r="CF286" s="31" t="s">
        <v>197</v>
      </c>
      <c r="CG286" s="168">
        <v>41821</v>
      </c>
      <c r="CH286" s="37">
        <v>0</v>
      </c>
      <c r="CI286" s="314">
        <f t="shared" si="148"/>
        <v>0</v>
      </c>
      <c r="CJ286" s="312">
        <f t="shared" si="132"/>
        <v>1</v>
      </c>
      <c r="CN286" s="315">
        <f t="shared" si="133"/>
        <v>41821</v>
      </c>
      <c r="CO286" s="312">
        <f t="shared" si="134"/>
        <v>1</v>
      </c>
      <c r="CQ286" s="315">
        <f t="shared" si="135"/>
        <v>41821</v>
      </c>
      <c r="CR286" s="316">
        <f t="shared" si="136"/>
        <v>1.1670000000000005</v>
      </c>
      <c r="CW286" s="650" t="s">
        <v>473</v>
      </c>
    </row>
    <row r="287" spans="2:101" ht="15" customHeight="1">
      <c r="B287" s="163">
        <v>45078</v>
      </c>
      <c r="C287" s="165">
        <v>1302</v>
      </c>
      <c r="D287" s="274">
        <f t="shared" si="137"/>
        <v>45078</v>
      </c>
      <c r="E287" s="275">
        <f t="shared" si="138"/>
        <v>1302</v>
      </c>
      <c r="G287" s="163">
        <v>45444</v>
      </c>
      <c r="H287" s="163">
        <v>45474</v>
      </c>
      <c r="I287" s="164">
        <v>3.6499999999999998E-4</v>
      </c>
      <c r="J287" s="159">
        <f t="shared" si="139"/>
        <v>45474</v>
      </c>
      <c r="K287" s="278">
        <f t="shared" si="140"/>
        <v>3.6499999999999998E-4</v>
      </c>
      <c r="M287" s="163">
        <v>43586</v>
      </c>
      <c r="N287" s="163">
        <v>43617</v>
      </c>
      <c r="O287" s="164">
        <v>3.715E-3</v>
      </c>
      <c r="P287" s="159">
        <f t="shared" si="128"/>
        <v>43586</v>
      </c>
      <c r="Q287" s="292">
        <f t="shared" si="126"/>
        <v>3.715E-3</v>
      </c>
      <c r="S287" s="163">
        <v>43617</v>
      </c>
      <c r="T287" s="164">
        <v>4.7000000000000002E-3</v>
      </c>
      <c r="U287" s="159">
        <f t="shared" si="141"/>
        <v>43617</v>
      </c>
      <c r="V287" s="285">
        <f t="shared" si="142"/>
        <v>4.7000000000000002E-3</v>
      </c>
      <c r="BM287" s="31" t="s">
        <v>198</v>
      </c>
      <c r="BN287" s="159">
        <f t="shared" si="120"/>
        <v>41852</v>
      </c>
      <c r="BO287" s="162">
        <f t="shared" si="121"/>
        <v>1.054E-3</v>
      </c>
      <c r="BP287" s="278">
        <f t="shared" si="147"/>
        <v>1.054E-3</v>
      </c>
      <c r="BQ287" s="312">
        <f t="shared" si="129"/>
        <v>1.131665604598896</v>
      </c>
      <c r="BS287" s="31" t="s">
        <v>43</v>
      </c>
      <c r="BT287" s="159">
        <f t="shared" si="145"/>
        <v>41852</v>
      </c>
      <c r="BU287" s="162">
        <f t="shared" si="146"/>
        <v>8.6999999999999994E-3</v>
      </c>
      <c r="BV287" s="311">
        <f t="shared" si="130"/>
        <v>1.1575000000000004</v>
      </c>
      <c r="BX287" s="358" t="s">
        <v>242</v>
      </c>
      <c r="BY287" s="294">
        <f t="shared" si="122"/>
        <v>41852</v>
      </c>
      <c r="BZ287" s="357">
        <f t="shared" si="123"/>
        <v>5.0000000000000001E-3</v>
      </c>
      <c r="CA287" s="162">
        <f t="shared" si="131"/>
        <v>0.6201820000000009</v>
      </c>
      <c r="CB287" s="42"/>
      <c r="CF287" s="31" t="s">
        <v>197</v>
      </c>
      <c r="CG287" s="168">
        <v>41852</v>
      </c>
      <c r="CH287" s="37">
        <v>0</v>
      </c>
      <c r="CI287" s="314">
        <f t="shared" si="148"/>
        <v>0</v>
      </c>
      <c r="CJ287" s="312">
        <f t="shared" si="132"/>
        <v>1</v>
      </c>
      <c r="CN287" s="315">
        <f t="shared" si="133"/>
        <v>41852</v>
      </c>
      <c r="CO287" s="312">
        <f t="shared" si="134"/>
        <v>1</v>
      </c>
      <c r="CQ287" s="315">
        <f t="shared" si="135"/>
        <v>41852</v>
      </c>
      <c r="CR287" s="316">
        <f t="shared" si="136"/>
        <v>1.1575000000000004</v>
      </c>
      <c r="CW287" s="661" t="s">
        <v>474</v>
      </c>
    </row>
    <row r="288" spans="2:101" ht="15" customHeight="1">
      <c r="B288" s="163">
        <v>45108</v>
      </c>
      <c r="C288" s="165">
        <v>1302</v>
      </c>
      <c r="D288" s="274">
        <f t="shared" si="137"/>
        <v>45108</v>
      </c>
      <c r="E288" s="275">
        <f t="shared" si="138"/>
        <v>1302</v>
      </c>
      <c r="G288" s="163">
        <v>45474</v>
      </c>
      <c r="H288" s="163">
        <v>45505</v>
      </c>
      <c r="I288" s="164">
        <v>7.3899999999999997E-4</v>
      </c>
      <c r="J288" s="159">
        <f t="shared" si="139"/>
        <v>45505</v>
      </c>
      <c r="K288" s="278">
        <f t="shared" si="140"/>
        <v>7.3899999999999997E-4</v>
      </c>
      <c r="M288" s="163">
        <v>43617</v>
      </c>
      <c r="N288" s="163">
        <v>43647</v>
      </c>
      <c r="O288" s="164">
        <v>3.715E-3</v>
      </c>
      <c r="P288" s="159">
        <f t="shared" si="128"/>
        <v>43617</v>
      </c>
      <c r="Q288" s="292">
        <f t="shared" si="126"/>
        <v>3.715E-3</v>
      </c>
      <c r="S288" s="163">
        <v>43647</v>
      </c>
      <c r="T288" s="164">
        <v>5.7000000000000002E-3</v>
      </c>
      <c r="U288" s="159">
        <f t="shared" si="141"/>
        <v>43647</v>
      </c>
      <c r="V288" s="285">
        <f t="shared" si="142"/>
        <v>5.7000000000000002E-3</v>
      </c>
      <c r="BM288" s="31" t="s">
        <v>198</v>
      </c>
      <c r="BN288" s="159">
        <f t="shared" si="120"/>
        <v>41883</v>
      </c>
      <c r="BO288" s="162">
        <f t="shared" si="121"/>
        <v>6.02E-4</v>
      </c>
      <c r="BP288" s="278">
        <f t="shared" si="147"/>
        <v>6.02E-4</v>
      </c>
      <c r="BQ288" s="312">
        <f t="shared" si="129"/>
        <v>1.1304740849133972</v>
      </c>
      <c r="BS288" s="31" t="s">
        <v>43</v>
      </c>
      <c r="BT288" s="159">
        <f t="shared" si="145"/>
        <v>41883</v>
      </c>
      <c r="BU288" s="162">
        <f t="shared" si="146"/>
        <v>9.1000000000000004E-3</v>
      </c>
      <c r="BV288" s="311">
        <f t="shared" si="130"/>
        <v>1.1488000000000005</v>
      </c>
      <c r="BX288" s="358" t="s">
        <v>242</v>
      </c>
      <c r="BY288" s="294">
        <f t="shared" si="122"/>
        <v>41883</v>
      </c>
      <c r="BZ288" s="357">
        <f t="shared" si="123"/>
        <v>5.0000000000000001E-3</v>
      </c>
      <c r="CA288" s="162">
        <f t="shared" si="131"/>
        <v>0.61518200000000089</v>
      </c>
      <c r="CB288" s="42"/>
      <c r="CF288" s="31" t="s">
        <v>197</v>
      </c>
      <c r="CG288" s="168">
        <v>41883</v>
      </c>
      <c r="CH288" s="37">
        <v>0</v>
      </c>
      <c r="CI288" s="314">
        <f t="shared" si="148"/>
        <v>0</v>
      </c>
      <c r="CJ288" s="312">
        <f t="shared" si="132"/>
        <v>1</v>
      </c>
      <c r="CN288" s="315">
        <f t="shared" si="133"/>
        <v>41883</v>
      </c>
      <c r="CO288" s="312">
        <f t="shared" si="134"/>
        <v>1</v>
      </c>
      <c r="CQ288" s="315">
        <f t="shared" si="135"/>
        <v>41883</v>
      </c>
      <c r="CR288" s="316">
        <f t="shared" si="136"/>
        <v>1.1488000000000005</v>
      </c>
      <c r="CW288" s="655" t="s">
        <v>475</v>
      </c>
    </row>
    <row r="289" spans="2:101" ht="15" customHeight="1">
      <c r="B289" s="163">
        <v>45139</v>
      </c>
      <c r="C289" s="165">
        <v>1302</v>
      </c>
      <c r="D289" s="274">
        <f t="shared" si="137"/>
        <v>45139</v>
      </c>
      <c r="E289" s="275">
        <f t="shared" si="138"/>
        <v>1302</v>
      </c>
      <c r="G289" s="163">
        <v>45505</v>
      </c>
      <c r="H289" s="163">
        <v>45536</v>
      </c>
      <c r="I289" s="164">
        <v>7.0699999999999995E-4</v>
      </c>
      <c r="J289" s="159">
        <f t="shared" si="139"/>
        <v>45536</v>
      </c>
      <c r="K289" s="278">
        <f t="shared" si="140"/>
        <v>7.0699999999999995E-4</v>
      </c>
      <c r="M289" s="163">
        <v>43647</v>
      </c>
      <c r="N289" s="163">
        <v>43678</v>
      </c>
      <c r="O289" s="164">
        <v>3.715E-3</v>
      </c>
      <c r="P289" s="159">
        <f t="shared" si="128"/>
        <v>43647</v>
      </c>
      <c r="Q289" s="292">
        <f t="shared" si="126"/>
        <v>3.715E-3</v>
      </c>
      <c r="S289" s="163">
        <v>43678</v>
      </c>
      <c r="T289" s="164">
        <v>5.0000000000000001E-3</v>
      </c>
      <c r="U289" s="159">
        <f t="shared" si="141"/>
        <v>43678</v>
      </c>
      <c r="V289" s="285">
        <f t="shared" si="142"/>
        <v>5.0000000000000001E-3</v>
      </c>
      <c r="BM289" s="31" t="s">
        <v>198</v>
      </c>
      <c r="BN289" s="159">
        <f t="shared" si="120"/>
        <v>41913</v>
      </c>
      <c r="BO289" s="162">
        <f t="shared" si="121"/>
        <v>8.7299999999999997E-4</v>
      </c>
      <c r="BP289" s="278">
        <f t="shared" si="147"/>
        <v>8.7299999999999997E-4</v>
      </c>
      <c r="BQ289" s="312">
        <f t="shared" si="129"/>
        <v>1.1297939489561255</v>
      </c>
      <c r="BS289" s="31" t="s">
        <v>43</v>
      </c>
      <c r="BT289" s="159">
        <f t="shared" si="145"/>
        <v>41913</v>
      </c>
      <c r="BU289" s="162">
        <f t="shared" si="146"/>
        <v>9.4999999999999998E-3</v>
      </c>
      <c r="BV289" s="311">
        <f t="shared" si="130"/>
        <v>1.1397000000000004</v>
      </c>
      <c r="BX289" s="358" t="s">
        <v>242</v>
      </c>
      <c r="BY289" s="294">
        <f t="shared" si="122"/>
        <v>41913</v>
      </c>
      <c r="BZ289" s="357">
        <f t="shared" si="123"/>
        <v>5.0000000000000001E-3</v>
      </c>
      <c r="CA289" s="162">
        <f t="shared" si="131"/>
        <v>0.61018200000000089</v>
      </c>
      <c r="CB289" s="42"/>
      <c r="CF289" s="31" t="s">
        <v>197</v>
      </c>
      <c r="CG289" s="168">
        <v>41913</v>
      </c>
      <c r="CH289" s="37">
        <v>0</v>
      </c>
      <c r="CI289" s="314">
        <f t="shared" si="148"/>
        <v>0</v>
      </c>
      <c r="CJ289" s="312">
        <f t="shared" si="132"/>
        <v>1</v>
      </c>
      <c r="CN289" s="315">
        <f t="shared" si="133"/>
        <v>41913</v>
      </c>
      <c r="CO289" s="312">
        <f t="shared" si="134"/>
        <v>1</v>
      </c>
      <c r="CQ289" s="315">
        <f t="shared" si="135"/>
        <v>41913</v>
      </c>
      <c r="CR289" s="316">
        <f t="shared" si="136"/>
        <v>1.1397000000000004</v>
      </c>
      <c r="CW289"/>
    </row>
    <row r="290" spans="2:101" ht="15" customHeight="1">
      <c r="B290" s="163">
        <v>45170</v>
      </c>
      <c r="C290" s="165">
        <v>1302</v>
      </c>
      <c r="D290" s="274">
        <f t="shared" si="137"/>
        <v>45170</v>
      </c>
      <c r="E290" s="275">
        <f t="shared" si="138"/>
        <v>1302</v>
      </c>
      <c r="G290" s="163">
        <v>45536</v>
      </c>
      <c r="H290" s="163">
        <v>45566</v>
      </c>
      <c r="I290" s="164">
        <v>6.7500000000000004E-4</v>
      </c>
      <c r="J290" s="159">
        <f t="shared" si="139"/>
        <v>45566</v>
      </c>
      <c r="K290" s="278">
        <f t="shared" si="140"/>
        <v>6.7500000000000004E-4</v>
      </c>
      <c r="M290" s="163">
        <v>43678</v>
      </c>
      <c r="N290" s="163">
        <v>43709</v>
      </c>
      <c r="O290" s="164">
        <v>3.434E-3</v>
      </c>
      <c r="P290" s="159">
        <f t="shared" si="128"/>
        <v>43678</v>
      </c>
      <c r="Q290" s="292">
        <f t="shared" si="126"/>
        <v>3.434E-3</v>
      </c>
      <c r="S290" s="163">
        <v>43709</v>
      </c>
      <c r="T290" s="164">
        <v>4.5999999999999999E-3</v>
      </c>
      <c r="U290" s="159">
        <f t="shared" si="141"/>
        <v>43709</v>
      </c>
      <c r="V290" s="285">
        <f t="shared" si="142"/>
        <v>4.5999999999999999E-3</v>
      </c>
      <c r="BM290" s="31" t="s">
        <v>198</v>
      </c>
      <c r="BN290" s="159">
        <f t="shared" ref="BN290:BN353" si="149">J171</f>
        <v>41944</v>
      </c>
      <c r="BO290" s="162">
        <f t="shared" ref="BO290:BO353" si="150">K171</f>
        <v>1.0380000000000001E-3</v>
      </c>
      <c r="BP290" s="278">
        <f t="shared" si="147"/>
        <v>1.0380000000000001E-3</v>
      </c>
      <c r="BQ290" s="312">
        <f t="shared" si="129"/>
        <v>1.1288084991363796</v>
      </c>
      <c r="BS290" s="31" t="s">
        <v>43</v>
      </c>
      <c r="BT290" s="159">
        <f t="shared" si="145"/>
        <v>41944</v>
      </c>
      <c r="BU290" s="162">
        <f t="shared" si="146"/>
        <v>8.3999999999999995E-3</v>
      </c>
      <c r="BV290" s="311">
        <f t="shared" si="130"/>
        <v>1.1302000000000003</v>
      </c>
      <c r="BX290" s="358" t="s">
        <v>242</v>
      </c>
      <c r="BY290" s="294">
        <f t="shared" si="122"/>
        <v>41944</v>
      </c>
      <c r="BZ290" s="357">
        <f t="shared" si="123"/>
        <v>5.0000000000000001E-3</v>
      </c>
      <c r="CA290" s="162">
        <f t="shared" si="131"/>
        <v>0.60518200000000089</v>
      </c>
      <c r="CB290" s="42"/>
      <c r="CF290" s="31" t="s">
        <v>197</v>
      </c>
      <c r="CG290" s="168">
        <v>41944</v>
      </c>
      <c r="CH290" s="37">
        <v>0</v>
      </c>
      <c r="CI290" s="314">
        <f t="shared" si="148"/>
        <v>0</v>
      </c>
      <c r="CJ290" s="312">
        <f t="shared" si="132"/>
        <v>1</v>
      </c>
      <c r="CN290" s="315">
        <f t="shared" si="133"/>
        <v>41944</v>
      </c>
      <c r="CO290" s="312">
        <f t="shared" si="134"/>
        <v>1</v>
      </c>
      <c r="CQ290" s="315">
        <f t="shared" si="135"/>
        <v>41944</v>
      </c>
      <c r="CR290" s="316">
        <f t="shared" si="136"/>
        <v>1.1302000000000003</v>
      </c>
      <c r="CW290" s="650" t="s">
        <v>476</v>
      </c>
    </row>
    <row r="291" spans="2:101" ht="15" customHeight="1">
      <c r="B291" s="163">
        <v>45200</v>
      </c>
      <c r="C291" s="165">
        <v>1302</v>
      </c>
      <c r="D291" s="274">
        <f t="shared" si="137"/>
        <v>45200</v>
      </c>
      <c r="E291" s="275">
        <f t="shared" si="138"/>
        <v>1302</v>
      </c>
      <c r="G291" s="163">
        <v>45566</v>
      </c>
      <c r="H291" s="163">
        <v>45597</v>
      </c>
      <c r="I291" s="164">
        <v>9.77E-4</v>
      </c>
      <c r="J291" s="159">
        <f t="shared" si="139"/>
        <v>45597</v>
      </c>
      <c r="K291" s="278">
        <f t="shared" si="140"/>
        <v>9.77E-4</v>
      </c>
      <c r="M291" s="163">
        <v>43709</v>
      </c>
      <c r="N291" s="163">
        <v>43739</v>
      </c>
      <c r="O291" s="164">
        <v>3.434E-3</v>
      </c>
      <c r="P291" s="159">
        <f t="shared" si="128"/>
        <v>43709</v>
      </c>
      <c r="Q291" s="292">
        <f t="shared" si="126"/>
        <v>3.434E-3</v>
      </c>
      <c r="S291" s="163">
        <v>43739</v>
      </c>
      <c r="T291" s="164">
        <v>4.7999999999999996E-3</v>
      </c>
      <c r="U291" s="159">
        <f t="shared" si="141"/>
        <v>43739</v>
      </c>
      <c r="V291" s="285">
        <f t="shared" si="142"/>
        <v>4.7999999999999996E-3</v>
      </c>
      <c r="BM291" s="31" t="s">
        <v>198</v>
      </c>
      <c r="BN291" s="159">
        <f t="shared" si="149"/>
        <v>41974</v>
      </c>
      <c r="BO291" s="162">
        <f t="shared" si="150"/>
        <v>4.8299999999999998E-4</v>
      </c>
      <c r="BP291" s="278">
        <f t="shared" si="147"/>
        <v>4.8299999999999998E-4</v>
      </c>
      <c r="BQ291" s="312">
        <f t="shared" si="129"/>
        <v>1.1276380108810848</v>
      </c>
      <c r="BS291" s="31" t="s">
        <v>43</v>
      </c>
      <c r="BT291" s="159">
        <f t="shared" si="145"/>
        <v>41974</v>
      </c>
      <c r="BU291" s="162">
        <f t="shared" si="146"/>
        <v>9.5999999999999992E-3</v>
      </c>
      <c r="BV291" s="311">
        <f t="shared" si="130"/>
        <v>1.1218000000000004</v>
      </c>
      <c r="BX291" s="358" t="s">
        <v>242</v>
      </c>
      <c r="BY291" s="294">
        <f t="shared" ref="BY291:BY354" si="151">P234</f>
        <v>41974</v>
      </c>
      <c r="BZ291" s="357">
        <f t="shared" ref="BZ291:BZ354" si="152">Q234</f>
        <v>5.0000000000000001E-3</v>
      </c>
      <c r="CA291" s="162">
        <f t="shared" si="131"/>
        <v>0.60018200000000088</v>
      </c>
      <c r="CB291" s="42"/>
      <c r="CF291" s="31" t="s">
        <v>197</v>
      </c>
      <c r="CG291" s="168">
        <v>41974</v>
      </c>
      <c r="CH291" s="37">
        <v>0</v>
      </c>
      <c r="CI291" s="314">
        <f t="shared" si="148"/>
        <v>0</v>
      </c>
      <c r="CJ291" s="312">
        <f t="shared" si="132"/>
        <v>1</v>
      </c>
      <c r="CN291" s="315">
        <f t="shared" si="133"/>
        <v>41974</v>
      </c>
      <c r="CO291" s="312">
        <f t="shared" si="134"/>
        <v>1</v>
      </c>
      <c r="CQ291" s="315">
        <f t="shared" si="135"/>
        <v>41974</v>
      </c>
      <c r="CR291" s="316">
        <f t="shared" si="136"/>
        <v>1.1218000000000004</v>
      </c>
      <c r="CW291" s="661" t="s">
        <v>477</v>
      </c>
    </row>
    <row r="292" spans="2:101" ht="15" customHeight="1">
      <c r="B292" s="163">
        <v>45231</v>
      </c>
      <c r="C292" s="165">
        <v>1302</v>
      </c>
      <c r="D292" s="274">
        <f t="shared" si="137"/>
        <v>45231</v>
      </c>
      <c r="E292" s="275">
        <f t="shared" si="138"/>
        <v>1302</v>
      </c>
      <c r="G292" s="163">
        <v>45597</v>
      </c>
      <c r="H292" s="163">
        <v>45627</v>
      </c>
      <c r="I292" s="164">
        <v>6.4899999999999995E-4</v>
      </c>
      <c r="J292" s="159">
        <f t="shared" si="139"/>
        <v>45627</v>
      </c>
      <c r="K292" s="278">
        <f t="shared" si="140"/>
        <v>6.4899999999999995E-4</v>
      </c>
      <c r="M292" s="163">
        <v>43739</v>
      </c>
      <c r="N292" s="163">
        <v>43770</v>
      </c>
      <c r="O292" s="164">
        <v>3.153E-3</v>
      </c>
      <c r="P292" s="159">
        <f t="shared" si="128"/>
        <v>43739</v>
      </c>
      <c r="Q292" s="292">
        <f t="shared" si="126"/>
        <v>3.153E-3</v>
      </c>
      <c r="S292" s="163">
        <v>43770</v>
      </c>
      <c r="T292" s="164">
        <v>3.8E-3</v>
      </c>
      <c r="U292" s="159">
        <f t="shared" si="141"/>
        <v>43770</v>
      </c>
      <c r="V292" s="285">
        <f t="shared" si="142"/>
        <v>3.8E-3</v>
      </c>
      <c r="BM292" s="31" t="s">
        <v>198</v>
      </c>
      <c r="BN292" s="159">
        <f t="shared" si="149"/>
        <v>42005</v>
      </c>
      <c r="BO292" s="162">
        <f t="shared" si="150"/>
        <v>1.0529999999999999E-3</v>
      </c>
      <c r="BP292" s="278">
        <f t="shared" si="147"/>
        <v>1.0529999999999999E-3</v>
      </c>
      <c r="BQ292" s="312">
        <f t="shared" si="129"/>
        <v>1.1270936246603738</v>
      </c>
      <c r="BS292" s="31" t="s">
        <v>43</v>
      </c>
      <c r="BT292" s="159">
        <f t="shared" si="145"/>
        <v>42005</v>
      </c>
      <c r="BU292" s="162">
        <f t="shared" si="146"/>
        <v>9.4000000000000004E-3</v>
      </c>
      <c r="BV292" s="311">
        <f t="shared" si="130"/>
        <v>1.1122000000000003</v>
      </c>
      <c r="BX292" s="358" t="s">
        <v>242</v>
      </c>
      <c r="BY292" s="294">
        <f t="shared" si="151"/>
        <v>42005</v>
      </c>
      <c r="BZ292" s="357">
        <f t="shared" si="152"/>
        <v>5.0000000000000001E-3</v>
      </c>
      <c r="CA292" s="162">
        <f t="shared" si="131"/>
        <v>0.59518200000000088</v>
      </c>
      <c r="CB292" s="42"/>
      <c r="CF292" s="31" t="s">
        <v>197</v>
      </c>
      <c r="CG292" s="168">
        <v>42005</v>
      </c>
      <c r="CH292" s="37">
        <v>0</v>
      </c>
      <c r="CI292" s="314">
        <f t="shared" si="148"/>
        <v>0</v>
      </c>
      <c r="CJ292" s="312">
        <f t="shared" si="132"/>
        <v>1</v>
      </c>
      <c r="CN292" s="315">
        <f t="shared" si="133"/>
        <v>42005</v>
      </c>
      <c r="CO292" s="312">
        <f t="shared" si="134"/>
        <v>1</v>
      </c>
      <c r="CQ292" s="315">
        <f t="shared" si="135"/>
        <v>42005</v>
      </c>
      <c r="CR292" s="316">
        <f t="shared" si="136"/>
        <v>1.1122000000000003</v>
      </c>
      <c r="CW292" s="655" t="s">
        <v>478</v>
      </c>
    </row>
    <row r="293" spans="2:101" ht="15" customHeight="1">
      <c r="B293" s="163">
        <v>45261</v>
      </c>
      <c r="C293" s="165">
        <v>1302</v>
      </c>
      <c r="D293" s="274">
        <f t="shared" si="137"/>
        <v>45261</v>
      </c>
      <c r="E293" s="275">
        <f t="shared" si="138"/>
        <v>1302</v>
      </c>
      <c r="G293" s="163">
        <v>45627</v>
      </c>
      <c r="H293" s="163">
        <v>45658</v>
      </c>
      <c r="I293" s="164">
        <v>8.2200000000000003E-4</v>
      </c>
      <c r="J293" s="159">
        <f t="shared" si="139"/>
        <v>45658</v>
      </c>
      <c r="K293" s="278">
        <f t="shared" si="140"/>
        <v>8.2200000000000003E-4</v>
      </c>
      <c r="M293" s="163">
        <v>43770</v>
      </c>
      <c r="N293" s="163">
        <v>43800</v>
      </c>
      <c r="O293" s="164">
        <v>2.8709999999999999E-3</v>
      </c>
      <c r="P293" s="159">
        <f t="shared" si="128"/>
        <v>43770</v>
      </c>
      <c r="Q293" s="292">
        <f t="shared" si="126"/>
        <v>2.8709999999999999E-3</v>
      </c>
      <c r="S293" s="163">
        <v>43800</v>
      </c>
      <c r="T293" s="164">
        <v>3.7000000000000002E-3</v>
      </c>
      <c r="U293" s="159">
        <f t="shared" si="141"/>
        <v>43800</v>
      </c>
      <c r="V293" s="285">
        <f t="shared" si="142"/>
        <v>3.7000000000000002E-3</v>
      </c>
      <c r="BM293" s="31" t="s">
        <v>198</v>
      </c>
      <c r="BN293" s="159">
        <f t="shared" si="149"/>
        <v>42036</v>
      </c>
      <c r="BO293" s="162">
        <f t="shared" si="150"/>
        <v>8.7799999999999998E-4</v>
      </c>
      <c r="BP293" s="278">
        <f t="shared" si="147"/>
        <v>8.7799999999999998E-4</v>
      </c>
      <c r="BQ293" s="312">
        <f t="shared" si="129"/>
        <v>1.1259080434905782</v>
      </c>
      <c r="BS293" s="31" t="s">
        <v>43</v>
      </c>
      <c r="BT293" s="159">
        <f t="shared" si="145"/>
        <v>42036</v>
      </c>
      <c r="BU293" s="162">
        <f t="shared" si="146"/>
        <v>8.2000000000000007E-3</v>
      </c>
      <c r="BV293" s="311">
        <f t="shared" si="130"/>
        <v>1.1028000000000002</v>
      </c>
      <c r="BX293" s="358" t="s">
        <v>242</v>
      </c>
      <c r="BY293" s="294">
        <f t="shared" si="151"/>
        <v>42036</v>
      </c>
      <c r="BZ293" s="357">
        <f t="shared" si="152"/>
        <v>5.0000000000000001E-3</v>
      </c>
      <c r="CA293" s="162">
        <f t="shared" si="131"/>
        <v>0.59018200000000087</v>
      </c>
      <c r="CB293" s="42"/>
      <c r="CF293" s="31" t="s">
        <v>197</v>
      </c>
      <c r="CG293" s="168">
        <v>42036</v>
      </c>
      <c r="CH293" s="37">
        <v>0</v>
      </c>
      <c r="CI293" s="314">
        <f t="shared" si="148"/>
        <v>0</v>
      </c>
      <c r="CJ293" s="312">
        <f t="shared" si="132"/>
        <v>1</v>
      </c>
      <c r="CN293" s="315">
        <f t="shared" si="133"/>
        <v>42036</v>
      </c>
      <c r="CO293" s="312">
        <f t="shared" si="134"/>
        <v>1</v>
      </c>
      <c r="CQ293" s="315">
        <f t="shared" si="135"/>
        <v>42036</v>
      </c>
      <c r="CR293" s="316">
        <f t="shared" si="136"/>
        <v>1.1028000000000002</v>
      </c>
      <c r="CW293"/>
    </row>
    <row r="294" spans="2:101" ht="15" customHeight="1">
      <c r="B294" s="163">
        <v>45292</v>
      </c>
      <c r="C294" s="165">
        <v>1412</v>
      </c>
      <c r="D294" s="274">
        <f t="shared" si="137"/>
        <v>45292</v>
      </c>
      <c r="E294" s="275">
        <f t="shared" si="138"/>
        <v>1412</v>
      </c>
      <c r="G294" s="163">
        <v>45658</v>
      </c>
      <c r="H294" s="163">
        <v>45689</v>
      </c>
      <c r="I294" s="164">
        <v>1.6900000000000001E-3</v>
      </c>
      <c r="J294" s="159">
        <f t="shared" si="139"/>
        <v>45689</v>
      </c>
      <c r="K294" s="278">
        <f t="shared" si="140"/>
        <v>1.6900000000000001E-3</v>
      </c>
      <c r="M294" s="163">
        <v>43800</v>
      </c>
      <c r="N294" s="163">
        <v>43831</v>
      </c>
      <c r="O294" s="164">
        <v>2.8709999999999999E-3</v>
      </c>
      <c r="P294" s="159">
        <f t="shared" si="128"/>
        <v>43800</v>
      </c>
      <c r="Q294" s="292">
        <f t="shared" si="126"/>
        <v>2.8709999999999999E-3</v>
      </c>
      <c r="S294" s="163">
        <v>43831</v>
      </c>
      <c r="T294" s="164">
        <v>3.8E-3</v>
      </c>
      <c r="U294" s="159">
        <f t="shared" si="141"/>
        <v>43831</v>
      </c>
      <c r="V294" s="285">
        <f t="shared" si="142"/>
        <v>3.8E-3</v>
      </c>
      <c r="BM294" s="31" t="s">
        <v>198</v>
      </c>
      <c r="BN294" s="159">
        <f t="shared" si="149"/>
        <v>42064</v>
      </c>
      <c r="BO294" s="162">
        <f t="shared" si="150"/>
        <v>1.6799999999999999E-4</v>
      </c>
      <c r="BP294" s="278">
        <f t="shared" si="147"/>
        <v>1.6799999999999999E-4</v>
      </c>
      <c r="BQ294" s="312">
        <f t="shared" si="129"/>
        <v>1.124920363411503</v>
      </c>
      <c r="BS294" s="31" t="s">
        <v>43</v>
      </c>
      <c r="BT294" s="159">
        <f t="shared" si="145"/>
        <v>42064</v>
      </c>
      <c r="BU294" s="162">
        <f t="shared" si="146"/>
        <v>1.04E-2</v>
      </c>
      <c r="BV294" s="311">
        <f t="shared" si="130"/>
        <v>1.0946000000000002</v>
      </c>
      <c r="BX294" s="358" t="s">
        <v>242</v>
      </c>
      <c r="BY294" s="294">
        <f t="shared" si="151"/>
        <v>42064</v>
      </c>
      <c r="BZ294" s="357">
        <f t="shared" si="152"/>
        <v>5.0000000000000001E-3</v>
      </c>
      <c r="CA294" s="162">
        <f t="shared" si="131"/>
        <v>0.58518200000000087</v>
      </c>
      <c r="CF294" s="31" t="s">
        <v>197</v>
      </c>
      <c r="CG294" s="168">
        <v>42064</v>
      </c>
      <c r="CH294" s="37">
        <v>0</v>
      </c>
      <c r="CI294" s="314">
        <f t="shared" si="148"/>
        <v>0</v>
      </c>
      <c r="CJ294" s="312">
        <f t="shared" si="132"/>
        <v>1</v>
      </c>
      <c r="CN294" s="315">
        <f t="shared" si="133"/>
        <v>42064</v>
      </c>
      <c r="CO294" s="312">
        <f t="shared" si="134"/>
        <v>1</v>
      </c>
      <c r="CQ294" s="315">
        <f t="shared" si="135"/>
        <v>42064</v>
      </c>
      <c r="CR294" s="316">
        <f t="shared" si="136"/>
        <v>1.0946000000000002</v>
      </c>
      <c r="CW294" s="650" t="s">
        <v>479</v>
      </c>
    </row>
    <row r="295" spans="2:101" ht="15" customHeight="1">
      <c r="B295" s="163">
        <v>45323</v>
      </c>
      <c r="C295" s="165">
        <v>1412</v>
      </c>
      <c r="D295" s="274">
        <f t="shared" si="137"/>
        <v>45323</v>
      </c>
      <c r="E295" s="275">
        <f t="shared" si="138"/>
        <v>1412</v>
      </c>
      <c r="G295" s="163">
        <v>45689</v>
      </c>
      <c r="H295" s="163">
        <v>45717</v>
      </c>
      <c r="I295" s="164">
        <v>1.3240000000000001E-3</v>
      </c>
      <c r="J295" s="159">
        <f t="shared" si="139"/>
        <v>45717</v>
      </c>
      <c r="K295" s="278">
        <f t="shared" si="140"/>
        <v>1.3240000000000001E-3</v>
      </c>
      <c r="M295" s="163">
        <v>43831</v>
      </c>
      <c r="N295" s="163">
        <v>43862</v>
      </c>
      <c r="O295" s="164">
        <v>2.588E-3</v>
      </c>
      <c r="P295" s="159">
        <f t="shared" si="128"/>
        <v>43831</v>
      </c>
      <c r="Q295" s="292">
        <f t="shared" si="126"/>
        <v>2.588E-3</v>
      </c>
      <c r="S295" s="163">
        <v>43862</v>
      </c>
      <c r="T295" s="164">
        <v>2.8999999999999998E-3</v>
      </c>
      <c r="U295" s="159">
        <f t="shared" si="141"/>
        <v>43862</v>
      </c>
      <c r="V295" s="285">
        <f t="shared" si="142"/>
        <v>2.8999999999999998E-3</v>
      </c>
      <c r="BM295" s="31" t="s">
        <v>198</v>
      </c>
      <c r="BN295" s="159">
        <f t="shared" si="149"/>
        <v>42095</v>
      </c>
      <c r="BO295" s="162">
        <f t="shared" si="150"/>
        <v>1.2960000000000001E-3</v>
      </c>
      <c r="BP295" s="278">
        <f>+IF(BO295="","",BO295)</f>
        <v>1.2960000000000001E-3</v>
      </c>
      <c r="BQ295" s="312">
        <f t="shared" si="129"/>
        <v>1.1247314085348692</v>
      </c>
      <c r="BS295" s="31" t="s">
        <v>43</v>
      </c>
      <c r="BT295" s="159">
        <f t="shared" si="145"/>
        <v>42095</v>
      </c>
      <c r="BU295" s="162">
        <f t="shared" si="146"/>
        <v>9.4999999999999998E-3</v>
      </c>
      <c r="BV295" s="311">
        <f t="shared" si="130"/>
        <v>1.0842000000000003</v>
      </c>
      <c r="BX295" s="358" t="s">
        <v>242</v>
      </c>
      <c r="BY295" s="294">
        <f t="shared" si="151"/>
        <v>42095</v>
      </c>
      <c r="BZ295" s="357">
        <f t="shared" si="152"/>
        <v>5.0000000000000001E-3</v>
      </c>
      <c r="CA295" s="162">
        <f t="shared" si="131"/>
        <v>0.58018200000000086</v>
      </c>
      <c r="CF295" s="31" t="s">
        <v>197</v>
      </c>
      <c r="CG295" s="168">
        <v>42095</v>
      </c>
      <c r="CH295" s="37">
        <v>0</v>
      </c>
      <c r="CI295" s="314">
        <f>+IF(CH295="","",CH295)</f>
        <v>0</v>
      </c>
      <c r="CJ295" s="312">
        <f t="shared" si="132"/>
        <v>1</v>
      </c>
      <c r="CN295" s="315">
        <f t="shared" si="133"/>
        <v>42095</v>
      </c>
      <c r="CO295" s="312">
        <f t="shared" si="134"/>
        <v>1</v>
      </c>
      <c r="CQ295" s="315">
        <f t="shared" si="135"/>
        <v>42095</v>
      </c>
      <c r="CR295" s="316">
        <f t="shared" si="136"/>
        <v>1.0842000000000003</v>
      </c>
      <c r="CW295" s="661" t="s">
        <v>480</v>
      </c>
    </row>
    <row r="296" spans="2:101" ht="15" customHeight="1">
      <c r="B296" s="163">
        <v>45352</v>
      </c>
      <c r="C296" s="165">
        <v>1412</v>
      </c>
      <c r="D296" s="274">
        <f t="shared" si="137"/>
        <v>45352</v>
      </c>
      <c r="E296" s="275">
        <f t="shared" si="138"/>
        <v>1412</v>
      </c>
      <c r="G296" s="163">
        <v>45717</v>
      </c>
      <c r="H296" s="163">
        <v>45748</v>
      </c>
      <c r="I296" s="164">
        <v>1.0920000000000001E-3</v>
      </c>
      <c r="J296" s="159">
        <f t="shared" si="139"/>
        <v>45748</v>
      </c>
      <c r="K296" s="278">
        <f t="shared" si="140"/>
        <v>1.0920000000000001E-3</v>
      </c>
      <c r="M296" s="163">
        <v>43862</v>
      </c>
      <c r="N296" s="163">
        <v>43891</v>
      </c>
      <c r="O296" s="164">
        <v>2.588E-3</v>
      </c>
      <c r="P296" s="159">
        <f t="shared" si="128"/>
        <v>43862</v>
      </c>
      <c r="Q296" s="292">
        <f t="shared" si="126"/>
        <v>2.588E-3</v>
      </c>
      <c r="S296" s="163">
        <v>43891</v>
      </c>
      <c r="T296" s="164">
        <v>3.3999999999999998E-3</v>
      </c>
      <c r="U296" s="159">
        <f t="shared" si="141"/>
        <v>43891</v>
      </c>
      <c r="V296" s="285">
        <f t="shared" si="142"/>
        <v>3.3999999999999998E-3</v>
      </c>
      <c r="BM296" s="31" t="s">
        <v>198</v>
      </c>
      <c r="BN296" s="159">
        <f t="shared" si="149"/>
        <v>42125</v>
      </c>
      <c r="BO296" s="162">
        <f t="shared" si="150"/>
        <v>1.0740000000000001E-3</v>
      </c>
      <c r="BP296" s="278">
        <f>+IF(BO296="","",BO296)</f>
        <v>1.0740000000000001E-3</v>
      </c>
      <c r="BQ296" s="312">
        <f t="shared" si="129"/>
        <v>1.123275643301151</v>
      </c>
      <c r="BS296" s="31" t="s">
        <v>43</v>
      </c>
      <c r="BT296" s="159">
        <f t="shared" si="145"/>
        <v>42125</v>
      </c>
      <c r="BU296" s="162">
        <f t="shared" si="146"/>
        <v>9.9000000000000008E-3</v>
      </c>
      <c r="BV296" s="311">
        <f t="shared" si="130"/>
        <v>1.0747000000000002</v>
      </c>
      <c r="BX296" s="358" t="s">
        <v>242</v>
      </c>
      <c r="BY296" s="294">
        <f t="shared" si="151"/>
        <v>42125</v>
      </c>
      <c r="BZ296" s="357">
        <f t="shared" si="152"/>
        <v>5.0000000000000001E-3</v>
      </c>
      <c r="CA296" s="162">
        <f t="shared" si="131"/>
        <v>0.57518200000000086</v>
      </c>
      <c r="CF296" s="31" t="s">
        <v>197</v>
      </c>
      <c r="CG296" s="168">
        <v>42125</v>
      </c>
      <c r="CH296" s="37">
        <v>0</v>
      </c>
      <c r="CI296" s="314">
        <f>+IF(CH296="","",CH296)</f>
        <v>0</v>
      </c>
      <c r="CJ296" s="312">
        <f t="shared" si="132"/>
        <v>1</v>
      </c>
      <c r="CN296" s="315">
        <f t="shared" si="133"/>
        <v>42125</v>
      </c>
      <c r="CO296" s="312">
        <f t="shared" si="134"/>
        <v>1</v>
      </c>
      <c r="CQ296" s="315">
        <f t="shared" si="135"/>
        <v>42125</v>
      </c>
      <c r="CR296" s="316">
        <f t="shared" si="136"/>
        <v>1.0747000000000002</v>
      </c>
      <c r="CW296" s="655" t="s">
        <v>481</v>
      </c>
    </row>
    <row r="297" spans="2:101" ht="15" customHeight="1">
      <c r="B297" s="163">
        <v>45383</v>
      </c>
      <c r="C297" s="165">
        <v>1412</v>
      </c>
      <c r="D297" s="274">
        <f t="shared" si="137"/>
        <v>45383</v>
      </c>
      <c r="E297" s="275">
        <f t="shared" si="138"/>
        <v>1412</v>
      </c>
      <c r="G297" s="163">
        <v>45748</v>
      </c>
      <c r="H297" s="163">
        <v>45778</v>
      </c>
      <c r="I297" s="164">
        <v>1.689E-3</v>
      </c>
      <c r="J297" s="159">
        <f t="shared" si="139"/>
        <v>45778</v>
      </c>
      <c r="K297" s="278">
        <f t="shared" si="140"/>
        <v>1.689E-3</v>
      </c>
      <c r="M297" s="163">
        <v>43891</v>
      </c>
      <c r="N297" s="163">
        <v>43922</v>
      </c>
      <c r="O297" s="164">
        <v>2.4459999999999998E-3</v>
      </c>
      <c r="P297" s="159">
        <f t="shared" si="128"/>
        <v>43891</v>
      </c>
      <c r="Q297" s="292">
        <f t="shared" si="126"/>
        <v>2.4459999999999998E-3</v>
      </c>
      <c r="S297" s="163">
        <v>43922</v>
      </c>
      <c r="T297" s="164">
        <v>2.8E-3</v>
      </c>
      <c r="U297" s="159">
        <f t="shared" si="141"/>
        <v>43922</v>
      </c>
      <c r="V297" s="285">
        <f t="shared" si="142"/>
        <v>2.8E-3</v>
      </c>
      <c r="BM297" s="31" t="s">
        <v>198</v>
      </c>
      <c r="BN297" s="159">
        <f t="shared" si="149"/>
        <v>42156</v>
      </c>
      <c r="BO297" s="162">
        <f t="shared" si="150"/>
        <v>1.1529999999999999E-3</v>
      </c>
      <c r="BP297" s="278">
        <f>+IF(BO297="","",BO297)</f>
        <v>1.1529999999999999E-3</v>
      </c>
      <c r="BQ297" s="312">
        <f t="shared" si="129"/>
        <v>1.1220705395416832</v>
      </c>
      <c r="BS297" s="31" t="s">
        <v>43</v>
      </c>
      <c r="BT297" s="159">
        <f t="shared" si="145"/>
        <v>42156</v>
      </c>
      <c r="BU297" s="162">
        <f t="shared" si="146"/>
        <v>1.0699999999999999E-2</v>
      </c>
      <c r="BV297" s="311">
        <f t="shared" si="130"/>
        <v>1.0648000000000002</v>
      </c>
      <c r="BX297" s="358" t="s">
        <v>242</v>
      </c>
      <c r="BY297" s="294">
        <f t="shared" si="151"/>
        <v>42156</v>
      </c>
      <c r="BZ297" s="357">
        <f t="shared" si="152"/>
        <v>5.0000000000000001E-3</v>
      </c>
      <c r="CA297" s="162">
        <f t="shared" si="131"/>
        <v>0.57018200000000085</v>
      </c>
      <c r="CF297" s="31" t="s">
        <v>197</v>
      </c>
      <c r="CG297" s="168">
        <v>42156</v>
      </c>
      <c r="CH297" s="37">
        <v>0</v>
      </c>
      <c r="CI297" s="314">
        <f>+IF(CH297="","",CH297)</f>
        <v>0</v>
      </c>
      <c r="CJ297" s="312">
        <f t="shared" si="132"/>
        <v>1</v>
      </c>
      <c r="CN297" s="315">
        <f t="shared" si="133"/>
        <v>42156</v>
      </c>
      <c r="CO297" s="312">
        <f t="shared" si="134"/>
        <v>1</v>
      </c>
      <c r="CQ297" s="315">
        <f t="shared" si="135"/>
        <v>42156</v>
      </c>
      <c r="CR297" s="316">
        <f t="shared" si="136"/>
        <v>1.0648000000000002</v>
      </c>
      <c r="CW297"/>
    </row>
    <row r="298" spans="2:101" ht="15" customHeight="1">
      <c r="B298" s="163">
        <v>45413</v>
      </c>
      <c r="C298" s="165">
        <v>1412</v>
      </c>
      <c r="D298" s="274">
        <f t="shared" si="137"/>
        <v>45413</v>
      </c>
      <c r="E298" s="275">
        <f t="shared" si="138"/>
        <v>1412</v>
      </c>
      <c r="G298" s="163">
        <v>45778</v>
      </c>
      <c r="H298" s="163">
        <v>45809</v>
      </c>
      <c r="I298" s="164">
        <v>1.712E-3</v>
      </c>
      <c r="J298" s="159">
        <f t="shared" si="139"/>
        <v>45809</v>
      </c>
      <c r="K298" s="278">
        <f t="shared" si="140"/>
        <v>1.712E-3</v>
      </c>
      <c r="M298" s="163">
        <v>43922</v>
      </c>
      <c r="N298" s="163">
        <v>43952</v>
      </c>
      <c r="O298" s="164">
        <v>2.1619999999999999E-3</v>
      </c>
      <c r="P298" s="159">
        <f t="shared" si="128"/>
        <v>43922</v>
      </c>
      <c r="Q298" s="292">
        <f t="shared" si="126"/>
        <v>2.1619999999999999E-3</v>
      </c>
      <c r="S298" s="163">
        <v>43952</v>
      </c>
      <c r="T298" s="164">
        <v>2.3999999999999998E-3</v>
      </c>
      <c r="U298" s="159">
        <f t="shared" si="141"/>
        <v>43952</v>
      </c>
      <c r="V298" s="285">
        <f t="shared" si="142"/>
        <v>2.3999999999999998E-3</v>
      </c>
      <c r="BM298" s="31" t="s">
        <v>198</v>
      </c>
      <c r="BN298" s="159">
        <f t="shared" si="149"/>
        <v>42186</v>
      </c>
      <c r="BO298" s="162">
        <f t="shared" si="150"/>
        <v>1.8129999999999999E-3</v>
      </c>
      <c r="BP298" s="278">
        <f>+IF(BO298="","",BO298)</f>
        <v>1.8129999999999999E-3</v>
      </c>
      <c r="BQ298" s="312">
        <f t="shared" si="129"/>
        <v>1.1207782821823271</v>
      </c>
      <c r="BS298" s="31" t="s">
        <v>43</v>
      </c>
      <c r="BT298" s="159">
        <f t="shared" si="145"/>
        <v>42186</v>
      </c>
      <c r="BU298" s="162">
        <f t="shared" si="146"/>
        <v>1.18E-2</v>
      </c>
      <c r="BV298" s="311">
        <f t="shared" si="130"/>
        <v>1.0541000000000003</v>
      </c>
      <c r="BX298" s="358" t="s">
        <v>242</v>
      </c>
      <c r="BY298" s="294">
        <f t="shared" si="151"/>
        <v>42186</v>
      </c>
      <c r="BZ298" s="357">
        <f t="shared" si="152"/>
        <v>5.0000000000000001E-3</v>
      </c>
      <c r="CA298" s="162">
        <f t="shared" si="131"/>
        <v>0.56518200000000085</v>
      </c>
      <c r="CF298" s="31" t="s">
        <v>197</v>
      </c>
      <c r="CG298" s="168">
        <v>42186</v>
      </c>
      <c r="CH298" s="37">
        <v>0</v>
      </c>
      <c r="CI298" s="314">
        <f>+IF(CH298="","",CH298)</f>
        <v>0</v>
      </c>
      <c r="CJ298" s="312">
        <f t="shared" si="132"/>
        <v>1</v>
      </c>
      <c r="CN298" s="315">
        <f t="shared" si="133"/>
        <v>42186</v>
      </c>
      <c r="CO298" s="312">
        <f t="shared" si="134"/>
        <v>1</v>
      </c>
      <c r="CQ298" s="315">
        <f t="shared" si="135"/>
        <v>42186</v>
      </c>
      <c r="CR298" s="316">
        <f t="shared" si="136"/>
        <v>1.0541000000000003</v>
      </c>
      <c r="CW298" s="650" t="s">
        <v>482</v>
      </c>
    </row>
    <row r="299" spans="2:101" ht="15" customHeight="1">
      <c r="B299" s="163">
        <v>45444</v>
      </c>
      <c r="C299" s="165">
        <v>1412</v>
      </c>
      <c r="D299" s="274">
        <f t="shared" si="137"/>
        <v>45444</v>
      </c>
      <c r="E299" s="275">
        <f t="shared" si="138"/>
        <v>1412</v>
      </c>
      <c r="G299" s="163">
        <v>45809</v>
      </c>
      <c r="H299" s="163">
        <v>45839</v>
      </c>
      <c r="I299" s="164">
        <v>1.699E-3</v>
      </c>
      <c r="J299" s="159">
        <f t="shared" si="139"/>
        <v>45839</v>
      </c>
      <c r="K299" s="278">
        <f t="shared" si="140"/>
        <v>1.699E-3</v>
      </c>
      <c r="M299" s="163">
        <v>43952</v>
      </c>
      <c r="N299" s="163">
        <v>43983</v>
      </c>
      <c r="O299" s="164">
        <v>2.1619999999999999E-3</v>
      </c>
      <c r="P299" s="159">
        <f t="shared" si="128"/>
        <v>43952</v>
      </c>
      <c r="Q299" s="292">
        <f t="shared" si="126"/>
        <v>2.1619999999999999E-3</v>
      </c>
      <c r="S299" s="163">
        <v>43983</v>
      </c>
      <c r="T299" s="164">
        <v>2.0999999999999999E-3</v>
      </c>
      <c r="U299" s="159">
        <f t="shared" si="141"/>
        <v>43983</v>
      </c>
      <c r="V299" s="285">
        <f t="shared" si="142"/>
        <v>2.0999999999999999E-3</v>
      </c>
      <c r="BM299" s="31" t="s">
        <v>198</v>
      </c>
      <c r="BN299" s="159">
        <f t="shared" si="149"/>
        <v>42217</v>
      </c>
      <c r="BO299" s="162">
        <f t="shared" si="150"/>
        <v>2.3050000000000002E-3</v>
      </c>
      <c r="BP299" s="278">
        <f t="shared" ref="BP299:BP346" si="153">+IF(BO299="","",BO299)</f>
        <v>2.3050000000000002E-3</v>
      </c>
      <c r="BQ299" s="312">
        <f t="shared" si="129"/>
        <v>1.1187499884532612</v>
      </c>
      <c r="BS299" s="31" t="s">
        <v>43</v>
      </c>
      <c r="BT299" s="159">
        <f t="shared" si="145"/>
        <v>42217</v>
      </c>
      <c r="BU299" s="162">
        <f t="shared" si="146"/>
        <v>1.11E-2</v>
      </c>
      <c r="BV299" s="311">
        <f t="shared" si="130"/>
        <v>1.0423000000000002</v>
      </c>
      <c r="BX299" s="358" t="s">
        <v>242</v>
      </c>
      <c r="BY299" s="294">
        <f t="shared" si="151"/>
        <v>42217</v>
      </c>
      <c r="BZ299" s="357">
        <f t="shared" si="152"/>
        <v>5.0000000000000001E-3</v>
      </c>
      <c r="CA299" s="162">
        <f t="shared" si="131"/>
        <v>0.56018200000000085</v>
      </c>
      <c r="CF299" s="31" t="s">
        <v>197</v>
      </c>
      <c r="CG299" s="168">
        <v>42217</v>
      </c>
      <c r="CH299" s="37">
        <v>0</v>
      </c>
      <c r="CI299" s="314">
        <f>+IF(CH299="","",CH299)</f>
        <v>0</v>
      </c>
      <c r="CJ299" s="312">
        <f t="shared" si="132"/>
        <v>1</v>
      </c>
      <c r="CN299" s="315">
        <f t="shared" si="133"/>
        <v>42217</v>
      </c>
      <c r="CO299" s="312">
        <f t="shared" si="134"/>
        <v>1</v>
      </c>
      <c r="CQ299" s="315">
        <f t="shared" si="135"/>
        <v>42217</v>
      </c>
      <c r="CR299" s="316">
        <f t="shared" si="136"/>
        <v>1.0423000000000002</v>
      </c>
      <c r="CW299" s="661" t="s">
        <v>480</v>
      </c>
    </row>
    <row r="300" spans="2:101" ht="15" customHeight="1">
      <c r="B300" s="163">
        <v>45474</v>
      </c>
      <c r="C300" s="165">
        <v>1412</v>
      </c>
      <c r="D300" s="274">
        <f t="shared" si="137"/>
        <v>45474</v>
      </c>
      <c r="E300" s="275">
        <f t="shared" si="138"/>
        <v>1412</v>
      </c>
      <c r="G300" s="163">
        <v>45839</v>
      </c>
      <c r="H300" s="163">
        <v>45870</v>
      </c>
      <c r="I300" s="164">
        <v>1.758E-3</v>
      </c>
      <c r="J300" s="159">
        <f t="shared" si="139"/>
        <v>45870</v>
      </c>
      <c r="K300" s="278">
        <f t="shared" si="140"/>
        <v>1.758E-3</v>
      </c>
      <c r="M300" s="163">
        <v>43983</v>
      </c>
      <c r="N300" s="163">
        <v>44013</v>
      </c>
      <c r="O300" s="164">
        <v>1.7329999999999999E-3</v>
      </c>
      <c r="P300" s="159">
        <f t="shared" si="128"/>
        <v>43983</v>
      </c>
      <c r="Q300" s="292">
        <f t="shared" si="126"/>
        <v>1.7329999999999999E-3</v>
      </c>
      <c r="S300" s="163">
        <v>44013</v>
      </c>
      <c r="T300" s="164">
        <v>1.9E-3</v>
      </c>
      <c r="U300" s="159">
        <f t="shared" si="141"/>
        <v>44013</v>
      </c>
      <c r="V300" s="285">
        <f t="shared" si="142"/>
        <v>1.9E-3</v>
      </c>
      <c r="BM300" s="31" t="s">
        <v>198</v>
      </c>
      <c r="BN300" s="159">
        <f t="shared" si="149"/>
        <v>42248</v>
      </c>
      <c r="BO300" s="162">
        <f t="shared" si="150"/>
        <v>1.867E-3</v>
      </c>
      <c r="BP300" s="278">
        <f t="shared" si="153"/>
        <v>1.867E-3</v>
      </c>
      <c r="BQ300" s="312">
        <f t="shared" si="129"/>
        <v>1.1161772000072445</v>
      </c>
      <c r="BS300" s="31" t="s">
        <v>43</v>
      </c>
      <c r="BT300" s="159">
        <f t="shared" si="145"/>
        <v>42248</v>
      </c>
      <c r="BU300" s="162">
        <f t="shared" si="146"/>
        <v>1.11E-2</v>
      </c>
      <c r="BV300" s="311">
        <f t="shared" si="130"/>
        <v>1.0312000000000001</v>
      </c>
      <c r="BX300" s="358" t="s">
        <v>242</v>
      </c>
      <c r="BY300" s="294">
        <f t="shared" si="151"/>
        <v>42248</v>
      </c>
      <c r="BZ300" s="357">
        <f t="shared" si="152"/>
        <v>5.0000000000000001E-3</v>
      </c>
      <c r="CA300" s="162">
        <f t="shared" si="131"/>
        <v>0.55518200000000084</v>
      </c>
      <c r="CF300" s="31" t="s">
        <v>197</v>
      </c>
      <c r="CG300" s="168">
        <v>42248</v>
      </c>
      <c r="CH300" s="37">
        <v>0</v>
      </c>
      <c r="CI300" s="314">
        <f t="shared" ref="CI300:CI363" si="154">+IF(CH300="","",CH300)</f>
        <v>0</v>
      </c>
      <c r="CJ300" s="312">
        <f t="shared" si="132"/>
        <v>1</v>
      </c>
      <c r="CN300" s="315">
        <f t="shared" si="133"/>
        <v>42248</v>
      </c>
      <c r="CO300" s="312">
        <f t="shared" si="134"/>
        <v>1</v>
      </c>
      <c r="CQ300" s="315">
        <f t="shared" si="135"/>
        <v>42248</v>
      </c>
      <c r="CR300" s="316">
        <f t="shared" si="136"/>
        <v>1.0312000000000001</v>
      </c>
      <c r="CW300" s="655" t="s">
        <v>483</v>
      </c>
    </row>
    <row r="301" spans="2:101" ht="15" customHeight="1">
      <c r="B301" s="163">
        <v>45505</v>
      </c>
      <c r="C301" s="165">
        <v>1412</v>
      </c>
      <c r="D301" s="274">
        <f t="shared" si="137"/>
        <v>45505</v>
      </c>
      <c r="E301" s="275">
        <f t="shared" si="138"/>
        <v>1412</v>
      </c>
      <c r="G301" s="163">
        <v>45870</v>
      </c>
      <c r="H301" s="163">
        <v>45901</v>
      </c>
      <c r="I301" s="164">
        <v>1.722E-3</v>
      </c>
      <c r="J301" s="159">
        <f t="shared" si="139"/>
        <v>45901</v>
      </c>
      <c r="K301" s="278">
        <f t="shared" si="140"/>
        <v>1.722E-3</v>
      </c>
      <c r="M301" s="163">
        <v>44013</v>
      </c>
      <c r="N301" s="163">
        <v>44044</v>
      </c>
      <c r="O301" s="164">
        <v>1.3029999999999999E-3</v>
      </c>
      <c r="P301" s="159">
        <f t="shared" si="128"/>
        <v>44013</v>
      </c>
      <c r="Q301" s="292">
        <f t="shared" si="126"/>
        <v>1.3029999999999999E-3</v>
      </c>
      <c r="S301" s="163">
        <v>44044</v>
      </c>
      <c r="T301" s="164">
        <v>1.6000000000000001E-3</v>
      </c>
      <c r="U301" s="159">
        <f t="shared" si="141"/>
        <v>44044</v>
      </c>
      <c r="V301" s="285">
        <f t="shared" si="142"/>
        <v>1.6000000000000001E-3</v>
      </c>
      <c r="BM301" s="31" t="s">
        <v>198</v>
      </c>
      <c r="BN301" s="159">
        <f t="shared" si="149"/>
        <v>42278</v>
      </c>
      <c r="BO301" s="162">
        <f t="shared" si="150"/>
        <v>1.92E-3</v>
      </c>
      <c r="BP301" s="278">
        <f t="shared" si="153"/>
        <v>1.92E-3</v>
      </c>
      <c r="BQ301" s="312">
        <f t="shared" si="129"/>
        <v>1.1140971805711182</v>
      </c>
      <c r="BS301" s="31" t="s">
        <v>43</v>
      </c>
      <c r="BT301" s="159">
        <f t="shared" si="145"/>
        <v>42278</v>
      </c>
      <c r="BU301" s="162">
        <f t="shared" si="146"/>
        <v>1.11E-2</v>
      </c>
      <c r="BV301" s="311">
        <f t="shared" si="130"/>
        <v>1.0201</v>
      </c>
      <c r="BX301" s="358" t="s">
        <v>242</v>
      </c>
      <c r="BY301" s="294">
        <f t="shared" si="151"/>
        <v>42278</v>
      </c>
      <c r="BZ301" s="357">
        <f t="shared" si="152"/>
        <v>5.0000000000000001E-3</v>
      </c>
      <c r="CA301" s="162">
        <f t="shared" si="131"/>
        <v>0.55018200000000084</v>
      </c>
      <c r="CF301" s="31" t="s">
        <v>197</v>
      </c>
      <c r="CG301" s="168">
        <v>42278</v>
      </c>
      <c r="CH301" s="37">
        <v>0</v>
      </c>
      <c r="CI301" s="314">
        <f t="shared" si="154"/>
        <v>0</v>
      </c>
      <c r="CJ301" s="312">
        <f t="shared" si="132"/>
        <v>1</v>
      </c>
      <c r="CN301" s="315">
        <f t="shared" si="133"/>
        <v>42278</v>
      </c>
      <c r="CO301" s="312">
        <f t="shared" si="134"/>
        <v>1</v>
      </c>
      <c r="CQ301" s="315">
        <f t="shared" si="135"/>
        <v>42278</v>
      </c>
      <c r="CR301" s="316">
        <f t="shared" si="136"/>
        <v>1.0201</v>
      </c>
      <c r="CW301"/>
    </row>
    <row r="302" spans="2:101" ht="15" customHeight="1">
      <c r="B302" s="163">
        <v>45536</v>
      </c>
      <c r="C302" s="165">
        <v>1412</v>
      </c>
      <c r="D302" s="274">
        <f t="shared" si="137"/>
        <v>45536</v>
      </c>
      <c r="E302" s="275">
        <f t="shared" si="138"/>
        <v>1412</v>
      </c>
      <c r="G302" s="163">
        <v>45901</v>
      </c>
      <c r="H302" s="163">
        <v>45931</v>
      </c>
      <c r="I302" s="164">
        <v>1.7420000000000001E-3</v>
      </c>
      <c r="J302" s="159">
        <f t="shared" si="139"/>
        <v>45931</v>
      </c>
      <c r="K302" s="278">
        <f t="shared" si="140"/>
        <v>1.7420000000000001E-3</v>
      </c>
      <c r="M302" s="163">
        <v>44044</v>
      </c>
      <c r="N302" s="163">
        <v>44075</v>
      </c>
      <c r="O302" s="164">
        <v>1.3029999999999999E-3</v>
      </c>
      <c r="P302" s="159">
        <f t="shared" si="128"/>
        <v>44044</v>
      </c>
      <c r="Q302" s="292">
        <f t="shared" si="126"/>
        <v>1.3029999999999999E-3</v>
      </c>
      <c r="S302" s="163">
        <v>44075</v>
      </c>
      <c r="T302" s="164">
        <v>1.6000000000000001E-3</v>
      </c>
      <c r="U302" s="159">
        <f t="shared" si="141"/>
        <v>44075</v>
      </c>
      <c r="V302" s="285">
        <f t="shared" si="142"/>
        <v>1.6000000000000001E-3</v>
      </c>
      <c r="BM302" s="31" t="s">
        <v>198</v>
      </c>
      <c r="BN302" s="159">
        <f t="shared" si="149"/>
        <v>42309</v>
      </c>
      <c r="BO302" s="162">
        <f t="shared" si="150"/>
        <v>1.7899999999999999E-3</v>
      </c>
      <c r="BP302" s="278">
        <f t="shared" si="153"/>
        <v>1.7899999999999999E-3</v>
      </c>
      <c r="BQ302" s="312">
        <f t="shared" si="129"/>
        <v>1.1119622131219242</v>
      </c>
      <c r="BS302" s="31" t="s">
        <v>43</v>
      </c>
      <c r="BT302" s="159">
        <f t="shared" si="145"/>
        <v>42309</v>
      </c>
      <c r="BU302" s="162">
        <f t="shared" si="146"/>
        <v>1.06E-2</v>
      </c>
      <c r="BV302" s="311">
        <f t="shared" si="130"/>
        <v>1.0089999999999999</v>
      </c>
      <c r="BX302" s="358" t="s">
        <v>242</v>
      </c>
      <c r="BY302" s="294">
        <f t="shared" si="151"/>
        <v>42309</v>
      </c>
      <c r="BZ302" s="357">
        <f t="shared" si="152"/>
        <v>5.0000000000000001E-3</v>
      </c>
      <c r="CA302" s="162">
        <f t="shared" si="131"/>
        <v>0.54518200000000083</v>
      </c>
      <c r="CF302" s="31" t="s">
        <v>197</v>
      </c>
      <c r="CG302" s="168">
        <v>42309</v>
      </c>
      <c r="CH302" s="37">
        <v>0</v>
      </c>
      <c r="CI302" s="314">
        <f t="shared" si="154"/>
        <v>0</v>
      </c>
      <c r="CJ302" s="312">
        <f t="shared" si="132"/>
        <v>1</v>
      </c>
      <c r="CN302" s="315">
        <f t="shared" si="133"/>
        <v>42309</v>
      </c>
      <c r="CO302" s="312">
        <f t="shared" si="134"/>
        <v>1</v>
      </c>
      <c r="CQ302" s="315">
        <f t="shared" si="135"/>
        <v>42309</v>
      </c>
      <c r="CR302" s="316">
        <f t="shared" si="136"/>
        <v>1.0089999999999999</v>
      </c>
      <c r="CW302" s="650" t="s">
        <v>468</v>
      </c>
    </row>
    <row r="303" spans="2:101" ht="15" customHeight="1">
      <c r="B303" s="163">
        <v>45566</v>
      </c>
      <c r="C303" s="165">
        <v>1412</v>
      </c>
      <c r="D303" s="274">
        <f t="shared" si="137"/>
        <v>45566</v>
      </c>
      <c r="E303" s="275">
        <f t="shared" si="138"/>
        <v>1412</v>
      </c>
      <c r="G303" s="163">
        <v>45931</v>
      </c>
      <c r="H303" s="163">
        <v>45962</v>
      </c>
      <c r="I303" s="164">
        <v>1.758E-3</v>
      </c>
      <c r="J303" s="159">
        <f t="shared" si="139"/>
        <v>45962</v>
      </c>
      <c r="K303" s="278">
        <f t="shared" si="140"/>
        <v>1.758E-3</v>
      </c>
      <c r="M303" s="163">
        <v>44075</v>
      </c>
      <c r="N303" s="163">
        <v>44105</v>
      </c>
      <c r="O303" s="164">
        <v>1.1590000000000001E-3</v>
      </c>
      <c r="P303" s="159">
        <f t="shared" si="128"/>
        <v>44075</v>
      </c>
      <c r="Q303" s="292">
        <f t="shared" si="126"/>
        <v>1.1590000000000001E-3</v>
      </c>
      <c r="S303" s="163">
        <v>44105</v>
      </c>
      <c r="T303" s="164">
        <v>1.6000000000000001E-3</v>
      </c>
      <c r="U303" s="159">
        <f t="shared" si="141"/>
        <v>44105</v>
      </c>
      <c r="V303" s="285">
        <f t="shared" si="142"/>
        <v>1.6000000000000001E-3</v>
      </c>
      <c r="BM303" s="31" t="s">
        <v>198</v>
      </c>
      <c r="BN303" s="159">
        <f t="shared" si="149"/>
        <v>42339</v>
      </c>
      <c r="BO303" s="162">
        <f t="shared" si="150"/>
        <v>1.297E-3</v>
      </c>
      <c r="BP303" s="278">
        <f t="shared" si="153"/>
        <v>1.297E-3</v>
      </c>
      <c r="BQ303" s="312">
        <f t="shared" si="129"/>
        <v>1.1099753572324782</v>
      </c>
      <c r="BS303" s="31" t="s">
        <v>43</v>
      </c>
      <c r="BT303" s="159">
        <f t="shared" si="145"/>
        <v>42339</v>
      </c>
      <c r="BU303" s="162">
        <f t="shared" si="146"/>
        <v>1.1599999999999999E-2</v>
      </c>
      <c r="BV303" s="311">
        <f t="shared" si="130"/>
        <v>0.99839999999999995</v>
      </c>
      <c r="BX303" s="358" t="s">
        <v>242</v>
      </c>
      <c r="BY303" s="294">
        <f t="shared" si="151"/>
        <v>42339</v>
      </c>
      <c r="BZ303" s="357">
        <f t="shared" si="152"/>
        <v>5.0000000000000001E-3</v>
      </c>
      <c r="CA303" s="162">
        <f t="shared" si="131"/>
        <v>0.54018200000000083</v>
      </c>
      <c r="CF303" s="31" t="s">
        <v>197</v>
      </c>
      <c r="CG303" s="168">
        <v>42339</v>
      </c>
      <c r="CH303" s="37">
        <v>0</v>
      </c>
      <c r="CI303" s="314">
        <f t="shared" si="154"/>
        <v>0</v>
      </c>
      <c r="CJ303" s="312">
        <f t="shared" si="132"/>
        <v>1</v>
      </c>
      <c r="CN303" s="315">
        <f t="shared" si="133"/>
        <v>42339</v>
      </c>
      <c r="CO303" s="312">
        <f t="shared" si="134"/>
        <v>1</v>
      </c>
      <c r="CQ303" s="315">
        <f t="shared" si="135"/>
        <v>42339</v>
      </c>
      <c r="CR303" s="316">
        <f t="shared" si="136"/>
        <v>0.99839999999999995</v>
      </c>
      <c r="CW303" s="654" t="s">
        <v>484</v>
      </c>
    </row>
    <row r="304" spans="2:101" ht="15" customHeight="1">
      <c r="B304" s="163">
        <v>45597</v>
      </c>
      <c r="C304" s="165">
        <v>1412</v>
      </c>
      <c r="D304" s="274">
        <f t="shared" si="137"/>
        <v>45597</v>
      </c>
      <c r="E304" s="275">
        <f t="shared" si="138"/>
        <v>1412</v>
      </c>
      <c r="G304" s="163">
        <v>45962</v>
      </c>
      <c r="H304" s="163">
        <v>45992</v>
      </c>
      <c r="I304" s="164">
        <v>1.634E-3</v>
      </c>
      <c r="J304" s="159">
        <f t="shared" si="139"/>
        <v>45992</v>
      </c>
      <c r="K304" s="278">
        <f t="shared" si="140"/>
        <v>1.634E-3</v>
      </c>
      <c r="M304" s="163">
        <v>44105</v>
      </c>
      <c r="N304" s="163">
        <v>44136</v>
      </c>
      <c r="O304" s="164">
        <v>1.1590000000000001E-3</v>
      </c>
      <c r="P304" s="159">
        <f t="shared" si="128"/>
        <v>44105</v>
      </c>
      <c r="Q304" s="292">
        <f t="shared" si="126"/>
        <v>1.1590000000000001E-3</v>
      </c>
      <c r="S304" s="163">
        <v>44136</v>
      </c>
      <c r="T304" s="164">
        <v>1.5E-3</v>
      </c>
      <c r="U304" s="159">
        <f t="shared" si="141"/>
        <v>44136</v>
      </c>
      <c r="V304" s="285">
        <f t="shared" si="142"/>
        <v>1.5E-3</v>
      </c>
      <c r="BM304" s="31" t="s">
        <v>198</v>
      </c>
      <c r="BN304" s="159">
        <f t="shared" si="149"/>
        <v>42370</v>
      </c>
      <c r="BO304" s="162">
        <f t="shared" si="150"/>
        <v>2.2499999999999998E-3</v>
      </c>
      <c r="BP304" s="278">
        <f t="shared" si="153"/>
        <v>2.2499999999999998E-3</v>
      </c>
      <c r="BQ304" s="312">
        <f t="shared" si="129"/>
        <v>1.1085375839860481</v>
      </c>
      <c r="BS304" s="31" t="s">
        <v>43</v>
      </c>
      <c r="BT304" s="159">
        <f t="shared" si="145"/>
        <v>42370</v>
      </c>
      <c r="BU304" s="162">
        <f t="shared" si="146"/>
        <v>1.06E-2</v>
      </c>
      <c r="BV304" s="311">
        <f t="shared" si="130"/>
        <v>0.98680000000000001</v>
      </c>
      <c r="BX304" s="358" t="s">
        <v>242</v>
      </c>
      <c r="BY304" s="294">
        <f t="shared" si="151"/>
        <v>42370</v>
      </c>
      <c r="BZ304" s="357">
        <f t="shared" si="152"/>
        <v>5.0000000000000001E-3</v>
      </c>
      <c r="CA304" s="162">
        <f t="shared" si="131"/>
        <v>0.53518200000000082</v>
      </c>
      <c r="CF304" s="31" t="s">
        <v>197</v>
      </c>
      <c r="CG304" s="168">
        <v>42370</v>
      </c>
      <c r="CH304" s="37">
        <v>0</v>
      </c>
      <c r="CI304" s="314">
        <f t="shared" si="154"/>
        <v>0</v>
      </c>
      <c r="CJ304" s="312">
        <f t="shared" si="132"/>
        <v>1</v>
      </c>
      <c r="CN304" s="315">
        <f t="shared" si="133"/>
        <v>42370</v>
      </c>
      <c r="CO304" s="312">
        <f t="shared" si="134"/>
        <v>1</v>
      </c>
      <c r="CQ304" s="315">
        <f t="shared" si="135"/>
        <v>42370</v>
      </c>
      <c r="CR304" s="316">
        <f t="shared" si="136"/>
        <v>0.98680000000000001</v>
      </c>
      <c r="CW304"/>
    </row>
    <row r="305" spans="2:101" ht="15" customHeight="1">
      <c r="B305" s="163">
        <v>45627</v>
      </c>
      <c r="C305" s="165">
        <v>1412</v>
      </c>
      <c r="D305" s="274">
        <f t="shared" si="137"/>
        <v>45627</v>
      </c>
      <c r="E305" s="275">
        <f t="shared" si="138"/>
        <v>1412</v>
      </c>
      <c r="G305" s="163">
        <v>45992</v>
      </c>
      <c r="H305" s="163">
        <v>46023</v>
      </c>
      <c r="I305" s="164">
        <v>1.7420000000000001E-3</v>
      </c>
      <c r="J305" s="159">
        <f t="shared" si="139"/>
        <v>46023</v>
      </c>
      <c r="K305" s="278">
        <f t="shared" si="140"/>
        <v>1.7420000000000001E-3</v>
      </c>
      <c r="M305" s="163">
        <v>44136</v>
      </c>
      <c r="N305" s="163">
        <v>44166</v>
      </c>
      <c r="O305" s="164">
        <v>1.1590000000000001E-3</v>
      </c>
      <c r="P305" s="159">
        <f t="shared" si="128"/>
        <v>44136</v>
      </c>
      <c r="Q305" s="292">
        <f t="shared" si="126"/>
        <v>1.1590000000000001E-3</v>
      </c>
      <c r="S305" s="163">
        <v>44166</v>
      </c>
      <c r="T305" s="164">
        <v>1.6000000000000001E-3</v>
      </c>
      <c r="U305" s="159">
        <f t="shared" si="141"/>
        <v>44166</v>
      </c>
      <c r="V305" s="285">
        <f t="shared" si="142"/>
        <v>1.6000000000000001E-3</v>
      </c>
      <c r="BM305" s="31" t="s">
        <v>198</v>
      </c>
      <c r="BN305" s="159">
        <f t="shared" si="149"/>
        <v>42401</v>
      </c>
      <c r="BO305" s="162">
        <f t="shared" si="150"/>
        <v>1.32E-3</v>
      </c>
      <c r="BP305" s="278">
        <f t="shared" si="153"/>
        <v>1.32E-3</v>
      </c>
      <c r="BQ305" s="312">
        <f t="shared" si="129"/>
        <v>1.1060489737950092</v>
      </c>
      <c r="BS305" s="31" t="s">
        <v>43</v>
      </c>
      <c r="BT305" s="159">
        <f t="shared" si="145"/>
        <v>42401</v>
      </c>
      <c r="BU305" s="162">
        <f t="shared" si="146"/>
        <v>0.01</v>
      </c>
      <c r="BV305" s="311">
        <f t="shared" si="130"/>
        <v>0.97619999999999996</v>
      </c>
      <c r="BX305" s="358" t="s">
        <v>242</v>
      </c>
      <c r="BY305" s="294">
        <f t="shared" si="151"/>
        <v>42401</v>
      </c>
      <c r="BZ305" s="357">
        <f t="shared" si="152"/>
        <v>5.0000000000000001E-3</v>
      </c>
      <c r="CA305" s="162">
        <f t="shared" si="131"/>
        <v>0.53018200000000082</v>
      </c>
      <c r="CF305" s="31" t="s">
        <v>197</v>
      </c>
      <c r="CG305" s="168">
        <v>42401</v>
      </c>
      <c r="CH305" s="37">
        <v>0</v>
      </c>
      <c r="CI305" s="314">
        <f t="shared" si="154"/>
        <v>0</v>
      </c>
      <c r="CJ305" s="312">
        <f t="shared" si="132"/>
        <v>1</v>
      </c>
      <c r="CN305" s="315">
        <f t="shared" si="133"/>
        <v>42401</v>
      </c>
      <c r="CO305" s="312">
        <f t="shared" si="134"/>
        <v>1</v>
      </c>
      <c r="CQ305" s="315">
        <f t="shared" si="135"/>
        <v>42401</v>
      </c>
      <c r="CR305" s="316">
        <f t="shared" si="136"/>
        <v>0.97619999999999996</v>
      </c>
      <c r="CW305" s="650" t="s">
        <v>485</v>
      </c>
    </row>
    <row r="306" spans="2:101" ht="15" customHeight="1">
      <c r="B306" s="163">
        <v>45658</v>
      </c>
      <c r="C306" s="165">
        <v>1518</v>
      </c>
      <c r="D306" s="274">
        <f t="shared" si="137"/>
        <v>45658</v>
      </c>
      <c r="E306" s="275">
        <f t="shared" si="138"/>
        <v>1518</v>
      </c>
      <c r="G306" s="163">
        <v>46023</v>
      </c>
      <c r="H306" s="163">
        <v>46054</v>
      </c>
      <c r="I306" s="164">
        <v>1.7179999999999999E-3</v>
      </c>
      <c r="J306" s="159">
        <f t="shared" si="139"/>
        <v>46054</v>
      </c>
      <c r="K306" s="278">
        <f t="shared" si="140"/>
        <v>1.7179999999999999E-3</v>
      </c>
      <c r="M306" s="163">
        <v>44166</v>
      </c>
      <c r="N306" s="163">
        <v>44197</v>
      </c>
      <c r="O306" s="164">
        <v>1.1590000000000001E-3</v>
      </c>
      <c r="P306" s="159">
        <f t="shared" si="128"/>
        <v>44166</v>
      </c>
      <c r="Q306" s="292">
        <f t="shared" si="126"/>
        <v>1.1590000000000001E-3</v>
      </c>
      <c r="S306" s="163">
        <v>44197</v>
      </c>
      <c r="T306" s="164">
        <v>1.5E-3</v>
      </c>
      <c r="U306" s="159">
        <f t="shared" si="141"/>
        <v>44197</v>
      </c>
      <c r="V306" s="285">
        <f t="shared" si="142"/>
        <v>1.5E-3</v>
      </c>
      <c r="BM306" s="31" t="s">
        <v>198</v>
      </c>
      <c r="BN306" s="159">
        <f t="shared" si="149"/>
        <v>42430</v>
      </c>
      <c r="BO306" s="162">
        <f t="shared" si="150"/>
        <v>9.5699999999999995E-4</v>
      </c>
      <c r="BP306" s="278">
        <f t="shared" si="153"/>
        <v>9.5699999999999995E-4</v>
      </c>
      <c r="BQ306" s="312">
        <f t="shared" si="129"/>
        <v>1.1045909137888079</v>
      </c>
      <c r="BS306" s="31" t="s">
        <v>43</v>
      </c>
      <c r="BT306" s="159">
        <f t="shared" si="145"/>
        <v>42430</v>
      </c>
      <c r="BU306" s="162">
        <f t="shared" si="146"/>
        <v>1.1599999999999999E-2</v>
      </c>
      <c r="BV306" s="311">
        <f t="shared" si="130"/>
        <v>0.96619999999999995</v>
      </c>
      <c r="BX306" s="358" t="s">
        <v>242</v>
      </c>
      <c r="BY306" s="294">
        <f t="shared" si="151"/>
        <v>42430</v>
      </c>
      <c r="BZ306" s="357">
        <f t="shared" si="152"/>
        <v>5.0000000000000001E-3</v>
      </c>
      <c r="CA306" s="162">
        <f t="shared" si="131"/>
        <v>0.52518200000000081</v>
      </c>
      <c r="CF306" s="31" t="s">
        <v>197</v>
      </c>
      <c r="CG306" s="168">
        <v>42430</v>
      </c>
      <c r="CH306" s="37">
        <v>0</v>
      </c>
      <c r="CI306" s="314">
        <f t="shared" si="154"/>
        <v>0</v>
      </c>
      <c r="CJ306" s="312">
        <f t="shared" si="132"/>
        <v>1</v>
      </c>
      <c r="CN306" s="315">
        <f t="shared" si="133"/>
        <v>42430</v>
      </c>
      <c r="CO306" s="312">
        <f t="shared" si="134"/>
        <v>1</v>
      </c>
      <c r="CQ306" s="315">
        <f t="shared" si="135"/>
        <v>42430</v>
      </c>
      <c r="CR306" s="316">
        <f t="shared" si="136"/>
        <v>0.96619999999999995</v>
      </c>
      <c r="CW306" s="661" t="s">
        <v>486</v>
      </c>
    </row>
    <row r="307" spans="2:101" ht="15" customHeight="1">
      <c r="B307" s="163">
        <v>45689</v>
      </c>
      <c r="C307" s="165">
        <v>1518</v>
      </c>
      <c r="D307" s="274">
        <f t="shared" si="137"/>
        <v>45689</v>
      </c>
      <c r="E307" s="275">
        <f t="shared" si="138"/>
        <v>1518</v>
      </c>
      <c r="G307" s="163">
        <v>46054</v>
      </c>
      <c r="H307" s="163">
        <v>46082</v>
      </c>
      <c r="I307" s="164">
        <v>1.207E-3</v>
      </c>
      <c r="J307" s="159">
        <f t="shared" si="139"/>
        <v>46082</v>
      </c>
      <c r="K307" s="278">
        <f t="shared" si="140"/>
        <v>1.207E-3</v>
      </c>
      <c r="M307" s="163">
        <v>44197</v>
      </c>
      <c r="N307" s="163">
        <v>44228</v>
      </c>
      <c r="O307" s="164">
        <v>1.1590000000000001E-3</v>
      </c>
      <c r="P307" s="159">
        <f t="shared" si="128"/>
        <v>44197</v>
      </c>
      <c r="Q307" s="292">
        <f t="shared" si="126"/>
        <v>1.1590000000000001E-3</v>
      </c>
      <c r="S307" s="163">
        <v>44228</v>
      </c>
      <c r="T307" s="164">
        <v>1.2999999999999999E-3</v>
      </c>
      <c r="U307" s="159">
        <f t="shared" si="141"/>
        <v>44228</v>
      </c>
      <c r="V307" s="285">
        <f t="shared" si="142"/>
        <v>1.2999999999999999E-3</v>
      </c>
      <c r="BM307" s="31" t="s">
        <v>198</v>
      </c>
      <c r="BN307" s="159">
        <f t="shared" si="149"/>
        <v>42461</v>
      </c>
      <c r="BO307" s="162">
        <f t="shared" si="150"/>
        <v>2.1679999999999998E-3</v>
      </c>
      <c r="BP307" s="278">
        <f t="shared" si="153"/>
        <v>2.1679999999999998E-3</v>
      </c>
      <c r="BQ307" s="312">
        <f t="shared" si="129"/>
        <v>1.1035348309555832</v>
      </c>
      <c r="BS307" s="31" t="s">
        <v>43</v>
      </c>
      <c r="BT307" s="159">
        <f t="shared" si="145"/>
        <v>42461</v>
      </c>
      <c r="BU307" s="162">
        <f t="shared" si="146"/>
        <v>1.06E-2</v>
      </c>
      <c r="BV307" s="311">
        <f t="shared" si="130"/>
        <v>0.95459999999999989</v>
      </c>
      <c r="BX307" s="358" t="s">
        <v>242</v>
      </c>
      <c r="BY307" s="294">
        <f t="shared" si="151"/>
        <v>42461</v>
      </c>
      <c r="BZ307" s="357">
        <f t="shared" si="152"/>
        <v>5.0000000000000001E-3</v>
      </c>
      <c r="CA307" s="162">
        <f t="shared" si="131"/>
        <v>0.52018200000000081</v>
      </c>
      <c r="CF307" s="31" t="s">
        <v>197</v>
      </c>
      <c r="CG307" s="168">
        <v>42461</v>
      </c>
      <c r="CH307" s="37">
        <v>0</v>
      </c>
      <c r="CI307" s="314">
        <f t="shared" si="154"/>
        <v>0</v>
      </c>
      <c r="CJ307" s="312">
        <f t="shared" si="132"/>
        <v>1</v>
      </c>
      <c r="CN307" s="315">
        <f t="shared" si="133"/>
        <v>42461</v>
      </c>
      <c r="CO307" s="312">
        <f t="shared" si="134"/>
        <v>1</v>
      </c>
      <c r="CQ307" s="315">
        <f t="shared" si="135"/>
        <v>42461</v>
      </c>
      <c r="CR307" s="316">
        <f t="shared" si="136"/>
        <v>0.95459999999999989</v>
      </c>
      <c r="CW307" s="655" t="s">
        <v>487</v>
      </c>
    </row>
    <row r="308" spans="2:101" ht="15" customHeight="1">
      <c r="B308" s="163">
        <v>45717</v>
      </c>
      <c r="C308" s="165">
        <v>1518</v>
      </c>
      <c r="D308" s="274">
        <f t="shared" si="137"/>
        <v>45717</v>
      </c>
      <c r="E308" s="275">
        <f t="shared" si="138"/>
        <v>1518</v>
      </c>
      <c r="G308" s="163">
        <v>46082</v>
      </c>
      <c r="H308" s="163">
        <v>46113</v>
      </c>
      <c r="I308" s="164">
        <v>1.735E-3</v>
      </c>
      <c r="J308" s="159">
        <f t="shared" si="139"/>
        <v>46113</v>
      </c>
      <c r="K308" s="278">
        <f t="shared" si="140"/>
        <v>1.735E-3</v>
      </c>
      <c r="M308" s="163">
        <v>44228</v>
      </c>
      <c r="N308" s="163">
        <v>44256</v>
      </c>
      <c r="O308" s="164">
        <v>1.1590000000000001E-3</v>
      </c>
      <c r="P308" s="159">
        <f t="shared" si="128"/>
        <v>44228</v>
      </c>
      <c r="Q308" s="292">
        <f t="shared" si="126"/>
        <v>1.1590000000000001E-3</v>
      </c>
      <c r="S308" s="163">
        <v>44256</v>
      </c>
      <c r="T308" s="164">
        <v>2E-3</v>
      </c>
      <c r="U308" s="159">
        <f t="shared" si="141"/>
        <v>44256</v>
      </c>
      <c r="V308" s="285">
        <f t="shared" si="142"/>
        <v>2E-3</v>
      </c>
      <c r="BM308" s="31" t="s">
        <v>198</v>
      </c>
      <c r="BN308" s="159">
        <f t="shared" si="149"/>
        <v>42491</v>
      </c>
      <c r="BO308" s="162">
        <f t="shared" si="150"/>
        <v>1.304E-3</v>
      </c>
      <c r="BP308" s="278">
        <f t="shared" si="153"/>
        <v>1.304E-3</v>
      </c>
      <c r="BQ308" s="312">
        <f t="shared" si="129"/>
        <v>1.1011475430821811</v>
      </c>
      <c r="BS308" s="31" t="s">
        <v>43</v>
      </c>
      <c r="BT308" s="159">
        <f t="shared" si="145"/>
        <v>42491</v>
      </c>
      <c r="BU308" s="162">
        <f t="shared" si="146"/>
        <v>1.11E-2</v>
      </c>
      <c r="BV308" s="311">
        <f t="shared" si="130"/>
        <v>0.94399999999999984</v>
      </c>
      <c r="BX308" s="358" t="s">
        <v>242</v>
      </c>
      <c r="BY308" s="294">
        <f t="shared" si="151"/>
        <v>42491</v>
      </c>
      <c r="BZ308" s="357">
        <f t="shared" si="152"/>
        <v>5.0000000000000001E-3</v>
      </c>
      <c r="CA308" s="162">
        <f t="shared" si="131"/>
        <v>0.51518200000000081</v>
      </c>
      <c r="CF308" s="31" t="s">
        <v>197</v>
      </c>
      <c r="CG308" s="168">
        <v>42491</v>
      </c>
      <c r="CH308" s="37">
        <v>0</v>
      </c>
      <c r="CI308" s="314">
        <f t="shared" si="154"/>
        <v>0</v>
      </c>
      <c r="CJ308" s="312">
        <f t="shared" si="132"/>
        <v>1</v>
      </c>
      <c r="CN308" s="315">
        <f t="shared" si="133"/>
        <v>42491</v>
      </c>
      <c r="CO308" s="312">
        <f t="shared" si="134"/>
        <v>1</v>
      </c>
      <c r="CQ308" s="315">
        <f t="shared" si="135"/>
        <v>42491</v>
      </c>
      <c r="CR308" s="316">
        <f t="shared" si="136"/>
        <v>0.94399999999999984</v>
      </c>
      <c r="CW308"/>
    </row>
    <row r="309" spans="2:101" ht="15" customHeight="1">
      <c r="B309" s="163">
        <v>45748</v>
      </c>
      <c r="C309" s="165">
        <v>1518</v>
      </c>
      <c r="D309" s="274">
        <f t="shared" si="137"/>
        <v>45748</v>
      </c>
      <c r="E309" s="275">
        <f t="shared" si="138"/>
        <v>1518</v>
      </c>
      <c r="G309" s="163">
        <v>46113</v>
      </c>
      <c r="H309" s="163">
        <v>46143</v>
      </c>
      <c r="I309" s="164">
        <v>1.6789999999999999E-3</v>
      </c>
      <c r="J309" s="159">
        <f t="shared" si="139"/>
        <v>46143</v>
      </c>
      <c r="K309" s="278">
        <f t="shared" si="140"/>
        <v>1.6789999999999999E-3</v>
      </c>
      <c r="M309" s="163">
        <v>44256</v>
      </c>
      <c r="N309" s="163">
        <v>44287</v>
      </c>
      <c r="O309" s="164">
        <v>1.1590000000000001E-3</v>
      </c>
      <c r="P309" s="159">
        <f t="shared" si="128"/>
        <v>44256</v>
      </c>
      <c r="Q309" s="292">
        <f t="shared" si="126"/>
        <v>1.1590000000000001E-3</v>
      </c>
      <c r="S309" s="163">
        <v>44287</v>
      </c>
      <c r="T309" s="164">
        <v>2.0999999999999999E-3</v>
      </c>
      <c r="U309" s="159">
        <f t="shared" si="141"/>
        <v>44287</v>
      </c>
      <c r="V309" s="285">
        <f t="shared" si="142"/>
        <v>2.0999999999999999E-3</v>
      </c>
      <c r="BM309" s="31" t="s">
        <v>198</v>
      </c>
      <c r="BN309" s="159">
        <f t="shared" si="149"/>
        <v>42522</v>
      </c>
      <c r="BO309" s="162">
        <f t="shared" si="150"/>
        <v>1.5330000000000001E-3</v>
      </c>
      <c r="BP309" s="278">
        <f t="shared" si="153"/>
        <v>1.5330000000000001E-3</v>
      </c>
      <c r="BQ309" s="312">
        <f t="shared" si="129"/>
        <v>1.0997135166564611</v>
      </c>
      <c r="BS309" s="31" t="s">
        <v>43</v>
      </c>
      <c r="BT309" s="159">
        <f t="shared" si="145"/>
        <v>42522</v>
      </c>
      <c r="BU309" s="162">
        <f t="shared" si="146"/>
        <v>1.1599999999999999E-2</v>
      </c>
      <c r="BV309" s="311">
        <f t="shared" si="130"/>
        <v>0.93289999999999984</v>
      </c>
      <c r="BX309" s="358" t="s">
        <v>242</v>
      </c>
      <c r="BY309" s="294">
        <f t="shared" si="151"/>
        <v>42522</v>
      </c>
      <c r="BZ309" s="357">
        <f t="shared" si="152"/>
        <v>5.0000000000000001E-3</v>
      </c>
      <c r="CA309" s="162">
        <f t="shared" si="131"/>
        <v>0.5101820000000008</v>
      </c>
      <c r="CF309" s="31" t="s">
        <v>197</v>
      </c>
      <c r="CG309" s="168">
        <v>42522</v>
      </c>
      <c r="CH309" s="37">
        <v>0</v>
      </c>
      <c r="CI309" s="314">
        <f t="shared" si="154"/>
        <v>0</v>
      </c>
      <c r="CJ309" s="312">
        <f t="shared" si="132"/>
        <v>1</v>
      </c>
      <c r="CN309" s="315">
        <f t="shared" si="133"/>
        <v>42522</v>
      </c>
      <c r="CO309" s="312">
        <f t="shared" si="134"/>
        <v>1</v>
      </c>
      <c r="CQ309" s="315">
        <f t="shared" si="135"/>
        <v>42522</v>
      </c>
      <c r="CR309" s="316">
        <f t="shared" si="136"/>
        <v>0.93289999999999984</v>
      </c>
      <c r="CW309" s="650" t="s">
        <v>488</v>
      </c>
    </row>
    <row r="310" spans="2:101" ht="15" customHeight="1">
      <c r="B310" s="163">
        <v>45778</v>
      </c>
      <c r="C310" s="165">
        <v>1518</v>
      </c>
      <c r="D310" s="274">
        <f t="shared" si="137"/>
        <v>45778</v>
      </c>
      <c r="E310" s="275">
        <f t="shared" si="138"/>
        <v>1518</v>
      </c>
      <c r="G310" s="163">
        <v>46143</v>
      </c>
      <c r="H310" s="163">
        <v>46174</v>
      </c>
      <c r="I310" s="164">
        <v>1.6869999999999999E-3</v>
      </c>
      <c r="J310" s="159">
        <f t="shared" si="139"/>
        <v>46174</v>
      </c>
      <c r="K310" s="278">
        <f t="shared" si="140"/>
        <v>1.6869999999999999E-3</v>
      </c>
      <c r="M310" s="163">
        <v>44287</v>
      </c>
      <c r="N310" s="163">
        <v>44317</v>
      </c>
      <c r="O310" s="164">
        <v>1.5900000000000001E-3</v>
      </c>
      <c r="P310" s="159">
        <f t="shared" si="128"/>
        <v>44287</v>
      </c>
      <c r="Q310" s="292">
        <f t="shared" si="126"/>
        <v>1.5900000000000001E-3</v>
      </c>
      <c r="S310" s="163">
        <v>44317</v>
      </c>
      <c r="T310" s="164">
        <v>2.7000000000000001E-3</v>
      </c>
      <c r="U310" s="159">
        <f t="shared" si="141"/>
        <v>44317</v>
      </c>
      <c r="V310" s="285">
        <f t="shared" si="142"/>
        <v>2.7000000000000001E-3</v>
      </c>
      <c r="BM310" s="31" t="s">
        <v>198</v>
      </c>
      <c r="BN310" s="159">
        <f t="shared" si="149"/>
        <v>42552</v>
      </c>
      <c r="BO310" s="162">
        <f t="shared" si="150"/>
        <v>2.0430000000000001E-3</v>
      </c>
      <c r="BP310" s="278">
        <f t="shared" si="153"/>
        <v>2.0430000000000001E-3</v>
      </c>
      <c r="BQ310" s="312">
        <f t="shared" si="129"/>
        <v>1.0980302363042067</v>
      </c>
      <c r="BS310" s="31" t="s">
        <v>43</v>
      </c>
      <c r="BT310" s="159">
        <f t="shared" si="145"/>
        <v>42552</v>
      </c>
      <c r="BU310" s="162">
        <f t="shared" si="146"/>
        <v>1.11E-2</v>
      </c>
      <c r="BV310" s="311">
        <f t="shared" si="130"/>
        <v>0.9212999999999999</v>
      </c>
      <c r="BX310" s="358" t="s">
        <v>242</v>
      </c>
      <c r="BY310" s="294">
        <f t="shared" si="151"/>
        <v>42552</v>
      </c>
      <c r="BZ310" s="357">
        <f t="shared" si="152"/>
        <v>5.0000000000000001E-3</v>
      </c>
      <c r="CA310" s="162">
        <f t="shared" si="131"/>
        <v>0.5051820000000008</v>
      </c>
      <c r="CF310" s="31" t="s">
        <v>197</v>
      </c>
      <c r="CG310" s="168">
        <v>42552</v>
      </c>
      <c r="CH310" s="37">
        <v>0</v>
      </c>
      <c r="CI310" s="314">
        <f t="shared" si="154"/>
        <v>0</v>
      </c>
      <c r="CJ310" s="312">
        <f t="shared" si="132"/>
        <v>1</v>
      </c>
      <c r="CN310" s="315">
        <f t="shared" si="133"/>
        <v>42552</v>
      </c>
      <c r="CO310" s="312">
        <f t="shared" si="134"/>
        <v>1</v>
      </c>
      <c r="CQ310" s="315">
        <f t="shared" si="135"/>
        <v>42552</v>
      </c>
      <c r="CR310" s="316">
        <f t="shared" si="136"/>
        <v>0.9212999999999999</v>
      </c>
      <c r="CW310" s="661" t="s">
        <v>489</v>
      </c>
    </row>
    <row r="311" spans="2:101" ht="15" customHeight="1">
      <c r="B311" s="163">
        <v>45809</v>
      </c>
      <c r="C311" s="165">
        <v>1518</v>
      </c>
      <c r="D311" s="274">
        <f t="shared" si="137"/>
        <v>45809</v>
      </c>
      <c r="E311" s="275">
        <f t="shared" si="138"/>
        <v>1518</v>
      </c>
      <c r="G311" s="163">
        <v>46174</v>
      </c>
      <c r="H311" s="163">
        <v>46204</v>
      </c>
      <c r="I311" s="164">
        <v>1.709E-3</v>
      </c>
      <c r="J311" s="159">
        <f t="shared" si="139"/>
        <v>46204</v>
      </c>
      <c r="K311" s="278">
        <f t="shared" si="140"/>
        <v>1.709E-3</v>
      </c>
      <c r="M311" s="163">
        <v>44317</v>
      </c>
      <c r="N311" s="163">
        <v>44348</v>
      </c>
      <c r="O311" s="164">
        <v>1.5900000000000001E-3</v>
      </c>
      <c r="P311" s="159">
        <f t="shared" si="128"/>
        <v>44317</v>
      </c>
      <c r="Q311" s="292">
        <f t="shared" si="126"/>
        <v>1.5900000000000001E-3</v>
      </c>
      <c r="S311" s="163">
        <v>44348</v>
      </c>
      <c r="T311" s="164">
        <v>3.0999999999999999E-3</v>
      </c>
      <c r="U311" s="159">
        <f t="shared" si="141"/>
        <v>44348</v>
      </c>
      <c r="V311" s="285">
        <f t="shared" si="142"/>
        <v>3.0999999999999999E-3</v>
      </c>
      <c r="BM311" s="31" t="s">
        <v>198</v>
      </c>
      <c r="BN311" s="159">
        <f t="shared" si="149"/>
        <v>42583</v>
      </c>
      <c r="BO311" s="162">
        <f t="shared" si="150"/>
        <v>1.621E-3</v>
      </c>
      <c r="BP311" s="278">
        <f t="shared" si="153"/>
        <v>1.621E-3</v>
      </c>
      <c r="BQ311" s="312">
        <f t="shared" si="129"/>
        <v>1.0957915341998363</v>
      </c>
      <c r="BS311" s="31" t="s">
        <v>43</v>
      </c>
      <c r="BT311" s="159">
        <f t="shared" si="145"/>
        <v>42583</v>
      </c>
      <c r="BU311" s="162">
        <f t="shared" si="146"/>
        <v>1.2200000000000001E-2</v>
      </c>
      <c r="BV311" s="311">
        <f t="shared" si="130"/>
        <v>0.9101999999999999</v>
      </c>
      <c r="BX311" s="358" t="s">
        <v>242</v>
      </c>
      <c r="BY311" s="294">
        <f t="shared" si="151"/>
        <v>42583</v>
      </c>
      <c r="BZ311" s="357">
        <f t="shared" si="152"/>
        <v>5.0000000000000001E-3</v>
      </c>
      <c r="CA311" s="162">
        <f t="shared" si="131"/>
        <v>0.50018200000000079</v>
      </c>
      <c r="CF311" s="31" t="s">
        <v>197</v>
      </c>
      <c r="CG311" s="168">
        <v>42583</v>
      </c>
      <c r="CH311" s="37">
        <v>0</v>
      </c>
      <c r="CI311" s="314">
        <f t="shared" si="154"/>
        <v>0</v>
      </c>
      <c r="CJ311" s="312">
        <f t="shared" si="132"/>
        <v>1</v>
      </c>
      <c r="CN311" s="315">
        <f t="shared" si="133"/>
        <v>42583</v>
      </c>
      <c r="CO311" s="312">
        <f t="shared" si="134"/>
        <v>1</v>
      </c>
      <c r="CQ311" s="315">
        <f t="shared" si="135"/>
        <v>42583</v>
      </c>
      <c r="CR311" s="316">
        <f t="shared" si="136"/>
        <v>0.9101999999999999</v>
      </c>
      <c r="CW311" s="655" t="s">
        <v>445</v>
      </c>
    </row>
    <row r="312" spans="2:101" ht="15" customHeight="1">
      <c r="B312" s="163">
        <v>45839</v>
      </c>
      <c r="C312" s="165">
        <v>1518</v>
      </c>
      <c r="D312" s="274">
        <f t="shared" si="137"/>
        <v>45839</v>
      </c>
      <c r="E312" s="275">
        <f t="shared" si="138"/>
        <v>1518</v>
      </c>
      <c r="G312" s="163">
        <v>46204</v>
      </c>
      <c r="H312" s="163">
        <v>46235</v>
      </c>
      <c r="I312" s="164">
        <v>1.7290000000000001E-3</v>
      </c>
      <c r="J312" s="159">
        <f t="shared" si="139"/>
        <v>46235</v>
      </c>
      <c r="K312" s="278">
        <f t="shared" si="140"/>
        <v>1.7290000000000001E-3</v>
      </c>
      <c r="M312" s="163">
        <v>44348</v>
      </c>
      <c r="N312" s="163">
        <v>44378</v>
      </c>
      <c r="O312" s="164">
        <v>2.019E-3</v>
      </c>
      <c r="P312" s="159">
        <f t="shared" si="128"/>
        <v>44348</v>
      </c>
      <c r="Q312" s="292">
        <f t="shared" si="126"/>
        <v>2.019E-3</v>
      </c>
      <c r="S312" s="163">
        <v>44378</v>
      </c>
      <c r="T312" s="164">
        <v>3.5999999999999999E-3</v>
      </c>
      <c r="U312" s="159">
        <f t="shared" si="141"/>
        <v>44378</v>
      </c>
      <c r="V312" s="285">
        <f t="shared" si="142"/>
        <v>3.5999999999999999E-3</v>
      </c>
      <c r="BM312" s="31" t="s">
        <v>198</v>
      </c>
      <c r="BN312" s="159">
        <f t="shared" si="149"/>
        <v>42614</v>
      </c>
      <c r="BO312" s="162">
        <f t="shared" si="150"/>
        <v>2.545E-3</v>
      </c>
      <c r="BP312" s="278">
        <f t="shared" si="153"/>
        <v>2.545E-3</v>
      </c>
      <c r="BQ312" s="312">
        <f t="shared" si="129"/>
        <v>1.0940181308097936</v>
      </c>
      <c r="BS312" s="31" t="s">
        <v>43</v>
      </c>
      <c r="BT312" s="159">
        <f t="shared" si="145"/>
        <v>42614</v>
      </c>
      <c r="BU312" s="162">
        <f t="shared" si="146"/>
        <v>1.11E-2</v>
      </c>
      <c r="BV312" s="311">
        <f t="shared" si="130"/>
        <v>0.89799999999999991</v>
      </c>
      <c r="BX312" s="358" t="s">
        <v>242</v>
      </c>
      <c r="BY312" s="294">
        <f t="shared" si="151"/>
        <v>42614</v>
      </c>
      <c r="BZ312" s="357">
        <f t="shared" si="152"/>
        <v>5.0000000000000001E-3</v>
      </c>
      <c r="CA312" s="162">
        <f t="shared" si="131"/>
        <v>0.49518200000000079</v>
      </c>
      <c r="CF312" s="31" t="s">
        <v>197</v>
      </c>
      <c r="CG312" s="168">
        <v>42614</v>
      </c>
      <c r="CH312" s="37">
        <v>0</v>
      </c>
      <c r="CI312" s="314">
        <f t="shared" si="154"/>
        <v>0</v>
      </c>
      <c r="CJ312" s="312">
        <f t="shared" si="132"/>
        <v>1</v>
      </c>
      <c r="CN312" s="315">
        <f t="shared" si="133"/>
        <v>42614</v>
      </c>
      <c r="CO312" s="312">
        <f t="shared" si="134"/>
        <v>1</v>
      </c>
      <c r="CQ312" s="315">
        <f t="shared" si="135"/>
        <v>42614</v>
      </c>
      <c r="CR312" s="316">
        <f t="shared" si="136"/>
        <v>0.89799999999999991</v>
      </c>
      <c r="CW312"/>
    </row>
    <row r="313" spans="2:101" ht="15" customHeight="1">
      <c r="B313" s="163">
        <v>45870</v>
      </c>
      <c r="C313" s="165">
        <v>1518</v>
      </c>
      <c r="D313" s="274">
        <f t="shared" si="137"/>
        <v>45870</v>
      </c>
      <c r="E313" s="275">
        <f t="shared" si="138"/>
        <v>1518</v>
      </c>
      <c r="G313" s="163">
        <v>46235</v>
      </c>
      <c r="H313" s="163">
        <v>46266</v>
      </c>
      <c r="I313" s="164">
        <v>1.6930000000000001E-3</v>
      </c>
      <c r="J313" s="159">
        <f t="shared" si="139"/>
        <v>46266</v>
      </c>
      <c r="K313" s="278">
        <f t="shared" si="140"/>
        <v>1.6930000000000001E-3</v>
      </c>
      <c r="M313" s="163">
        <v>44378</v>
      </c>
      <c r="N313" s="163">
        <v>44409</v>
      </c>
      <c r="O313" s="164">
        <v>2.4459999999999998E-3</v>
      </c>
      <c r="P313" s="159">
        <f t="shared" si="128"/>
        <v>44378</v>
      </c>
      <c r="Q313" s="292">
        <f t="shared" si="126"/>
        <v>2.4459999999999998E-3</v>
      </c>
      <c r="S313" s="163">
        <v>44409</v>
      </c>
      <c r="T313" s="164">
        <v>4.3E-3</v>
      </c>
      <c r="U313" s="159">
        <f t="shared" si="141"/>
        <v>44409</v>
      </c>
      <c r="V313" s="285">
        <f t="shared" si="142"/>
        <v>4.3E-3</v>
      </c>
      <c r="BM313" s="31" t="s">
        <v>198</v>
      </c>
      <c r="BN313" s="159">
        <f t="shared" si="149"/>
        <v>42644</v>
      </c>
      <c r="BO313" s="162">
        <f t="shared" si="150"/>
        <v>1.575E-3</v>
      </c>
      <c r="BP313" s="278">
        <f t="shared" si="153"/>
        <v>1.575E-3</v>
      </c>
      <c r="BQ313" s="312">
        <f t="shared" si="129"/>
        <v>1.0912409226616198</v>
      </c>
      <c r="BS313" s="31" t="s">
        <v>43</v>
      </c>
      <c r="BT313" s="159">
        <f t="shared" si="145"/>
        <v>42644</v>
      </c>
      <c r="BU313" s="162">
        <f t="shared" si="146"/>
        <v>1.0500000000000001E-2</v>
      </c>
      <c r="BV313" s="311">
        <f t="shared" si="130"/>
        <v>0.88689999999999991</v>
      </c>
      <c r="BX313" s="358" t="s">
        <v>242</v>
      </c>
      <c r="BY313" s="294">
        <f t="shared" si="151"/>
        <v>42644</v>
      </c>
      <c r="BZ313" s="357">
        <f t="shared" si="152"/>
        <v>5.0000000000000001E-3</v>
      </c>
      <c r="CA313" s="162">
        <f t="shared" si="131"/>
        <v>0.49018200000000078</v>
      </c>
      <c r="CF313" s="31" t="s">
        <v>197</v>
      </c>
      <c r="CG313" s="168">
        <v>42644</v>
      </c>
      <c r="CH313" s="37">
        <v>0</v>
      </c>
      <c r="CI313" s="314">
        <f t="shared" si="154"/>
        <v>0</v>
      </c>
      <c r="CJ313" s="312">
        <f t="shared" si="132"/>
        <v>1</v>
      </c>
      <c r="CN313" s="315">
        <f t="shared" si="133"/>
        <v>42644</v>
      </c>
      <c r="CO313" s="312">
        <f t="shared" si="134"/>
        <v>1</v>
      </c>
      <c r="CQ313" s="315">
        <f t="shared" si="135"/>
        <v>42644</v>
      </c>
      <c r="CR313" s="316">
        <f t="shared" si="136"/>
        <v>0.88689999999999991</v>
      </c>
      <c r="CW313" s="650" t="s">
        <v>490</v>
      </c>
    </row>
    <row r="314" spans="2:101" ht="15" customHeight="1">
      <c r="B314" s="163">
        <v>45901</v>
      </c>
      <c r="C314" s="165">
        <v>1518</v>
      </c>
      <c r="D314" s="274">
        <f t="shared" si="137"/>
        <v>45901</v>
      </c>
      <c r="E314" s="275">
        <f t="shared" si="138"/>
        <v>1518</v>
      </c>
      <c r="G314" s="283"/>
      <c r="H314" s="283"/>
      <c r="I314" s="284"/>
      <c r="J314" s="159">
        <f t="shared" si="139"/>
        <v>46296</v>
      </c>
      <c r="K314" s="278">
        <f t="shared" si="140"/>
        <v>0</v>
      </c>
      <c r="M314" s="163">
        <v>44409</v>
      </c>
      <c r="N314" s="163">
        <v>44440</v>
      </c>
      <c r="O314" s="164">
        <v>2.4459999999999998E-3</v>
      </c>
      <c r="P314" s="159">
        <f t="shared" si="128"/>
        <v>44409</v>
      </c>
      <c r="Q314" s="292">
        <f t="shared" si="126"/>
        <v>2.4459999999999998E-3</v>
      </c>
      <c r="S314" s="163">
        <v>44440</v>
      </c>
      <c r="T314" s="164">
        <v>4.4000000000000003E-3</v>
      </c>
      <c r="U314" s="159">
        <f t="shared" si="141"/>
        <v>44440</v>
      </c>
      <c r="V314" s="285">
        <f t="shared" si="142"/>
        <v>4.4000000000000003E-3</v>
      </c>
      <c r="BM314" s="31" t="s">
        <v>198</v>
      </c>
      <c r="BN314" s="159">
        <f t="shared" si="149"/>
        <v>42675</v>
      </c>
      <c r="BO314" s="162">
        <f t="shared" si="150"/>
        <v>1.601E-3</v>
      </c>
      <c r="BP314" s="278">
        <f t="shared" si="153"/>
        <v>1.601E-3</v>
      </c>
      <c r="BQ314" s="312">
        <f t="shared" si="129"/>
        <v>1.0895249209111846</v>
      </c>
      <c r="BS314" s="31" t="s">
        <v>43</v>
      </c>
      <c r="BT314" s="159">
        <f t="shared" si="145"/>
        <v>42675</v>
      </c>
      <c r="BU314" s="162">
        <f t="shared" si="146"/>
        <v>1.04E-2</v>
      </c>
      <c r="BV314" s="311">
        <f t="shared" si="130"/>
        <v>0.87639999999999996</v>
      </c>
      <c r="BX314" s="358" t="s">
        <v>242</v>
      </c>
      <c r="BY314" s="294">
        <f t="shared" si="151"/>
        <v>42675</v>
      </c>
      <c r="BZ314" s="357">
        <f t="shared" si="152"/>
        <v>5.0000000000000001E-3</v>
      </c>
      <c r="CA314" s="162">
        <f t="shared" si="131"/>
        <v>0.48518200000000078</v>
      </c>
      <c r="CF314" s="31" t="s">
        <v>197</v>
      </c>
      <c r="CG314" s="168">
        <v>42675</v>
      </c>
      <c r="CH314" s="37">
        <v>0</v>
      </c>
      <c r="CI314" s="314">
        <f t="shared" si="154"/>
        <v>0</v>
      </c>
      <c r="CJ314" s="312">
        <f t="shared" si="132"/>
        <v>1</v>
      </c>
      <c r="CN314" s="315">
        <f t="shared" si="133"/>
        <v>42675</v>
      </c>
      <c r="CO314" s="312">
        <f t="shared" si="134"/>
        <v>1</v>
      </c>
      <c r="CQ314" s="315">
        <f t="shared" si="135"/>
        <v>42675</v>
      </c>
      <c r="CR314" s="316">
        <f t="shared" si="136"/>
        <v>0.87639999999999996</v>
      </c>
      <c r="CW314" s="661" t="s">
        <v>491</v>
      </c>
    </row>
    <row r="315" spans="2:101" ht="15" customHeight="1">
      <c r="B315" s="163">
        <v>45931</v>
      </c>
      <c r="C315" s="165">
        <v>1518</v>
      </c>
      <c r="D315" s="274">
        <f t="shared" si="137"/>
        <v>45931</v>
      </c>
      <c r="E315" s="275">
        <f t="shared" si="138"/>
        <v>1518</v>
      </c>
      <c r="G315" s="283"/>
      <c r="H315" s="283"/>
      <c r="I315" s="284"/>
      <c r="J315" s="159" t="str">
        <f t="shared" si="139"/>
        <v/>
      </c>
      <c r="K315" s="278" t="str">
        <f t="shared" si="140"/>
        <v/>
      </c>
      <c r="M315" s="163">
        <v>44440</v>
      </c>
      <c r="N315" s="163">
        <v>44470</v>
      </c>
      <c r="O315" s="164">
        <v>3.0119999999999999E-3</v>
      </c>
      <c r="P315" s="159">
        <f t="shared" si="128"/>
        <v>44440</v>
      </c>
      <c r="Q315" s="292">
        <f t="shared" si="126"/>
        <v>3.0119999999999999E-3</v>
      </c>
      <c r="S315" s="163">
        <v>44470</v>
      </c>
      <c r="T315" s="164">
        <v>4.8999999999999998E-3</v>
      </c>
      <c r="U315" s="159">
        <f t="shared" si="141"/>
        <v>44470</v>
      </c>
      <c r="V315" s="285">
        <f t="shared" si="142"/>
        <v>4.8999999999999998E-3</v>
      </c>
      <c r="BM315" s="31" t="s">
        <v>198</v>
      </c>
      <c r="BN315" s="159">
        <f t="shared" si="149"/>
        <v>42705</v>
      </c>
      <c r="BO315" s="162">
        <f t="shared" si="150"/>
        <v>1.428E-3</v>
      </c>
      <c r="BP315" s="278">
        <f t="shared" si="153"/>
        <v>1.428E-3</v>
      </c>
      <c r="BQ315" s="312">
        <f t="shared" si="129"/>
        <v>1.0877833797202525</v>
      </c>
      <c r="BS315" s="31" t="s">
        <v>43</v>
      </c>
      <c r="BT315" s="159">
        <f t="shared" si="145"/>
        <v>42705</v>
      </c>
      <c r="BU315" s="162">
        <f t="shared" si="146"/>
        <v>1.12E-2</v>
      </c>
      <c r="BV315" s="311">
        <f t="shared" si="130"/>
        <v>0.86599999999999999</v>
      </c>
      <c r="BX315" s="358" t="s">
        <v>242</v>
      </c>
      <c r="BY315" s="294">
        <f t="shared" si="151"/>
        <v>42705</v>
      </c>
      <c r="BZ315" s="357">
        <f t="shared" si="152"/>
        <v>5.0000000000000001E-3</v>
      </c>
      <c r="CA315" s="162">
        <f t="shared" si="131"/>
        <v>0.48018200000000077</v>
      </c>
      <c r="CF315" s="31" t="s">
        <v>197</v>
      </c>
      <c r="CG315" s="168">
        <v>42705</v>
      </c>
      <c r="CH315" s="37">
        <v>0</v>
      </c>
      <c r="CI315" s="314">
        <f t="shared" si="154"/>
        <v>0</v>
      </c>
      <c r="CJ315" s="312">
        <f t="shared" si="132"/>
        <v>1</v>
      </c>
      <c r="CN315" s="315">
        <f t="shared" si="133"/>
        <v>42705</v>
      </c>
      <c r="CO315" s="312">
        <f t="shared" si="134"/>
        <v>1</v>
      </c>
      <c r="CQ315" s="315">
        <f t="shared" si="135"/>
        <v>42705</v>
      </c>
      <c r="CR315" s="316">
        <f t="shared" si="136"/>
        <v>0.86599999999999999</v>
      </c>
      <c r="CW315" s="655" t="s">
        <v>492</v>
      </c>
    </row>
    <row r="316" spans="2:101" ht="15" customHeight="1">
      <c r="B316" s="163">
        <v>45962</v>
      </c>
      <c r="C316" s="165">
        <v>1518</v>
      </c>
      <c r="D316" s="274">
        <f t="shared" si="137"/>
        <v>45962</v>
      </c>
      <c r="E316" s="275">
        <f t="shared" si="138"/>
        <v>1518</v>
      </c>
      <c r="G316" s="283"/>
      <c r="H316" s="283"/>
      <c r="I316" s="284"/>
      <c r="J316" s="159" t="str">
        <f t="shared" si="139"/>
        <v/>
      </c>
      <c r="K316" s="278" t="str">
        <f t="shared" si="140"/>
        <v/>
      </c>
      <c r="M316" s="163">
        <v>44470</v>
      </c>
      <c r="N316" s="163">
        <v>44501</v>
      </c>
      <c r="O316" s="164">
        <v>3.5750000000000001E-3</v>
      </c>
      <c r="P316" s="159">
        <f t="shared" si="128"/>
        <v>44470</v>
      </c>
      <c r="Q316" s="292">
        <f t="shared" si="126"/>
        <v>3.5750000000000001E-3</v>
      </c>
      <c r="S316" s="163">
        <v>44501</v>
      </c>
      <c r="T316" s="164">
        <v>5.8999999999999999E-3</v>
      </c>
      <c r="U316" s="159">
        <f t="shared" si="141"/>
        <v>44501</v>
      </c>
      <c r="V316" s="285">
        <f t="shared" si="142"/>
        <v>5.8999999999999999E-3</v>
      </c>
      <c r="BM316" s="31" t="s">
        <v>198</v>
      </c>
      <c r="BN316" s="159">
        <f t="shared" si="149"/>
        <v>42736</v>
      </c>
      <c r="BO316" s="162">
        <f t="shared" si="150"/>
        <v>1.8489999999999999E-3</v>
      </c>
      <c r="BP316" s="278">
        <f t="shared" si="153"/>
        <v>1.8489999999999999E-3</v>
      </c>
      <c r="BQ316" s="312">
        <f t="shared" si="129"/>
        <v>1.0862322400814162</v>
      </c>
      <c r="BS316" s="31" t="s">
        <v>43</v>
      </c>
      <c r="BT316" s="159">
        <f t="shared" si="145"/>
        <v>42736</v>
      </c>
      <c r="BU316" s="162">
        <f t="shared" si="146"/>
        <v>1.09E-2</v>
      </c>
      <c r="BV316" s="311">
        <f t="shared" si="130"/>
        <v>0.8548</v>
      </c>
      <c r="BX316" s="358" t="s">
        <v>242</v>
      </c>
      <c r="BY316" s="294">
        <f t="shared" si="151"/>
        <v>42736</v>
      </c>
      <c r="BZ316" s="357">
        <f t="shared" si="152"/>
        <v>5.0000000000000001E-3</v>
      </c>
      <c r="CA316" s="162">
        <f t="shared" si="131"/>
        <v>0.47518200000000077</v>
      </c>
      <c r="CF316" s="31" t="s">
        <v>197</v>
      </c>
      <c r="CG316" s="168">
        <v>42736</v>
      </c>
      <c r="CH316" s="37">
        <v>0</v>
      </c>
      <c r="CI316" s="314">
        <f t="shared" si="154"/>
        <v>0</v>
      </c>
      <c r="CJ316" s="312">
        <f t="shared" si="132"/>
        <v>1</v>
      </c>
      <c r="CN316" s="315">
        <f t="shared" si="133"/>
        <v>42736</v>
      </c>
      <c r="CO316" s="312">
        <f t="shared" si="134"/>
        <v>1</v>
      </c>
      <c r="CQ316" s="315">
        <f t="shared" si="135"/>
        <v>42736</v>
      </c>
      <c r="CR316" s="316">
        <f t="shared" si="136"/>
        <v>0.8548</v>
      </c>
      <c r="CW316"/>
    </row>
    <row r="317" spans="2:101" ht="15" customHeight="1">
      <c r="B317" s="163">
        <v>45992</v>
      </c>
      <c r="C317" s="165">
        <v>1518</v>
      </c>
      <c r="D317" s="274">
        <f t="shared" si="137"/>
        <v>45992</v>
      </c>
      <c r="E317" s="275">
        <f t="shared" si="138"/>
        <v>1518</v>
      </c>
      <c r="G317" s="283"/>
      <c r="H317" s="283"/>
      <c r="I317" s="284"/>
      <c r="J317" s="159" t="str">
        <f t="shared" si="139"/>
        <v/>
      </c>
      <c r="K317" s="278" t="str">
        <f t="shared" si="140"/>
        <v/>
      </c>
      <c r="M317" s="163">
        <v>44501</v>
      </c>
      <c r="N317" s="163">
        <v>44531</v>
      </c>
      <c r="O317" s="164">
        <v>4.4120000000000001E-3</v>
      </c>
      <c r="P317" s="159">
        <f t="shared" si="128"/>
        <v>44501</v>
      </c>
      <c r="Q317" s="292">
        <f t="shared" si="126"/>
        <v>4.4120000000000001E-3</v>
      </c>
      <c r="S317" s="163">
        <v>44531</v>
      </c>
      <c r="T317" s="164">
        <v>7.7000000000000002E-3</v>
      </c>
      <c r="U317" s="159">
        <f t="shared" si="141"/>
        <v>44531</v>
      </c>
      <c r="V317" s="285">
        <f t="shared" si="142"/>
        <v>7.7000000000000002E-3</v>
      </c>
      <c r="BM317" s="31" t="s">
        <v>198</v>
      </c>
      <c r="BN317" s="159">
        <f t="shared" si="149"/>
        <v>42767</v>
      </c>
      <c r="BO317" s="162">
        <f t="shared" si="150"/>
        <v>1.6999999999999999E-3</v>
      </c>
      <c r="BP317" s="278">
        <f t="shared" si="153"/>
        <v>1.6999999999999999E-3</v>
      </c>
      <c r="BQ317" s="312">
        <f t="shared" si="129"/>
        <v>1.0842275034275786</v>
      </c>
      <c r="BS317" s="31" t="s">
        <v>43</v>
      </c>
      <c r="BT317" s="159">
        <f t="shared" si="145"/>
        <v>42767</v>
      </c>
      <c r="BU317" s="162">
        <f t="shared" si="146"/>
        <v>8.6999999999999994E-3</v>
      </c>
      <c r="BV317" s="311">
        <f t="shared" si="130"/>
        <v>0.84389999999999998</v>
      </c>
      <c r="BX317" s="358" t="s">
        <v>242</v>
      </c>
      <c r="BY317" s="294">
        <f t="shared" si="151"/>
        <v>42767</v>
      </c>
      <c r="BZ317" s="357">
        <f t="shared" si="152"/>
        <v>5.0000000000000001E-3</v>
      </c>
      <c r="CA317" s="162">
        <f t="shared" si="131"/>
        <v>0.47018200000000077</v>
      </c>
      <c r="CF317" s="31" t="s">
        <v>197</v>
      </c>
      <c r="CG317" s="168">
        <v>42767</v>
      </c>
      <c r="CH317" s="37">
        <v>0</v>
      </c>
      <c r="CI317" s="314">
        <f t="shared" si="154"/>
        <v>0</v>
      </c>
      <c r="CJ317" s="312">
        <f t="shared" si="132"/>
        <v>1</v>
      </c>
      <c r="CN317" s="315">
        <f t="shared" si="133"/>
        <v>42767</v>
      </c>
      <c r="CO317" s="312">
        <f t="shared" si="134"/>
        <v>1</v>
      </c>
      <c r="CQ317" s="315">
        <f t="shared" si="135"/>
        <v>42767</v>
      </c>
      <c r="CR317" s="316">
        <f t="shared" si="136"/>
        <v>0.84389999999999998</v>
      </c>
      <c r="CW317" s="650" t="s">
        <v>493</v>
      </c>
    </row>
    <row r="318" spans="2:101" ht="15" customHeight="1">
      <c r="B318" s="163">
        <v>46023</v>
      </c>
      <c r="C318" s="165">
        <v>1621</v>
      </c>
      <c r="D318" s="274">
        <f t="shared" si="137"/>
        <v>46023</v>
      </c>
      <c r="E318" s="275">
        <f t="shared" si="138"/>
        <v>1621</v>
      </c>
      <c r="G318" s="283"/>
      <c r="H318" s="283"/>
      <c r="I318" s="284"/>
      <c r="J318" s="159" t="str">
        <f t="shared" si="139"/>
        <v/>
      </c>
      <c r="K318" s="278" t="str">
        <f t="shared" si="140"/>
        <v/>
      </c>
      <c r="M318" s="163">
        <v>44531</v>
      </c>
      <c r="N318" s="163">
        <v>44562</v>
      </c>
      <c r="O318" s="164">
        <v>4.4120000000000001E-3</v>
      </c>
      <c r="P318" s="159">
        <f t="shared" si="128"/>
        <v>44531</v>
      </c>
      <c r="Q318" s="292">
        <f t="shared" si="126"/>
        <v>4.4120000000000001E-3</v>
      </c>
      <c r="S318" s="163">
        <v>44562</v>
      </c>
      <c r="T318" s="164">
        <v>7.3000000000000001E-3</v>
      </c>
      <c r="U318" s="159">
        <f t="shared" si="141"/>
        <v>44562</v>
      </c>
      <c r="V318" s="285">
        <f t="shared" si="142"/>
        <v>7.3000000000000001E-3</v>
      </c>
      <c r="BM318" s="31" t="s">
        <v>198</v>
      </c>
      <c r="BN318" s="159">
        <f t="shared" si="149"/>
        <v>42795</v>
      </c>
      <c r="BO318" s="162">
        <f t="shared" si="150"/>
        <v>3.0200000000000002E-4</v>
      </c>
      <c r="BP318" s="278">
        <f t="shared" si="153"/>
        <v>3.0200000000000002E-4</v>
      </c>
      <c r="BQ318" s="312">
        <f t="shared" si="129"/>
        <v>1.082387444771467</v>
      </c>
      <c r="BS318" s="31" t="s">
        <v>43</v>
      </c>
      <c r="BT318" s="159">
        <f t="shared" si="145"/>
        <v>42795</v>
      </c>
      <c r="BU318" s="162">
        <f t="shared" si="146"/>
        <v>1.0500000000000001E-2</v>
      </c>
      <c r="BV318" s="311">
        <f t="shared" si="130"/>
        <v>0.83519999999999994</v>
      </c>
      <c r="BX318" s="358" t="s">
        <v>242</v>
      </c>
      <c r="BY318" s="294">
        <f t="shared" si="151"/>
        <v>42795</v>
      </c>
      <c r="BZ318" s="357">
        <f t="shared" si="152"/>
        <v>5.0000000000000001E-3</v>
      </c>
      <c r="CA318" s="162">
        <f t="shared" si="131"/>
        <v>0.46518200000000076</v>
      </c>
      <c r="CF318" s="31" t="s">
        <v>197</v>
      </c>
      <c r="CG318" s="168">
        <v>42795</v>
      </c>
      <c r="CH318" s="37">
        <v>0</v>
      </c>
      <c r="CI318" s="314">
        <f t="shared" si="154"/>
        <v>0</v>
      </c>
      <c r="CJ318" s="312">
        <f t="shared" si="132"/>
        <v>1</v>
      </c>
      <c r="CN318" s="315">
        <f t="shared" si="133"/>
        <v>42795</v>
      </c>
      <c r="CO318" s="312">
        <f t="shared" si="134"/>
        <v>1</v>
      </c>
      <c r="CQ318" s="315">
        <f t="shared" si="135"/>
        <v>42795</v>
      </c>
      <c r="CR318" s="316">
        <f t="shared" si="136"/>
        <v>0.83519999999999994</v>
      </c>
      <c r="CW318" s="661" t="s">
        <v>491</v>
      </c>
    </row>
    <row r="319" spans="2:101" ht="15" customHeight="1">
      <c r="B319" s="163">
        <v>46054</v>
      </c>
      <c r="C319" s="165">
        <v>1621</v>
      </c>
      <c r="D319" s="274">
        <f t="shared" si="137"/>
        <v>46054</v>
      </c>
      <c r="E319" s="275">
        <f t="shared" si="138"/>
        <v>1621</v>
      </c>
      <c r="G319" s="283"/>
      <c r="H319" s="283"/>
      <c r="I319" s="284"/>
      <c r="J319" s="159" t="str">
        <f t="shared" si="139"/>
        <v/>
      </c>
      <c r="K319" s="278" t="str">
        <f t="shared" si="140"/>
        <v/>
      </c>
      <c r="M319" s="163">
        <v>44562</v>
      </c>
      <c r="N319" s="163">
        <v>44593</v>
      </c>
      <c r="O319" s="164">
        <v>5.0000000000000001E-3</v>
      </c>
      <c r="P319" s="159">
        <f t="shared" si="128"/>
        <v>44562</v>
      </c>
      <c r="Q319" s="292">
        <f t="shared" si="126"/>
        <v>5.0000000000000001E-3</v>
      </c>
      <c r="S319" s="163">
        <v>44593</v>
      </c>
      <c r="T319" s="164">
        <v>7.6E-3</v>
      </c>
      <c r="U319" s="159">
        <f t="shared" si="141"/>
        <v>44593</v>
      </c>
      <c r="V319" s="285">
        <f t="shared" si="142"/>
        <v>7.6E-3</v>
      </c>
      <c r="BM319" s="31" t="s">
        <v>198</v>
      </c>
      <c r="BN319" s="159">
        <f t="shared" si="149"/>
        <v>42826</v>
      </c>
      <c r="BO319" s="162">
        <f t="shared" si="150"/>
        <v>1.519E-3</v>
      </c>
      <c r="BP319" s="278">
        <f t="shared" si="153"/>
        <v>1.519E-3</v>
      </c>
      <c r="BQ319" s="312">
        <f t="shared" si="129"/>
        <v>1.0820606624514066</v>
      </c>
      <c r="BS319" s="31" t="s">
        <v>43</v>
      </c>
      <c r="BT319" s="159">
        <f t="shared" si="145"/>
        <v>42826</v>
      </c>
      <c r="BU319" s="162">
        <f t="shared" si="146"/>
        <v>7.9000000000000008E-3</v>
      </c>
      <c r="BV319" s="311">
        <f t="shared" si="130"/>
        <v>0.82469999999999999</v>
      </c>
      <c r="BX319" s="358" t="s">
        <v>242</v>
      </c>
      <c r="BY319" s="294">
        <f t="shared" si="151"/>
        <v>42826</v>
      </c>
      <c r="BZ319" s="357">
        <f t="shared" si="152"/>
        <v>5.0000000000000001E-3</v>
      </c>
      <c r="CA319" s="162">
        <f t="shared" si="131"/>
        <v>0.46018200000000076</v>
      </c>
      <c r="CF319" s="31" t="s">
        <v>197</v>
      </c>
      <c r="CG319" s="168">
        <v>42826</v>
      </c>
      <c r="CH319" s="37">
        <v>0</v>
      </c>
      <c r="CI319" s="314">
        <f t="shared" si="154"/>
        <v>0</v>
      </c>
      <c r="CJ319" s="312">
        <f t="shared" si="132"/>
        <v>1</v>
      </c>
      <c r="CN319" s="315">
        <f t="shared" si="133"/>
        <v>42826</v>
      </c>
      <c r="CO319" s="312">
        <f t="shared" si="134"/>
        <v>1</v>
      </c>
      <c r="CQ319" s="315">
        <f t="shared" si="135"/>
        <v>42826</v>
      </c>
      <c r="CR319" s="316">
        <f t="shared" si="136"/>
        <v>0.82469999999999999</v>
      </c>
      <c r="CW319" s="655" t="s">
        <v>494</v>
      </c>
    </row>
    <row r="320" spans="2:101" ht="15" customHeight="1">
      <c r="B320" s="163">
        <v>46082</v>
      </c>
      <c r="C320" s="165">
        <v>1621</v>
      </c>
      <c r="D320" s="274">
        <f t="shared" si="137"/>
        <v>46082</v>
      </c>
      <c r="E320" s="275">
        <f t="shared" si="138"/>
        <v>1621</v>
      </c>
      <c r="G320" s="283"/>
      <c r="H320" s="283"/>
      <c r="I320" s="284"/>
      <c r="J320" s="159" t="str">
        <f t="shared" si="139"/>
        <v/>
      </c>
      <c r="K320" s="278" t="str">
        <f t="shared" si="140"/>
        <v/>
      </c>
      <c r="M320" s="163">
        <v>44593</v>
      </c>
      <c r="N320" s="163">
        <v>44621</v>
      </c>
      <c r="O320" s="164">
        <v>5.0000000000000001E-3</v>
      </c>
      <c r="P320" s="159">
        <f t="shared" si="128"/>
        <v>44593</v>
      </c>
      <c r="Q320" s="292">
        <f t="shared" si="126"/>
        <v>5.0000000000000001E-3</v>
      </c>
      <c r="S320" s="163">
        <v>44621</v>
      </c>
      <c r="T320" s="164">
        <v>9.2999999999999992E-3</v>
      </c>
      <c r="U320" s="159">
        <f t="shared" si="141"/>
        <v>44621</v>
      </c>
      <c r="V320" s="285">
        <f t="shared" si="142"/>
        <v>9.2999999999999992E-3</v>
      </c>
      <c r="BM320" s="31" t="s">
        <v>198</v>
      </c>
      <c r="BN320" s="159">
        <f t="shared" si="149"/>
        <v>42856</v>
      </c>
      <c r="BO320" s="162">
        <f t="shared" si="150"/>
        <v>0</v>
      </c>
      <c r="BP320" s="278">
        <f t="shared" si="153"/>
        <v>0</v>
      </c>
      <c r="BQ320" s="312">
        <f t="shared" si="129"/>
        <v>1.0804195052229728</v>
      </c>
      <c r="BS320" s="31" t="s">
        <v>43</v>
      </c>
      <c r="BT320" s="159">
        <f t="shared" si="145"/>
        <v>42856</v>
      </c>
      <c r="BU320" s="162">
        <f t="shared" si="146"/>
        <v>9.2999999999999992E-3</v>
      </c>
      <c r="BV320" s="311">
        <f t="shared" si="130"/>
        <v>0.81679999999999997</v>
      </c>
      <c r="BX320" s="358" t="s">
        <v>242</v>
      </c>
      <c r="BY320" s="294">
        <f t="shared" si="151"/>
        <v>42856</v>
      </c>
      <c r="BZ320" s="357">
        <f t="shared" si="152"/>
        <v>5.0000000000000001E-3</v>
      </c>
      <c r="CA320" s="162">
        <f t="shared" si="131"/>
        <v>0.45518200000000075</v>
      </c>
      <c r="CF320" s="31" t="s">
        <v>197</v>
      </c>
      <c r="CG320" s="168">
        <v>42856</v>
      </c>
      <c r="CH320" s="37">
        <v>0</v>
      </c>
      <c r="CI320" s="314">
        <f t="shared" si="154"/>
        <v>0</v>
      </c>
      <c r="CJ320" s="312">
        <f t="shared" si="132"/>
        <v>1</v>
      </c>
      <c r="CN320" s="315">
        <f t="shared" si="133"/>
        <v>42856</v>
      </c>
      <c r="CO320" s="312">
        <f t="shared" si="134"/>
        <v>1</v>
      </c>
      <c r="CQ320" s="315">
        <f t="shared" si="135"/>
        <v>42856</v>
      </c>
      <c r="CR320" s="316">
        <f t="shared" si="136"/>
        <v>0.81679999999999997</v>
      </c>
      <c r="CW320"/>
    </row>
    <row r="321" spans="2:101" ht="15" customHeight="1">
      <c r="B321" s="163">
        <v>46113</v>
      </c>
      <c r="C321" s="165">
        <v>1621</v>
      </c>
      <c r="D321" s="274">
        <f t="shared" si="137"/>
        <v>46113</v>
      </c>
      <c r="E321" s="275">
        <f t="shared" si="138"/>
        <v>1621</v>
      </c>
      <c r="G321" s="283"/>
      <c r="H321" s="283"/>
      <c r="I321" s="284"/>
      <c r="J321" s="159" t="str">
        <f t="shared" si="139"/>
        <v/>
      </c>
      <c r="K321" s="278" t="str">
        <f t="shared" si="140"/>
        <v/>
      </c>
      <c r="M321" s="163">
        <v>44621</v>
      </c>
      <c r="N321" s="163">
        <v>44652</v>
      </c>
      <c r="O321" s="164">
        <v>5.0000000000000001E-3</v>
      </c>
      <c r="P321" s="159">
        <f t="shared" si="128"/>
        <v>44621</v>
      </c>
      <c r="Q321" s="292">
        <f t="shared" si="126"/>
        <v>5.0000000000000001E-3</v>
      </c>
      <c r="S321" s="163">
        <v>44652</v>
      </c>
      <c r="T321" s="164">
        <v>8.3000000000000001E-3</v>
      </c>
      <c r="U321" s="159">
        <f t="shared" si="141"/>
        <v>44652</v>
      </c>
      <c r="V321" s="285">
        <f t="shared" si="142"/>
        <v>8.3000000000000001E-3</v>
      </c>
      <c r="BM321" s="31" t="s">
        <v>198</v>
      </c>
      <c r="BN321" s="159">
        <f t="shared" si="149"/>
        <v>42887</v>
      </c>
      <c r="BO321" s="162">
        <f t="shared" si="150"/>
        <v>7.6400000000000003E-4</v>
      </c>
      <c r="BP321" s="278">
        <f t="shared" si="153"/>
        <v>7.6400000000000003E-4</v>
      </c>
      <c r="BQ321" s="312">
        <f t="shared" si="129"/>
        <v>1.0804195052229728</v>
      </c>
      <c r="BS321" s="31" t="s">
        <v>43</v>
      </c>
      <c r="BT321" s="159">
        <f t="shared" si="145"/>
        <v>42887</v>
      </c>
      <c r="BU321" s="162">
        <f t="shared" si="146"/>
        <v>8.0999999999999996E-3</v>
      </c>
      <c r="BV321" s="311">
        <f t="shared" si="130"/>
        <v>0.8075</v>
      </c>
      <c r="BX321" s="358" t="s">
        <v>242</v>
      </c>
      <c r="BY321" s="294">
        <f t="shared" si="151"/>
        <v>42887</v>
      </c>
      <c r="BZ321" s="357">
        <f t="shared" si="152"/>
        <v>5.0000000000000001E-3</v>
      </c>
      <c r="CA321" s="162">
        <f t="shared" si="131"/>
        <v>0.45018200000000075</v>
      </c>
      <c r="CF321" s="31" t="s">
        <v>197</v>
      </c>
      <c r="CG321" s="168">
        <v>42887</v>
      </c>
      <c r="CH321" s="37">
        <v>0</v>
      </c>
      <c r="CI321" s="314">
        <f t="shared" si="154"/>
        <v>0</v>
      </c>
      <c r="CJ321" s="312">
        <f t="shared" si="132"/>
        <v>1</v>
      </c>
      <c r="CN321" s="315">
        <f t="shared" si="133"/>
        <v>42887</v>
      </c>
      <c r="CO321" s="312">
        <f t="shared" si="134"/>
        <v>1</v>
      </c>
      <c r="CQ321" s="315">
        <f t="shared" si="135"/>
        <v>42887</v>
      </c>
      <c r="CR321" s="316">
        <f t="shared" si="136"/>
        <v>0.8075</v>
      </c>
      <c r="CW321" s="650" t="s">
        <v>495</v>
      </c>
    </row>
    <row r="322" spans="2:101" ht="15" customHeight="1">
      <c r="B322" s="163">
        <v>46143</v>
      </c>
      <c r="C322" s="165">
        <v>1621</v>
      </c>
      <c r="D322" s="274">
        <f t="shared" si="137"/>
        <v>46143</v>
      </c>
      <c r="E322" s="275">
        <f t="shared" si="138"/>
        <v>1621</v>
      </c>
      <c r="G322" s="283"/>
      <c r="H322" s="283"/>
      <c r="I322" s="284"/>
      <c r="J322" s="159" t="str">
        <f t="shared" si="139"/>
        <v/>
      </c>
      <c r="K322" s="278" t="str">
        <f t="shared" si="140"/>
        <v/>
      </c>
      <c r="M322" s="163">
        <v>44652</v>
      </c>
      <c r="N322" s="163">
        <v>44682</v>
      </c>
      <c r="O322" s="164">
        <v>5.0000000000000001E-3</v>
      </c>
      <c r="P322" s="159">
        <f t="shared" si="128"/>
        <v>44652</v>
      </c>
      <c r="Q322" s="292">
        <f t="shared" si="126"/>
        <v>5.0000000000000001E-3</v>
      </c>
      <c r="S322" s="163">
        <v>44682</v>
      </c>
      <c r="T322" s="164">
        <v>1.03E-2</v>
      </c>
      <c r="U322" s="159">
        <f t="shared" si="141"/>
        <v>44682</v>
      </c>
      <c r="V322" s="285">
        <f t="shared" si="142"/>
        <v>1.03E-2</v>
      </c>
      <c r="BM322" s="31" t="s">
        <v>198</v>
      </c>
      <c r="BN322" s="159">
        <f t="shared" si="149"/>
        <v>42917</v>
      </c>
      <c r="BO322" s="162">
        <f t="shared" si="150"/>
        <v>5.3600000000000002E-4</v>
      </c>
      <c r="BP322" s="278">
        <f t="shared" si="153"/>
        <v>5.3600000000000002E-4</v>
      </c>
      <c r="BQ322" s="312">
        <f t="shared" si="129"/>
        <v>1.0795946948760875</v>
      </c>
      <c r="BS322" s="31" t="s">
        <v>43</v>
      </c>
      <c r="BT322" s="159">
        <f t="shared" si="145"/>
        <v>42917</v>
      </c>
      <c r="BU322" s="162">
        <f t="shared" si="146"/>
        <v>8.0000000000000002E-3</v>
      </c>
      <c r="BV322" s="311">
        <f t="shared" si="130"/>
        <v>0.7994</v>
      </c>
      <c r="BX322" s="358" t="s">
        <v>242</v>
      </c>
      <c r="BY322" s="294">
        <f t="shared" si="151"/>
        <v>42917</v>
      </c>
      <c r="BZ322" s="357">
        <f t="shared" si="152"/>
        <v>5.0000000000000001E-3</v>
      </c>
      <c r="CA322" s="162">
        <f t="shared" si="131"/>
        <v>0.44518200000000074</v>
      </c>
      <c r="CF322" s="31" t="s">
        <v>197</v>
      </c>
      <c r="CG322" s="168">
        <v>42917</v>
      </c>
      <c r="CH322" s="37">
        <v>0</v>
      </c>
      <c r="CI322" s="314">
        <f t="shared" si="154"/>
        <v>0</v>
      </c>
      <c r="CJ322" s="312">
        <f t="shared" si="132"/>
        <v>1</v>
      </c>
      <c r="CN322" s="315">
        <f t="shared" si="133"/>
        <v>42917</v>
      </c>
      <c r="CO322" s="312">
        <f t="shared" si="134"/>
        <v>1</v>
      </c>
      <c r="CQ322" s="315">
        <f t="shared" si="135"/>
        <v>42917</v>
      </c>
      <c r="CR322" s="316">
        <f t="shared" si="136"/>
        <v>0.7994</v>
      </c>
      <c r="CW322" s="661" t="s">
        <v>496</v>
      </c>
    </row>
    <row r="323" spans="2:101" ht="15" customHeight="1">
      <c r="B323" s="163">
        <v>46174</v>
      </c>
      <c r="C323" s="165">
        <v>1621</v>
      </c>
      <c r="D323" s="274">
        <f t="shared" si="137"/>
        <v>46174</v>
      </c>
      <c r="E323" s="275">
        <f t="shared" si="138"/>
        <v>1621</v>
      </c>
      <c r="G323" s="283"/>
      <c r="H323" s="283"/>
      <c r="I323" s="284"/>
      <c r="J323" s="159" t="str">
        <f t="shared" si="139"/>
        <v/>
      </c>
      <c r="K323" s="278" t="str">
        <f t="shared" si="140"/>
        <v/>
      </c>
      <c r="M323" s="163">
        <v>44682</v>
      </c>
      <c r="N323" s="163">
        <v>44713</v>
      </c>
      <c r="O323" s="164">
        <v>5.0000000000000001E-3</v>
      </c>
      <c r="P323" s="159">
        <f t="shared" si="128"/>
        <v>44682</v>
      </c>
      <c r="Q323" s="292">
        <f t="shared" ref="Q323:Q386" si="155">IF(AND(P323&lt;&gt;"",P324=""),0,IF(TRIM(O323)="","",IF(AND(P323&gt;=vdt_ec113,VOP_EC113="SIM"),0,O323)))</f>
        <v>5.0000000000000001E-3</v>
      </c>
      <c r="S323" s="163">
        <v>44713</v>
      </c>
      <c r="T323" s="164">
        <v>1.0200000000000001E-2</v>
      </c>
      <c r="U323" s="159">
        <f t="shared" si="141"/>
        <v>44713</v>
      </c>
      <c r="V323" s="285">
        <f t="shared" si="142"/>
        <v>1.0200000000000001E-2</v>
      </c>
      <c r="BM323" s="31" t="s">
        <v>198</v>
      </c>
      <c r="BN323" s="159">
        <f t="shared" si="149"/>
        <v>42948</v>
      </c>
      <c r="BO323" s="162">
        <f t="shared" si="150"/>
        <v>6.2299999999999996E-4</v>
      </c>
      <c r="BP323" s="278">
        <f t="shared" si="153"/>
        <v>6.2299999999999996E-4</v>
      </c>
      <c r="BQ323" s="312">
        <f t="shared" si="129"/>
        <v>1.0790163421167129</v>
      </c>
      <c r="BS323" s="31" t="s">
        <v>43</v>
      </c>
      <c r="BT323" s="159">
        <f t="shared" si="145"/>
        <v>42948</v>
      </c>
      <c r="BU323" s="162">
        <f t="shared" si="146"/>
        <v>8.0000000000000002E-3</v>
      </c>
      <c r="BV323" s="311">
        <f t="shared" si="130"/>
        <v>0.79139999999999999</v>
      </c>
      <c r="BX323" s="358" t="s">
        <v>242</v>
      </c>
      <c r="BY323" s="294">
        <f t="shared" si="151"/>
        <v>42948</v>
      </c>
      <c r="BZ323" s="357">
        <f t="shared" si="152"/>
        <v>5.0000000000000001E-3</v>
      </c>
      <c r="CA323" s="162">
        <f t="shared" si="131"/>
        <v>0.44018200000000074</v>
      </c>
      <c r="CF323" s="31" t="s">
        <v>197</v>
      </c>
      <c r="CG323" s="168">
        <v>42948</v>
      </c>
      <c r="CH323" s="37">
        <v>0</v>
      </c>
      <c r="CI323" s="314">
        <f t="shared" si="154"/>
        <v>0</v>
      </c>
      <c r="CJ323" s="312">
        <f t="shared" si="132"/>
        <v>1</v>
      </c>
      <c r="CN323" s="315">
        <f t="shared" si="133"/>
        <v>42948</v>
      </c>
      <c r="CO323" s="312">
        <f t="shared" si="134"/>
        <v>1</v>
      </c>
      <c r="CQ323" s="315">
        <f t="shared" si="135"/>
        <v>42948</v>
      </c>
      <c r="CR323" s="316">
        <f t="shared" si="136"/>
        <v>0.79139999999999999</v>
      </c>
      <c r="CW323" s="655" t="s">
        <v>497</v>
      </c>
    </row>
    <row r="324" spans="2:101" ht="15" customHeight="1">
      <c r="B324" s="163">
        <v>46204</v>
      </c>
      <c r="C324" s="165">
        <v>1621</v>
      </c>
      <c r="D324" s="274">
        <f t="shared" si="137"/>
        <v>46204</v>
      </c>
      <c r="E324" s="275">
        <f t="shared" si="138"/>
        <v>1621</v>
      </c>
      <c r="G324" s="283"/>
      <c r="H324" s="283"/>
      <c r="I324" s="284"/>
      <c r="J324" s="159" t="str">
        <f t="shared" si="139"/>
        <v/>
      </c>
      <c r="K324" s="278" t="str">
        <f t="shared" si="140"/>
        <v/>
      </c>
      <c r="M324" s="163">
        <v>44713</v>
      </c>
      <c r="N324" s="163">
        <v>44743</v>
      </c>
      <c r="O324" s="164">
        <v>5.0000000000000001E-3</v>
      </c>
      <c r="P324" s="159">
        <f t="shared" ref="P324:P387" si="156">IF(AND(TRIM(M324)="",TRIM(M323)&lt;&gt;""),EDATE(P323,1),IF(TRIM(M324)="","",TRUNC(M324,0)))</f>
        <v>44713</v>
      </c>
      <c r="Q324" s="292">
        <f t="shared" si="155"/>
        <v>5.0000000000000001E-3</v>
      </c>
      <c r="S324" s="163">
        <v>44743</v>
      </c>
      <c r="T324" s="164">
        <v>1.03E-2</v>
      </c>
      <c r="U324" s="159">
        <f t="shared" si="141"/>
        <v>44743</v>
      </c>
      <c r="V324" s="285">
        <f t="shared" si="142"/>
        <v>1.03E-2</v>
      </c>
      <c r="BM324" s="31" t="s">
        <v>198</v>
      </c>
      <c r="BN324" s="159">
        <f t="shared" si="149"/>
        <v>42979</v>
      </c>
      <c r="BO324" s="162">
        <f t="shared" si="150"/>
        <v>5.0900000000000001E-4</v>
      </c>
      <c r="BP324" s="278">
        <f t="shared" si="153"/>
        <v>5.0900000000000001E-4</v>
      </c>
      <c r="BQ324" s="312">
        <f t="shared" si="129"/>
        <v>1.0783445334723596</v>
      </c>
      <c r="BS324" s="31" t="s">
        <v>43</v>
      </c>
      <c r="BT324" s="159">
        <f t="shared" si="145"/>
        <v>42979</v>
      </c>
      <c r="BU324" s="162">
        <f t="shared" si="146"/>
        <v>6.4000000000000003E-3</v>
      </c>
      <c r="BV324" s="311">
        <f t="shared" si="130"/>
        <v>0.78339999999999999</v>
      </c>
      <c r="BX324" s="358" t="s">
        <v>242</v>
      </c>
      <c r="BY324" s="294">
        <f t="shared" si="151"/>
        <v>42979</v>
      </c>
      <c r="BZ324" s="357">
        <f t="shared" si="152"/>
        <v>5.0000000000000001E-3</v>
      </c>
      <c r="CA324" s="162">
        <f t="shared" si="131"/>
        <v>0.43518200000000073</v>
      </c>
      <c r="CF324" s="31" t="s">
        <v>197</v>
      </c>
      <c r="CG324" s="168">
        <v>42979</v>
      </c>
      <c r="CH324" s="37">
        <v>0</v>
      </c>
      <c r="CI324" s="314">
        <f t="shared" si="154"/>
        <v>0</v>
      </c>
      <c r="CJ324" s="312">
        <f t="shared" si="132"/>
        <v>1</v>
      </c>
      <c r="CN324" s="315">
        <f t="shared" si="133"/>
        <v>42979</v>
      </c>
      <c r="CO324" s="312">
        <f t="shared" si="134"/>
        <v>1</v>
      </c>
      <c r="CQ324" s="315">
        <f t="shared" si="135"/>
        <v>42979</v>
      </c>
      <c r="CR324" s="316">
        <f t="shared" si="136"/>
        <v>0.78339999999999999</v>
      </c>
      <c r="CW324"/>
    </row>
    <row r="325" spans="2:101" ht="15" customHeight="1">
      <c r="B325" s="163">
        <v>46235</v>
      </c>
      <c r="C325" s="165">
        <v>1621</v>
      </c>
      <c r="D325" s="274">
        <f t="shared" si="137"/>
        <v>46235</v>
      </c>
      <c r="E325" s="275">
        <f t="shared" si="138"/>
        <v>1621</v>
      </c>
      <c r="G325" s="283"/>
      <c r="H325" s="283"/>
      <c r="I325" s="284"/>
      <c r="J325" s="159" t="str">
        <f t="shared" si="139"/>
        <v/>
      </c>
      <c r="K325" s="278" t="str">
        <f t="shared" si="140"/>
        <v/>
      </c>
      <c r="M325" s="163">
        <v>44743</v>
      </c>
      <c r="N325" s="163">
        <v>44774</v>
      </c>
      <c r="O325" s="164">
        <v>5.0000000000000001E-3</v>
      </c>
      <c r="P325" s="159">
        <f t="shared" si="156"/>
        <v>44743</v>
      </c>
      <c r="Q325" s="292">
        <f t="shared" si="155"/>
        <v>5.0000000000000001E-3</v>
      </c>
      <c r="S325" s="163">
        <v>44774</v>
      </c>
      <c r="T325" s="164">
        <v>1.17E-2</v>
      </c>
      <c r="U325" s="159">
        <f t="shared" si="141"/>
        <v>44774</v>
      </c>
      <c r="V325" s="285">
        <f t="shared" si="142"/>
        <v>1.17E-2</v>
      </c>
      <c r="BM325" s="31" t="s">
        <v>198</v>
      </c>
      <c r="BN325" s="159">
        <f t="shared" si="149"/>
        <v>43009</v>
      </c>
      <c r="BO325" s="162">
        <f t="shared" si="150"/>
        <v>0</v>
      </c>
      <c r="BP325" s="278">
        <f t="shared" si="153"/>
        <v>0</v>
      </c>
      <c r="BQ325" s="312">
        <f t="shared" si="129"/>
        <v>1.0777959353412707</v>
      </c>
      <c r="BS325" s="31" t="s">
        <v>43</v>
      </c>
      <c r="BT325" s="159">
        <f t="shared" si="145"/>
        <v>43009</v>
      </c>
      <c r="BU325" s="162">
        <f t="shared" si="146"/>
        <v>6.4000000000000003E-3</v>
      </c>
      <c r="BV325" s="311">
        <f t="shared" si="130"/>
        <v>0.77700000000000002</v>
      </c>
      <c r="BX325" s="358" t="s">
        <v>242</v>
      </c>
      <c r="BY325" s="294">
        <f t="shared" si="151"/>
        <v>43009</v>
      </c>
      <c r="BZ325" s="357">
        <f t="shared" si="152"/>
        <v>4.6899999999999997E-3</v>
      </c>
      <c r="CA325" s="162">
        <f t="shared" si="131"/>
        <v>0.43018200000000073</v>
      </c>
      <c r="CF325" s="31" t="s">
        <v>197</v>
      </c>
      <c r="CG325" s="168">
        <v>43009</v>
      </c>
      <c r="CH325" s="37">
        <v>0</v>
      </c>
      <c r="CI325" s="314">
        <f t="shared" si="154"/>
        <v>0</v>
      </c>
      <c r="CJ325" s="312">
        <f t="shared" si="132"/>
        <v>1</v>
      </c>
      <c r="CN325" s="315">
        <f t="shared" si="133"/>
        <v>43009</v>
      </c>
      <c r="CO325" s="312">
        <f t="shared" si="134"/>
        <v>1</v>
      </c>
      <c r="CQ325" s="315">
        <f t="shared" si="135"/>
        <v>43009</v>
      </c>
      <c r="CR325" s="316">
        <f t="shared" si="136"/>
        <v>0.77700000000000002</v>
      </c>
      <c r="CW325" s="650" t="s">
        <v>468</v>
      </c>
    </row>
    <row r="326" spans="2:101" ht="15" customHeight="1">
      <c r="B326" s="163">
        <v>46266</v>
      </c>
      <c r="C326" s="165">
        <v>1621</v>
      </c>
      <c r="D326" s="274">
        <f t="shared" si="137"/>
        <v>46266</v>
      </c>
      <c r="E326" s="275">
        <f t="shared" si="138"/>
        <v>1621</v>
      </c>
      <c r="G326" s="283"/>
      <c r="H326" s="283"/>
      <c r="I326" s="284"/>
      <c r="J326" s="159" t="str">
        <f t="shared" si="139"/>
        <v/>
      </c>
      <c r="K326" s="278" t="str">
        <f t="shared" si="140"/>
        <v/>
      </c>
      <c r="M326" s="163">
        <v>44774</v>
      </c>
      <c r="N326" s="163">
        <v>44805</v>
      </c>
      <c r="O326" s="164">
        <v>5.0000000000000001E-3</v>
      </c>
      <c r="P326" s="159">
        <f t="shared" si="156"/>
        <v>44774</v>
      </c>
      <c r="Q326" s="292">
        <f t="shared" si="155"/>
        <v>5.0000000000000001E-3</v>
      </c>
      <c r="S326" s="163">
        <v>44805</v>
      </c>
      <c r="T326" s="164">
        <v>1.0699999999999999E-2</v>
      </c>
      <c r="U326" s="159">
        <f t="shared" si="141"/>
        <v>44805</v>
      </c>
      <c r="V326" s="285">
        <f t="shared" si="142"/>
        <v>1.0699999999999999E-2</v>
      </c>
      <c r="BM326" s="31" t="s">
        <v>198</v>
      </c>
      <c r="BN326" s="159">
        <f t="shared" si="149"/>
        <v>43040</v>
      </c>
      <c r="BO326" s="162">
        <f t="shared" si="150"/>
        <v>0</v>
      </c>
      <c r="BP326" s="278">
        <f t="shared" si="153"/>
        <v>0</v>
      </c>
      <c r="BQ326" s="312">
        <f t="shared" ref="BQ326:BQ389" si="157">+IF(BN326="","",IF(BQ327="",1,BQ327)*(1+BP326))</f>
        <v>1.0777959353412707</v>
      </c>
      <c r="BS326" s="31" t="s">
        <v>43</v>
      </c>
      <c r="BT326" s="159">
        <f t="shared" si="145"/>
        <v>43040</v>
      </c>
      <c r="BU326" s="162">
        <f t="shared" si="146"/>
        <v>5.7000000000000002E-3</v>
      </c>
      <c r="BV326" s="311">
        <f t="shared" ref="BV326:BV389" si="158">+IF(BU326="","",IF(AND(BU326&lt;&gt;"",BU327=""),BU326,BU326+BV327))</f>
        <v>0.77060000000000006</v>
      </c>
      <c r="BX326" s="358" t="s">
        <v>242</v>
      </c>
      <c r="BY326" s="294">
        <f t="shared" si="151"/>
        <v>43040</v>
      </c>
      <c r="BZ326" s="357">
        <f t="shared" si="152"/>
        <v>4.2729999999999999E-3</v>
      </c>
      <c r="CA326" s="162">
        <f t="shared" ref="CA326:CA389" si="159">+IF(BZ326="","",BZ326+IF(CA327="",0,CA327))</f>
        <v>0.4254920000000007</v>
      </c>
      <c r="CF326" s="31" t="s">
        <v>197</v>
      </c>
      <c r="CG326" s="168">
        <v>43040</v>
      </c>
      <c r="CH326" s="37">
        <v>0</v>
      </c>
      <c r="CI326" s="314">
        <f t="shared" si="154"/>
        <v>0</v>
      </c>
      <c r="CJ326" s="312">
        <f t="shared" ref="CJ326:CJ389" si="160">+IF(BQ326="","",IF(CJ327="",1,CJ327)*(1+CI326))</f>
        <v>1</v>
      </c>
      <c r="CN326" s="315">
        <f t="shared" ref="CN326:CN389" si="161">+IF(BN326="","",BN326)</f>
        <v>43040</v>
      </c>
      <c r="CO326" s="312">
        <f t="shared" ref="CO326:CO389" si="162">+IF(CN326="","",IF(COD_JCM=3,1,IF(COD_JCM=1,CJ326,BQ326)))</f>
        <v>1</v>
      </c>
      <c r="CQ326" s="315">
        <f t="shared" ref="CQ326:CQ389" si="163">+IF(BT326="","",BT326)</f>
        <v>43040</v>
      </c>
      <c r="CR326" s="316">
        <f t="shared" ref="CR326:CR389" si="164">+IF(CQ326="","",IF(COD_JCM=3,0,IF(COD_JCM=1,BV326,CA326)))</f>
        <v>0.77060000000000006</v>
      </c>
      <c r="CW326" s="652" t="s">
        <v>498</v>
      </c>
    </row>
    <row r="327" spans="2:101" ht="15" customHeight="1">
      <c r="B327" s="163">
        <v>46296</v>
      </c>
      <c r="C327" s="165">
        <v>1621</v>
      </c>
      <c r="D327" s="274">
        <f t="shared" ref="D327:D376" si="165">+IF(TRIM(B327)="","",TRUNC(B327,0))</f>
        <v>46296</v>
      </c>
      <c r="E327" s="275">
        <f t="shared" ref="E327:E376" si="166">+IF(TRIM(C327)="","",C327)</f>
        <v>1621</v>
      </c>
      <c r="G327" s="283"/>
      <c r="H327" s="283"/>
      <c r="I327" s="284"/>
      <c r="J327" s="159" t="str">
        <f t="shared" ref="J327:J386" si="167">+IF(AND(TRIM(H327)="",TRIM(H326)&lt;&gt;""),EDATE(J326,1),IF(TRIM(H327)="","",TRUNC(H327,0)))</f>
        <v/>
      </c>
      <c r="K327" s="278" t="str">
        <f t="shared" ref="K327:K386" si="168">+IF(AND(I327="",I326&lt;&gt;""),0,IF(TRIM(I327)="","",IF(AND(J327&gt;=vdt_ec113,VOP_EC113="SIM"),0,I327)))</f>
        <v/>
      </c>
      <c r="M327" s="163">
        <v>44805</v>
      </c>
      <c r="N327" s="163">
        <v>44835</v>
      </c>
      <c r="O327" s="164">
        <v>5.0000000000000001E-3</v>
      </c>
      <c r="P327" s="159">
        <f t="shared" si="156"/>
        <v>44805</v>
      </c>
      <c r="Q327" s="292">
        <f t="shared" si="155"/>
        <v>5.0000000000000001E-3</v>
      </c>
      <c r="S327" s="163">
        <v>44835</v>
      </c>
      <c r="T327" s="164">
        <v>1.0200000000000001E-2</v>
      </c>
      <c r="U327" s="159">
        <f t="shared" ref="U327:U386" si="169">+IF(AND(TRIM(S327)="",TRIM(S326)&lt;&gt;""),EDATE(U326,1),IF(TRIM(S327)="","",TRUNC(S327,0)))</f>
        <v>44835</v>
      </c>
      <c r="V327" s="285">
        <f t="shared" ref="V327:V386" si="170">+IF(AND(T327="",T326&lt;&gt;""),0,IF(TRIM(T327)="","",IF(AND(U327&gt;=vdt_ec113,VOP_EC113="SIM"),0,T327)))</f>
        <v>1.0200000000000001E-2</v>
      </c>
      <c r="BM327" s="31" t="s">
        <v>198</v>
      </c>
      <c r="BN327" s="159">
        <f t="shared" si="149"/>
        <v>43070</v>
      </c>
      <c r="BO327" s="162">
        <f t="shared" si="150"/>
        <v>0</v>
      </c>
      <c r="BP327" s="278">
        <f t="shared" si="153"/>
        <v>0</v>
      </c>
      <c r="BQ327" s="312">
        <f t="shared" si="157"/>
        <v>1.0777959353412707</v>
      </c>
      <c r="BS327" s="31" t="s">
        <v>43</v>
      </c>
      <c r="BT327" s="159">
        <f t="shared" si="145"/>
        <v>43070</v>
      </c>
      <c r="BU327" s="162">
        <f t="shared" si="146"/>
        <v>5.4000000000000003E-3</v>
      </c>
      <c r="BV327" s="311">
        <f t="shared" si="158"/>
        <v>0.76490000000000002</v>
      </c>
      <c r="BX327" s="358" t="s">
        <v>242</v>
      </c>
      <c r="BY327" s="294">
        <f t="shared" si="151"/>
        <v>43070</v>
      </c>
      <c r="BZ327" s="357">
        <f t="shared" si="152"/>
        <v>4.2729999999999999E-3</v>
      </c>
      <c r="CA327" s="162">
        <f t="shared" si="159"/>
        <v>0.42121900000000068</v>
      </c>
      <c r="CF327" s="31" t="s">
        <v>197</v>
      </c>
      <c r="CG327" s="168">
        <v>43070</v>
      </c>
      <c r="CH327" s="37">
        <v>0</v>
      </c>
      <c r="CI327" s="314">
        <f t="shared" si="154"/>
        <v>0</v>
      </c>
      <c r="CJ327" s="312">
        <f t="shared" si="160"/>
        <v>1</v>
      </c>
      <c r="CN327" s="315">
        <f t="shared" si="161"/>
        <v>43070</v>
      </c>
      <c r="CO327" s="312">
        <f t="shared" si="162"/>
        <v>1</v>
      </c>
      <c r="CQ327" s="315">
        <f t="shared" si="163"/>
        <v>43070</v>
      </c>
      <c r="CR327" s="316">
        <f t="shared" si="164"/>
        <v>0.76490000000000002</v>
      </c>
      <c r="CW327" s="654" t="s">
        <v>499</v>
      </c>
    </row>
    <row r="328" spans="2:101" ht="15" customHeight="1">
      <c r="B328" s="163">
        <v>46327</v>
      </c>
      <c r="C328" s="165">
        <v>1621</v>
      </c>
      <c r="D328" s="274">
        <f t="shared" si="165"/>
        <v>46327</v>
      </c>
      <c r="E328" s="275">
        <f t="shared" si="166"/>
        <v>1621</v>
      </c>
      <c r="G328" s="283"/>
      <c r="H328" s="283"/>
      <c r="I328" s="284"/>
      <c r="J328" s="159" t="str">
        <f t="shared" si="167"/>
        <v/>
      </c>
      <c r="K328" s="278" t="str">
        <f t="shared" si="168"/>
        <v/>
      </c>
      <c r="M328" s="163">
        <v>44835</v>
      </c>
      <c r="N328" s="163">
        <v>44866</v>
      </c>
      <c r="O328" s="164">
        <v>5.0000000000000001E-3</v>
      </c>
      <c r="P328" s="159">
        <f t="shared" si="156"/>
        <v>44835</v>
      </c>
      <c r="Q328" s="292">
        <f t="shared" si="155"/>
        <v>5.0000000000000001E-3</v>
      </c>
      <c r="S328" s="163">
        <v>44866</v>
      </c>
      <c r="T328" s="164">
        <v>1.0200000000000001E-2</v>
      </c>
      <c r="U328" s="159">
        <f t="shared" si="169"/>
        <v>44866</v>
      </c>
      <c r="V328" s="285">
        <f t="shared" si="170"/>
        <v>1.0200000000000001E-2</v>
      </c>
      <c r="BM328" s="31" t="s">
        <v>198</v>
      </c>
      <c r="BN328" s="159">
        <f t="shared" si="149"/>
        <v>43101</v>
      </c>
      <c r="BO328" s="162">
        <f t="shared" si="150"/>
        <v>0</v>
      </c>
      <c r="BP328" s="278">
        <f t="shared" si="153"/>
        <v>0</v>
      </c>
      <c r="BQ328" s="312">
        <f t="shared" si="157"/>
        <v>1.0777959353412707</v>
      </c>
      <c r="BS328" s="31" t="s">
        <v>43</v>
      </c>
      <c r="BT328" s="159">
        <f t="shared" si="145"/>
        <v>43101</v>
      </c>
      <c r="BU328" s="162">
        <f t="shared" si="146"/>
        <v>5.7999999999999996E-3</v>
      </c>
      <c r="BV328" s="311">
        <f t="shared" si="158"/>
        <v>0.75950000000000006</v>
      </c>
      <c r="BX328" s="358" t="s">
        <v>242</v>
      </c>
      <c r="BY328" s="294">
        <f t="shared" si="151"/>
        <v>43101</v>
      </c>
      <c r="BZ328" s="357">
        <f t="shared" si="152"/>
        <v>3.9940000000000002E-3</v>
      </c>
      <c r="CA328" s="162">
        <f t="shared" si="159"/>
        <v>0.41694600000000065</v>
      </c>
      <c r="CF328" s="31" t="s">
        <v>197</v>
      </c>
      <c r="CG328" s="168">
        <v>43101</v>
      </c>
      <c r="CH328" s="37">
        <v>0</v>
      </c>
      <c r="CI328" s="314">
        <f t="shared" si="154"/>
        <v>0</v>
      </c>
      <c r="CJ328" s="312">
        <f t="shared" si="160"/>
        <v>1</v>
      </c>
      <c r="CN328" s="315">
        <f t="shared" si="161"/>
        <v>43101</v>
      </c>
      <c r="CO328" s="312">
        <f t="shared" si="162"/>
        <v>1</v>
      </c>
      <c r="CQ328" s="315">
        <f t="shared" si="163"/>
        <v>43101</v>
      </c>
      <c r="CR328" s="316">
        <f t="shared" si="164"/>
        <v>0.75950000000000006</v>
      </c>
      <c r="CW328"/>
    </row>
    <row r="329" spans="2:101" ht="15" customHeight="1">
      <c r="B329" s="163">
        <v>46357</v>
      </c>
      <c r="C329" s="165">
        <v>1621</v>
      </c>
      <c r="D329" s="274">
        <f t="shared" si="165"/>
        <v>46357</v>
      </c>
      <c r="E329" s="275">
        <f t="shared" si="166"/>
        <v>1621</v>
      </c>
      <c r="G329" s="283"/>
      <c r="H329" s="283"/>
      <c r="I329" s="284"/>
      <c r="J329" s="159" t="str">
        <f t="shared" si="167"/>
        <v/>
      </c>
      <c r="K329" s="278" t="str">
        <f t="shared" si="168"/>
        <v/>
      </c>
      <c r="M329" s="163">
        <v>44866</v>
      </c>
      <c r="N329" s="163">
        <v>44896</v>
      </c>
      <c r="O329" s="164">
        <v>5.0000000000000001E-3</v>
      </c>
      <c r="P329" s="159">
        <f t="shared" si="156"/>
        <v>44866</v>
      </c>
      <c r="Q329" s="292">
        <f t="shared" si="155"/>
        <v>5.0000000000000001E-3</v>
      </c>
      <c r="S329" s="163">
        <v>44896</v>
      </c>
      <c r="T329" s="164">
        <v>1.12E-2</v>
      </c>
      <c r="U329" s="159">
        <f t="shared" si="169"/>
        <v>44896</v>
      </c>
      <c r="V329" s="285">
        <f t="shared" si="170"/>
        <v>1.12E-2</v>
      </c>
      <c r="BM329" s="31" t="s">
        <v>198</v>
      </c>
      <c r="BN329" s="159">
        <f t="shared" si="149"/>
        <v>43132</v>
      </c>
      <c r="BO329" s="162">
        <f t="shared" si="150"/>
        <v>0</v>
      </c>
      <c r="BP329" s="278">
        <f t="shared" si="153"/>
        <v>0</v>
      </c>
      <c r="BQ329" s="312">
        <f t="shared" si="157"/>
        <v>1.0777959353412707</v>
      </c>
      <c r="BS329" s="31" t="s">
        <v>43</v>
      </c>
      <c r="BT329" s="159">
        <f t="shared" si="145"/>
        <v>43132</v>
      </c>
      <c r="BU329" s="162">
        <f t="shared" si="146"/>
        <v>4.7000000000000002E-3</v>
      </c>
      <c r="BV329" s="311">
        <f t="shared" si="158"/>
        <v>0.75370000000000004</v>
      </c>
      <c r="BX329" s="358" t="s">
        <v>242</v>
      </c>
      <c r="BY329" s="294">
        <f t="shared" si="151"/>
        <v>43132</v>
      </c>
      <c r="BZ329" s="357">
        <f t="shared" si="152"/>
        <v>3.9940000000000002E-3</v>
      </c>
      <c r="CA329" s="162">
        <f t="shared" si="159"/>
        <v>0.41295200000000065</v>
      </c>
      <c r="CF329" s="31" t="s">
        <v>197</v>
      </c>
      <c r="CG329" s="168">
        <v>43132</v>
      </c>
      <c r="CH329" s="37">
        <v>0</v>
      </c>
      <c r="CI329" s="314">
        <f t="shared" si="154"/>
        <v>0</v>
      </c>
      <c r="CJ329" s="312">
        <f t="shared" si="160"/>
        <v>1</v>
      </c>
      <c r="CN329" s="315">
        <f t="shared" si="161"/>
        <v>43132</v>
      </c>
      <c r="CO329" s="312">
        <f t="shared" si="162"/>
        <v>1</v>
      </c>
      <c r="CQ329" s="315">
        <f t="shared" si="163"/>
        <v>43132</v>
      </c>
      <c r="CR329" s="316">
        <f t="shared" si="164"/>
        <v>0.75370000000000004</v>
      </c>
      <c r="CW329" s="652" t="s">
        <v>329</v>
      </c>
    </row>
    <row r="330" spans="2:101" ht="15" customHeight="1">
      <c r="B330" s="163">
        <v>46388</v>
      </c>
      <c r="C330" s="165">
        <v>1621</v>
      </c>
      <c r="D330" s="274">
        <f t="shared" si="165"/>
        <v>46388</v>
      </c>
      <c r="E330" s="275">
        <f t="shared" si="166"/>
        <v>1621</v>
      </c>
      <c r="G330" s="283"/>
      <c r="H330" s="283"/>
      <c r="I330" s="284"/>
      <c r="J330" s="159" t="str">
        <f t="shared" si="167"/>
        <v/>
      </c>
      <c r="K330" s="278" t="str">
        <f t="shared" si="168"/>
        <v/>
      </c>
      <c r="M330" s="163">
        <v>44896</v>
      </c>
      <c r="N330" s="163">
        <v>44927</v>
      </c>
      <c r="O330" s="164">
        <v>5.0000000000000001E-3</v>
      </c>
      <c r="P330" s="159">
        <f t="shared" si="156"/>
        <v>44896</v>
      </c>
      <c r="Q330" s="292">
        <f t="shared" si="155"/>
        <v>5.0000000000000001E-3</v>
      </c>
      <c r="S330" s="163">
        <v>44927</v>
      </c>
      <c r="T330" s="164">
        <v>1.12E-2</v>
      </c>
      <c r="U330" s="159">
        <f t="shared" si="169"/>
        <v>44927</v>
      </c>
      <c r="V330" s="285">
        <f t="shared" si="170"/>
        <v>1.12E-2</v>
      </c>
      <c r="BM330" s="31" t="s">
        <v>198</v>
      </c>
      <c r="BN330" s="159">
        <f t="shared" si="149"/>
        <v>43160</v>
      </c>
      <c r="BO330" s="162">
        <f t="shared" si="150"/>
        <v>0</v>
      </c>
      <c r="BP330" s="278">
        <f t="shared" si="153"/>
        <v>0</v>
      </c>
      <c r="BQ330" s="312">
        <f t="shared" si="157"/>
        <v>1.0777959353412707</v>
      </c>
      <c r="BS330" s="31" t="s">
        <v>43</v>
      </c>
      <c r="BT330" s="159">
        <f t="shared" si="145"/>
        <v>43160</v>
      </c>
      <c r="BU330" s="162">
        <f t="shared" si="146"/>
        <v>5.3E-3</v>
      </c>
      <c r="BV330" s="311">
        <f t="shared" si="158"/>
        <v>0.749</v>
      </c>
      <c r="BX330" s="358" t="s">
        <v>242</v>
      </c>
      <c r="BY330" s="294">
        <f t="shared" si="151"/>
        <v>43160</v>
      </c>
      <c r="BZ330" s="357">
        <f t="shared" si="152"/>
        <v>3.8549999999999999E-3</v>
      </c>
      <c r="CA330" s="162">
        <f t="shared" si="159"/>
        <v>0.40895800000000065</v>
      </c>
      <c r="CF330" s="31" t="s">
        <v>197</v>
      </c>
      <c r="CG330" s="168">
        <v>43160</v>
      </c>
      <c r="CH330" s="37">
        <v>0</v>
      </c>
      <c r="CI330" s="314">
        <f t="shared" si="154"/>
        <v>0</v>
      </c>
      <c r="CJ330" s="312">
        <f t="shared" si="160"/>
        <v>1</v>
      </c>
      <c r="CN330" s="315">
        <f t="shared" si="161"/>
        <v>43160</v>
      </c>
      <c r="CO330" s="312">
        <f t="shared" si="162"/>
        <v>1</v>
      </c>
      <c r="CQ330" s="315">
        <f t="shared" si="163"/>
        <v>43160</v>
      </c>
      <c r="CR330" s="316">
        <f t="shared" si="164"/>
        <v>0.749</v>
      </c>
      <c r="CW330" s="652" t="s">
        <v>330</v>
      </c>
    </row>
    <row r="331" spans="2:101" ht="15" customHeight="1">
      <c r="B331" s="1"/>
      <c r="D331" s="274" t="str">
        <f t="shared" si="165"/>
        <v/>
      </c>
      <c r="E331" s="275" t="str">
        <f t="shared" si="166"/>
        <v/>
      </c>
      <c r="G331" s="283"/>
      <c r="H331" s="283"/>
      <c r="I331" s="284"/>
      <c r="J331" s="159" t="str">
        <f t="shared" si="167"/>
        <v/>
      </c>
      <c r="K331" s="278" t="str">
        <f t="shared" si="168"/>
        <v/>
      </c>
      <c r="M331" s="163">
        <v>44927</v>
      </c>
      <c r="N331" s="163">
        <v>44958</v>
      </c>
      <c r="O331" s="164">
        <v>5.0000000000000001E-3</v>
      </c>
      <c r="P331" s="159">
        <f t="shared" si="156"/>
        <v>44927</v>
      </c>
      <c r="Q331" s="292">
        <f t="shared" si="155"/>
        <v>5.0000000000000001E-3</v>
      </c>
      <c r="S331" s="163">
        <v>44958</v>
      </c>
      <c r="T331" s="164">
        <v>9.1999999999999998E-3</v>
      </c>
      <c r="U331" s="159">
        <f t="shared" si="169"/>
        <v>44958</v>
      </c>
      <c r="V331" s="285">
        <f t="shared" si="170"/>
        <v>9.1999999999999998E-3</v>
      </c>
      <c r="BM331" s="31" t="s">
        <v>198</v>
      </c>
      <c r="BN331" s="159">
        <f t="shared" si="149"/>
        <v>43191</v>
      </c>
      <c r="BO331" s="162">
        <f t="shared" si="150"/>
        <v>0</v>
      </c>
      <c r="BP331" s="278">
        <f t="shared" si="153"/>
        <v>0</v>
      </c>
      <c r="BQ331" s="312">
        <f t="shared" si="157"/>
        <v>1.0777959353412707</v>
      </c>
      <c r="BS331" s="31" t="s">
        <v>43</v>
      </c>
      <c r="BT331" s="159">
        <f t="shared" si="145"/>
        <v>43191</v>
      </c>
      <c r="BU331" s="162">
        <f t="shared" si="146"/>
        <v>5.1999999999999998E-3</v>
      </c>
      <c r="BV331" s="311">
        <f t="shared" si="158"/>
        <v>0.74370000000000003</v>
      </c>
      <c r="BX331" s="358" t="s">
        <v>242</v>
      </c>
      <c r="BY331" s="294">
        <f t="shared" si="151"/>
        <v>43191</v>
      </c>
      <c r="BZ331" s="357">
        <f t="shared" si="152"/>
        <v>3.715E-3</v>
      </c>
      <c r="CA331" s="162">
        <f t="shared" si="159"/>
        <v>0.40510300000000066</v>
      </c>
      <c r="CF331" s="31" t="s">
        <v>197</v>
      </c>
      <c r="CG331" s="168">
        <v>43191</v>
      </c>
      <c r="CH331" s="37">
        <v>0</v>
      </c>
      <c r="CI331" s="314">
        <f t="shared" si="154"/>
        <v>0</v>
      </c>
      <c r="CJ331" s="312">
        <f t="shared" si="160"/>
        <v>1</v>
      </c>
      <c r="CN331" s="315">
        <f t="shared" si="161"/>
        <v>43191</v>
      </c>
      <c r="CO331" s="312">
        <f t="shared" si="162"/>
        <v>1</v>
      </c>
      <c r="CQ331" s="315">
        <f t="shared" si="163"/>
        <v>43191</v>
      </c>
      <c r="CR331" s="316">
        <f t="shared" si="164"/>
        <v>0.74370000000000003</v>
      </c>
      <c r="CW331" s="652"/>
    </row>
    <row r="332" spans="2:101" ht="15" customHeight="1">
      <c r="B332" s="1"/>
      <c r="D332" s="274" t="str">
        <f t="shared" si="165"/>
        <v/>
      </c>
      <c r="E332" s="275" t="str">
        <f t="shared" si="166"/>
        <v/>
      </c>
      <c r="G332" s="283"/>
      <c r="H332" s="283"/>
      <c r="I332" s="284"/>
      <c r="J332" s="159" t="str">
        <f t="shared" si="167"/>
        <v/>
      </c>
      <c r="K332" s="278" t="str">
        <f t="shared" si="168"/>
        <v/>
      </c>
      <c r="M332" s="163">
        <v>44958</v>
      </c>
      <c r="N332" s="163">
        <v>44986</v>
      </c>
      <c r="O332" s="164">
        <v>5.0000000000000001E-3</v>
      </c>
      <c r="P332" s="159">
        <f t="shared" si="156"/>
        <v>44958</v>
      </c>
      <c r="Q332" s="292">
        <f t="shared" si="155"/>
        <v>5.0000000000000001E-3</v>
      </c>
      <c r="S332" s="163">
        <v>44986</v>
      </c>
      <c r="T332" s="164">
        <v>1.17E-2</v>
      </c>
      <c r="U332" s="159">
        <f t="shared" si="169"/>
        <v>44986</v>
      </c>
      <c r="V332" s="285">
        <f t="shared" si="170"/>
        <v>1.17E-2</v>
      </c>
      <c r="BM332" s="31" t="s">
        <v>198</v>
      </c>
      <c r="BN332" s="159">
        <f t="shared" si="149"/>
        <v>43221</v>
      </c>
      <c r="BO332" s="162">
        <f t="shared" si="150"/>
        <v>0</v>
      </c>
      <c r="BP332" s="278">
        <f t="shared" si="153"/>
        <v>0</v>
      </c>
      <c r="BQ332" s="312">
        <f t="shared" si="157"/>
        <v>1.0777959353412707</v>
      </c>
      <c r="BS332" s="31" t="s">
        <v>43</v>
      </c>
      <c r="BT332" s="159">
        <f t="shared" si="145"/>
        <v>43221</v>
      </c>
      <c r="BU332" s="162">
        <f t="shared" si="146"/>
        <v>5.1999999999999998E-3</v>
      </c>
      <c r="BV332" s="311">
        <f t="shared" si="158"/>
        <v>0.73850000000000005</v>
      </c>
      <c r="BX332" s="358" t="s">
        <v>242</v>
      </c>
      <c r="BY332" s="294">
        <f t="shared" si="151"/>
        <v>43221</v>
      </c>
      <c r="BZ332" s="357">
        <f t="shared" si="152"/>
        <v>3.715E-3</v>
      </c>
      <c r="CA332" s="162">
        <f t="shared" si="159"/>
        <v>0.40138800000000063</v>
      </c>
      <c r="CF332" s="31" t="s">
        <v>197</v>
      </c>
      <c r="CG332" s="168">
        <v>43221</v>
      </c>
      <c r="CH332" s="37">
        <v>0</v>
      </c>
      <c r="CI332" s="314">
        <f t="shared" si="154"/>
        <v>0</v>
      </c>
      <c r="CJ332" s="312">
        <f t="shared" si="160"/>
        <v>1</v>
      </c>
      <c r="CN332" s="315">
        <f t="shared" si="161"/>
        <v>43221</v>
      </c>
      <c r="CO332" s="312">
        <f t="shared" si="162"/>
        <v>1</v>
      </c>
      <c r="CQ332" s="315">
        <f t="shared" si="163"/>
        <v>43221</v>
      </c>
      <c r="CR332" s="316">
        <f t="shared" si="164"/>
        <v>0.73850000000000005</v>
      </c>
      <c r="CW332"/>
    </row>
    <row r="333" spans="2:101" ht="15" customHeight="1">
      <c r="B333" s="1"/>
      <c r="D333" s="274" t="str">
        <f t="shared" si="165"/>
        <v/>
      </c>
      <c r="E333" s="275" t="str">
        <f t="shared" si="166"/>
        <v/>
      </c>
      <c r="G333" s="283"/>
      <c r="H333" s="283"/>
      <c r="I333" s="284"/>
      <c r="J333" s="159" t="str">
        <f t="shared" si="167"/>
        <v/>
      </c>
      <c r="K333" s="278" t="str">
        <f t="shared" si="168"/>
        <v/>
      </c>
      <c r="M333" s="163">
        <v>44986</v>
      </c>
      <c r="N333" s="163">
        <v>45017</v>
      </c>
      <c r="O333" s="164">
        <v>5.0000000000000001E-3</v>
      </c>
      <c r="P333" s="159">
        <f t="shared" si="156"/>
        <v>44986</v>
      </c>
      <c r="Q333" s="292">
        <f t="shared" si="155"/>
        <v>5.0000000000000001E-3</v>
      </c>
      <c r="S333" s="163">
        <v>45017</v>
      </c>
      <c r="T333" s="164">
        <v>9.1999999999999998E-3</v>
      </c>
      <c r="U333" s="159">
        <f t="shared" si="169"/>
        <v>45017</v>
      </c>
      <c r="V333" s="285">
        <f t="shared" si="170"/>
        <v>9.1999999999999998E-3</v>
      </c>
      <c r="BM333" s="31" t="s">
        <v>198</v>
      </c>
      <c r="BN333" s="159">
        <f t="shared" si="149"/>
        <v>43252</v>
      </c>
      <c r="BO333" s="162">
        <f t="shared" si="150"/>
        <v>0</v>
      </c>
      <c r="BP333" s="278">
        <f t="shared" si="153"/>
        <v>0</v>
      </c>
      <c r="BQ333" s="312">
        <f t="shared" si="157"/>
        <v>1.0777959353412707</v>
      </c>
      <c r="BS333" s="31" t="s">
        <v>43</v>
      </c>
      <c r="BT333" s="159">
        <f t="shared" si="145"/>
        <v>43252</v>
      </c>
      <c r="BU333" s="162">
        <f t="shared" si="146"/>
        <v>5.1999999999999998E-3</v>
      </c>
      <c r="BV333" s="311">
        <f t="shared" si="158"/>
        <v>0.73330000000000006</v>
      </c>
      <c r="BX333" s="358" t="s">
        <v>242</v>
      </c>
      <c r="BY333" s="294">
        <f t="shared" si="151"/>
        <v>43252</v>
      </c>
      <c r="BZ333" s="357">
        <f t="shared" si="152"/>
        <v>3.715E-3</v>
      </c>
      <c r="CA333" s="162">
        <f t="shared" si="159"/>
        <v>0.39767300000000061</v>
      </c>
      <c r="CF333" s="31" t="s">
        <v>197</v>
      </c>
      <c r="CG333" s="168">
        <v>43252</v>
      </c>
      <c r="CH333" s="37">
        <v>0</v>
      </c>
      <c r="CI333" s="314">
        <f t="shared" si="154"/>
        <v>0</v>
      </c>
      <c r="CJ333" s="312">
        <f t="shared" si="160"/>
        <v>1</v>
      </c>
      <c r="CN333" s="315">
        <f t="shared" si="161"/>
        <v>43252</v>
      </c>
      <c r="CO333" s="312">
        <f t="shared" si="162"/>
        <v>1</v>
      </c>
      <c r="CQ333" s="315">
        <f t="shared" si="163"/>
        <v>43252</v>
      </c>
      <c r="CR333" s="316">
        <f t="shared" si="164"/>
        <v>0.73330000000000006</v>
      </c>
      <c r="CW333" s="652"/>
    </row>
    <row r="334" spans="2:101" ht="15" customHeight="1">
      <c r="B334" s="1"/>
      <c r="D334" s="274" t="str">
        <f t="shared" si="165"/>
        <v/>
      </c>
      <c r="E334" s="275" t="str">
        <f t="shared" si="166"/>
        <v/>
      </c>
      <c r="G334" s="283"/>
      <c r="H334" s="283"/>
      <c r="I334" s="284"/>
      <c r="J334" s="159" t="str">
        <f t="shared" si="167"/>
        <v/>
      </c>
      <c r="K334" s="278" t="str">
        <f t="shared" si="168"/>
        <v/>
      </c>
      <c r="M334" s="163">
        <v>45017</v>
      </c>
      <c r="N334" s="163">
        <v>45047</v>
      </c>
      <c r="O334" s="164">
        <v>5.0000000000000001E-3</v>
      </c>
      <c r="P334" s="159">
        <f t="shared" si="156"/>
        <v>45017</v>
      </c>
      <c r="Q334" s="292">
        <f t="shared" si="155"/>
        <v>5.0000000000000001E-3</v>
      </c>
      <c r="S334" s="163">
        <v>45047</v>
      </c>
      <c r="T334" s="164">
        <v>1.12E-2</v>
      </c>
      <c r="U334" s="159">
        <f t="shared" si="169"/>
        <v>45047</v>
      </c>
      <c r="V334" s="285">
        <f t="shared" si="170"/>
        <v>1.12E-2</v>
      </c>
      <c r="BM334" s="31" t="s">
        <v>198</v>
      </c>
      <c r="BN334" s="159">
        <f t="shared" si="149"/>
        <v>43282</v>
      </c>
      <c r="BO334" s="162">
        <f t="shared" si="150"/>
        <v>0</v>
      </c>
      <c r="BP334" s="278">
        <f t="shared" si="153"/>
        <v>0</v>
      </c>
      <c r="BQ334" s="312">
        <f t="shared" si="157"/>
        <v>1.0777959353412707</v>
      </c>
      <c r="BS334" s="31" t="s">
        <v>43</v>
      </c>
      <c r="BT334" s="159">
        <f t="shared" si="145"/>
        <v>43282</v>
      </c>
      <c r="BU334" s="162">
        <f t="shared" si="146"/>
        <v>5.4000000000000003E-3</v>
      </c>
      <c r="BV334" s="311">
        <f t="shared" si="158"/>
        <v>0.72810000000000008</v>
      </c>
      <c r="BX334" s="358" t="s">
        <v>242</v>
      </c>
      <c r="BY334" s="294">
        <f t="shared" si="151"/>
        <v>43282</v>
      </c>
      <c r="BZ334" s="357">
        <f t="shared" si="152"/>
        <v>3.715E-3</v>
      </c>
      <c r="CA334" s="162">
        <f t="shared" si="159"/>
        <v>0.39395800000000059</v>
      </c>
      <c r="CF334" s="31" t="s">
        <v>197</v>
      </c>
      <c r="CG334" s="168">
        <v>43282</v>
      </c>
      <c r="CH334" s="37">
        <v>0</v>
      </c>
      <c r="CI334" s="314">
        <f t="shared" si="154"/>
        <v>0</v>
      </c>
      <c r="CJ334" s="312">
        <f t="shared" si="160"/>
        <v>1</v>
      </c>
      <c r="CN334" s="315">
        <f t="shared" si="161"/>
        <v>43282</v>
      </c>
      <c r="CO334" s="312">
        <f t="shared" si="162"/>
        <v>1</v>
      </c>
      <c r="CQ334" s="315">
        <f t="shared" si="163"/>
        <v>43282</v>
      </c>
      <c r="CR334" s="316">
        <f t="shared" si="164"/>
        <v>0.72810000000000008</v>
      </c>
      <c r="CW334"/>
    </row>
    <row r="335" spans="2:101" ht="15" customHeight="1">
      <c r="B335" s="1"/>
      <c r="D335" s="274" t="str">
        <f t="shared" si="165"/>
        <v/>
      </c>
      <c r="E335" s="275" t="str">
        <f t="shared" si="166"/>
        <v/>
      </c>
      <c r="G335" s="283"/>
      <c r="H335" s="283"/>
      <c r="I335" s="284"/>
      <c r="J335" s="159" t="str">
        <f t="shared" si="167"/>
        <v/>
      </c>
      <c r="K335" s="278" t="str">
        <f t="shared" si="168"/>
        <v/>
      </c>
      <c r="M335" s="163">
        <v>45047</v>
      </c>
      <c r="N335" s="163">
        <v>45078</v>
      </c>
      <c r="O335" s="164">
        <v>5.0000000000000001E-3</v>
      </c>
      <c r="P335" s="159">
        <f t="shared" si="156"/>
        <v>45047</v>
      </c>
      <c r="Q335" s="292">
        <f t="shared" si="155"/>
        <v>5.0000000000000001E-3</v>
      </c>
      <c r="S335" s="163">
        <v>45078</v>
      </c>
      <c r="T335" s="164">
        <v>1.0699999999999999E-2</v>
      </c>
      <c r="U335" s="159">
        <f t="shared" si="169"/>
        <v>45078</v>
      </c>
      <c r="V335" s="285">
        <f t="shared" si="170"/>
        <v>1.0699999999999999E-2</v>
      </c>
      <c r="BM335" s="31" t="s">
        <v>198</v>
      </c>
      <c r="BN335" s="159">
        <f t="shared" si="149"/>
        <v>43313</v>
      </c>
      <c r="BO335" s="162">
        <f t="shared" si="150"/>
        <v>0</v>
      </c>
      <c r="BP335" s="278">
        <f t="shared" si="153"/>
        <v>0</v>
      </c>
      <c r="BQ335" s="312">
        <f t="shared" si="157"/>
        <v>1.0777959353412707</v>
      </c>
      <c r="BS335" s="31" t="s">
        <v>43</v>
      </c>
      <c r="BT335" s="159">
        <f t="shared" si="145"/>
        <v>43313</v>
      </c>
      <c r="BU335" s="162">
        <f t="shared" si="146"/>
        <v>5.7000000000000002E-3</v>
      </c>
      <c r="BV335" s="311">
        <f t="shared" si="158"/>
        <v>0.72270000000000012</v>
      </c>
      <c r="BX335" s="358" t="s">
        <v>242</v>
      </c>
      <c r="BY335" s="294">
        <f t="shared" si="151"/>
        <v>43313</v>
      </c>
      <c r="BZ335" s="357">
        <f t="shared" si="152"/>
        <v>3.715E-3</v>
      </c>
      <c r="CA335" s="162">
        <f t="shared" si="159"/>
        <v>0.39024300000000056</v>
      </c>
      <c r="CF335" s="31" t="s">
        <v>197</v>
      </c>
      <c r="CG335" s="168">
        <v>43313</v>
      </c>
      <c r="CH335" s="37">
        <v>0</v>
      </c>
      <c r="CI335" s="314">
        <f t="shared" si="154"/>
        <v>0</v>
      </c>
      <c r="CJ335" s="312">
        <f t="shared" si="160"/>
        <v>1</v>
      </c>
      <c r="CN335" s="315">
        <f t="shared" si="161"/>
        <v>43313</v>
      </c>
      <c r="CO335" s="312">
        <f t="shared" si="162"/>
        <v>1</v>
      </c>
      <c r="CQ335" s="315">
        <f t="shared" si="163"/>
        <v>43313</v>
      </c>
      <c r="CR335" s="316">
        <f t="shared" si="164"/>
        <v>0.72270000000000012</v>
      </c>
      <c r="CW335" s="654" t="s">
        <v>500</v>
      </c>
    </row>
    <row r="336" spans="2:101" ht="15" customHeight="1">
      <c r="B336" s="1"/>
      <c r="D336" s="274" t="str">
        <f t="shared" si="165"/>
        <v/>
      </c>
      <c r="E336" s="275" t="str">
        <f t="shared" si="166"/>
        <v/>
      </c>
      <c r="G336" s="283"/>
      <c r="H336" s="283"/>
      <c r="I336" s="284"/>
      <c r="J336" s="159" t="str">
        <f t="shared" si="167"/>
        <v/>
      </c>
      <c r="K336" s="278" t="str">
        <f t="shared" si="168"/>
        <v/>
      </c>
      <c r="M336" s="163">
        <v>45078</v>
      </c>
      <c r="N336" s="163">
        <v>45108</v>
      </c>
      <c r="O336" s="164">
        <v>5.0000000000000001E-3</v>
      </c>
      <c r="P336" s="159">
        <f t="shared" si="156"/>
        <v>45078</v>
      </c>
      <c r="Q336" s="292">
        <f t="shared" si="155"/>
        <v>5.0000000000000001E-3</v>
      </c>
      <c r="S336" s="163">
        <v>45108</v>
      </c>
      <c r="T336" s="164">
        <v>1.0699999999999999E-2</v>
      </c>
      <c r="U336" s="159">
        <f t="shared" si="169"/>
        <v>45108</v>
      </c>
      <c r="V336" s="285">
        <f t="shared" si="170"/>
        <v>1.0699999999999999E-2</v>
      </c>
      <c r="BM336" s="31" t="s">
        <v>198</v>
      </c>
      <c r="BN336" s="159">
        <f t="shared" si="149"/>
        <v>43344</v>
      </c>
      <c r="BO336" s="162">
        <f t="shared" si="150"/>
        <v>0</v>
      </c>
      <c r="BP336" s="278">
        <f t="shared" si="153"/>
        <v>0</v>
      </c>
      <c r="BQ336" s="312">
        <f t="shared" si="157"/>
        <v>1.0777959353412707</v>
      </c>
      <c r="BS336" s="31" t="s">
        <v>43</v>
      </c>
      <c r="BT336" s="159">
        <f t="shared" ref="BT336:BT399" si="171">U278</f>
        <v>43344</v>
      </c>
      <c r="BU336" s="162">
        <f t="shared" ref="BU336:BU399" si="172">V278</f>
        <v>4.7000000000000002E-3</v>
      </c>
      <c r="BV336" s="311">
        <f t="shared" si="158"/>
        <v>0.71700000000000008</v>
      </c>
      <c r="BX336" s="358" t="s">
        <v>242</v>
      </c>
      <c r="BY336" s="294">
        <f t="shared" si="151"/>
        <v>43344</v>
      </c>
      <c r="BZ336" s="357">
        <f t="shared" si="152"/>
        <v>3.715E-3</v>
      </c>
      <c r="CA336" s="162">
        <f t="shared" si="159"/>
        <v>0.38652800000000054</v>
      </c>
      <c r="CF336" s="31" t="s">
        <v>197</v>
      </c>
      <c r="CG336" s="168">
        <v>43344</v>
      </c>
      <c r="CH336" s="37">
        <v>0</v>
      </c>
      <c r="CI336" s="314">
        <f t="shared" si="154"/>
        <v>0</v>
      </c>
      <c r="CJ336" s="312">
        <f t="shared" si="160"/>
        <v>1</v>
      </c>
      <c r="CN336" s="315">
        <f t="shared" si="161"/>
        <v>43344</v>
      </c>
      <c r="CO336" s="312">
        <f t="shared" si="162"/>
        <v>1</v>
      </c>
      <c r="CQ336" s="315">
        <f t="shared" si="163"/>
        <v>43344</v>
      </c>
      <c r="CR336" s="316">
        <f t="shared" si="164"/>
        <v>0.71700000000000008</v>
      </c>
      <c r="CW336"/>
    </row>
    <row r="337" spans="2:101" ht="15" customHeight="1">
      <c r="B337" s="1"/>
      <c r="D337" s="274" t="str">
        <f t="shared" si="165"/>
        <v/>
      </c>
      <c r="E337" s="275" t="str">
        <f t="shared" si="166"/>
        <v/>
      </c>
      <c r="G337" s="283"/>
      <c r="H337" s="283"/>
      <c r="I337" s="284"/>
      <c r="J337" s="159" t="str">
        <f t="shared" si="167"/>
        <v/>
      </c>
      <c r="K337" s="278" t="str">
        <f t="shared" si="168"/>
        <v/>
      </c>
      <c r="M337" s="163">
        <v>45108</v>
      </c>
      <c r="N337" s="163">
        <v>45139</v>
      </c>
      <c r="O337" s="164">
        <v>5.0000000000000001E-3</v>
      </c>
      <c r="P337" s="159">
        <f t="shared" si="156"/>
        <v>45108</v>
      </c>
      <c r="Q337" s="292">
        <f t="shared" si="155"/>
        <v>5.0000000000000001E-3</v>
      </c>
      <c r="S337" s="163">
        <v>45139</v>
      </c>
      <c r="T337" s="164">
        <v>1.14E-2</v>
      </c>
      <c r="U337" s="159">
        <f t="shared" si="169"/>
        <v>45139</v>
      </c>
      <c r="V337" s="285">
        <f t="shared" si="170"/>
        <v>1.14E-2</v>
      </c>
      <c r="BM337" s="31" t="s">
        <v>198</v>
      </c>
      <c r="BN337" s="159">
        <f t="shared" si="149"/>
        <v>43374</v>
      </c>
      <c r="BO337" s="162">
        <f t="shared" si="150"/>
        <v>0</v>
      </c>
      <c r="BP337" s="278">
        <f t="shared" si="153"/>
        <v>0</v>
      </c>
      <c r="BQ337" s="312">
        <f t="shared" si="157"/>
        <v>1.0777959353412707</v>
      </c>
      <c r="BS337" s="31" t="s">
        <v>43</v>
      </c>
      <c r="BT337" s="159">
        <f t="shared" si="171"/>
        <v>43374</v>
      </c>
      <c r="BU337" s="162">
        <f t="shared" si="172"/>
        <v>5.4000000000000003E-3</v>
      </c>
      <c r="BV337" s="311">
        <f t="shared" si="158"/>
        <v>0.71230000000000004</v>
      </c>
      <c r="BX337" s="358" t="s">
        <v>242</v>
      </c>
      <c r="BY337" s="294">
        <f t="shared" si="151"/>
        <v>43374</v>
      </c>
      <c r="BZ337" s="357">
        <f t="shared" si="152"/>
        <v>3.715E-3</v>
      </c>
      <c r="CA337" s="162">
        <f t="shared" si="159"/>
        <v>0.38281300000000051</v>
      </c>
      <c r="CF337" s="31" t="s">
        <v>197</v>
      </c>
      <c r="CG337" s="168">
        <v>43374</v>
      </c>
      <c r="CH337" s="37">
        <v>0</v>
      </c>
      <c r="CI337" s="314">
        <f t="shared" si="154"/>
        <v>0</v>
      </c>
      <c r="CJ337" s="312">
        <f t="shared" si="160"/>
        <v>1</v>
      </c>
      <c r="CN337" s="315">
        <f t="shared" si="161"/>
        <v>43374</v>
      </c>
      <c r="CO337" s="312">
        <f t="shared" si="162"/>
        <v>1</v>
      </c>
      <c r="CQ337" s="315">
        <f t="shared" si="163"/>
        <v>43374</v>
      </c>
      <c r="CR337" s="316">
        <f t="shared" si="164"/>
        <v>0.71230000000000004</v>
      </c>
      <c r="CW337" s="650" t="s">
        <v>501</v>
      </c>
    </row>
    <row r="338" spans="2:101" ht="15" customHeight="1">
      <c r="B338" s="1"/>
      <c r="D338" s="274" t="str">
        <f t="shared" si="165"/>
        <v/>
      </c>
      <c r="E338" s="275" t="str">
        <f t="shared" si="166"/>
        <v/>
      </c>
      <c r="G338" s="283"/>
      <c r="H338" s="283"/>
      <c r="I338" s="284"/>
      <c r="J338" s="159" t="str">
        <f t="shared" si="167"/>
        <v/>
      </c>
      <c r="K338" s="278" t="str">
        <f t="shared" si="168"/>
        <v/>
      </c>
      <c r="M338" s="163">
        <v>45139</v>
      </c>
      <c r="N338" s="163">
        <v>45170</v>
      </c>
      <c r="O338" s="164">
        <v>5.0000000000000001E-3</v>
      </c>
      <c r="P338" s="159">
        <f t="shared" si="156"/>
        <v>45139</v>
      </c>
      <c r="Q338" s="292">
        <f t="shared" si="155"/>
        <v>5.0000000000000001E-3</v>
      </c>
      <c r="S338" s="163">
        <v>45170</v>
      </c>
      <c r="T338" s="164">
        <v>9.7000000000000003E-3</v>
      </c>
      <c r="U338" s="159">
        <f t="shared" si="169"/>
        <v>45170</v>
      </c>
      <c r="V338" s="285">
        <f t="shared" si="170"/>
        <v>9.7000000000000003E-3</v>
      </c>
      <c r="BM338" s="31" t="s">
        <v>198</v>
      </c>
      <c r="BN338" s="159">
        <f t="shared" si="149"/>
        <v>43405</v>
      </c>
      <c r="BO338" s="162">
        <f t="shared" si="150"/>
        <v>0</v>
      </c>
      <c r="BP338" s="278">
        <f t="shared" si="153"/>
        <v>0</v>
      </c>
      <c r="BQ338" s="312">
        <f t="shared" si="157"/>
        <v>1.0777959353412707</v>
      </c>
      <c r="BS338" s="31" t="s">
        <v>43</v>
      </c>
      <c r="BT338" s="159">
        <f t="shared" si="171"/>
        <v>43405</v>
      </c>
      <c r="BU338" s="162">
        <f t="shared" si="172"/>
        <v>4.8999999999999998E-3</v>
      </c>
      <c r="BV338" s="311">
        <f t="shared" si="158"/>
        <v>0.70690000000000008</v>
      </c>
      <c r="BX338" s="358" t="s">
        <v>242</v>
      </c>
      <c r="BY338" s="294">
        <f t="shared" si="151"/>
        <v>43405</v>
      </c>
      <c r="BZ338" s="357">
        <f t="shared" si="152"/>
        <v>3.715E-3</v>
      </c>
      <c r="CA338" s="162">
        <f t="shared" si="159"/>
        <v>0.37909800000000049</v>
      </c>
      <c r="CF338" s="31" t="s">
        <v>197</v>
      </c>
      <c r="CG338" s="168">
        <v>43405</v>
      </c>
      <c r="CH338" s="37">
        <v>0</v>
      </c>
      <c r="CI338" s="314">
        <f t="shared" si="154"/>
        <v>0</v>
      </c>
      <c r="CJ338" s="312">
        <f t="shared" si="160"/>
        <v>1</v>
      </c>
      <c r="CN338" s="315">
        <f t="shared" si="161"/>
        <v>43405</v>
      </c>
      <c r="CO338" s="312">
        <f t="shared" si="162"/>
        <v>1</v>
      </c>
      <c r="CQ338" s="315">
        <f t="shared" si="163"/>
        <v>43405</v>
      </c>
      <c r="CR338" s="316">
        <f t="shared" si="164"/>
        <v>0.70690000000000008</v>
      </c>
      <c r="CW338" s="650" t="s">
        <v>502</v>
      </c>
    </row>
    <row r="339" spans="2:101" ht="15" customHeight="1">
      <c r="B339" s="1"/>
      <c r="D339" s="274" t="str">
        <f t="shared" si="165"/>
        <v/>
      </c>
      <c r="E339" s="275" t="str">
        <f t="shared" si="166"/>
        <v/>
      </c>
      <c r="G339" s="283"/>
      <c r="H339" s="283"/>
      <c r="I339" s="284"/>
      <c r="J339" s="159" t="str">
        <f t="shared" si="167"/>
        <v/>
      </c>
      <c r="K339" s="278" t="str">
        <f t="shared" si="168"/>
        <v/>
      </c>
      <c r="M339" s="163">
        <v>45170</v>
      </c>
      <c r="N339" s="163">
        <v>45200</v>
      </c>
      <c r="O339" s="164">
        <v>5.0000000000000001E-3</v>
      </c>
      <c r="P339" s="159">
        <f t="shared" si="156"/>
        <v>45170</v>
      </c>
      <c r="Q339" s="292">
        <f t="shared" si="155"/>
        <v>5.0000000000000001E-3</v>
      </c>
      <c r="S339" s="163">
        <v>45200</v>
      </c>
      <c r="T339" s="164">
        <v>0.01</v>
      </c>
      <c r="U339" s="159">
        <f t="shared" si="169"/>
        <v>45200</v>
      </c>
      <c r="V339" s="285">
        <f t="shared" si="170"/>
        <v>0.01</v>
      </c>
      <c r="BM339" s="31" t="s">
        <v>198</v>
      </c>
      <c r="BN339" s="159">
        <f t="shared" si="149"/>
        <v>43435</v>
      </c>
      <c r="BO339" s="162">
        <f t="shared" si="150"/>
        <v>0</v>
      </c>
      <c r="BP339" s="278">
        <f t="shared" si="153"/>
        <v>0</v>
      </c>
      <c r="BQ339" s="312">
        <f t="shared" si="157"/>
        <v>1.0777959353412707</v>
      </c>
      <c r="BS339" s="31" t="s">
        <v>43</v>
      </c>
      <c r="BT339" s="159">
        <f t="shared" si="171"/>
        <v>43435</v>
      </c>
      <c r="BU339" s="162">
        <f t="shared" si="172"/>
        <v>4.8999999999999998E-3</v>
      </c>
      <c r="BV339" s="311">
        <f t="shared" si="158"/>
        <v>0.70200000000000007</v>
      </c>
      <c r="BX339" s="358" t="s">
        <v>242</v>
      </c>
      <c r="BY339" s="294">
        <f t="shared" si="151"/>
        <v>43435</v>
      </c>
      <c r="BZ339" s="357">
        <f t="shared" si="152"/>
        <v>3.715E-3</v>
      </c>
      <c r="CA339" s="162">
        <f t="shared" si="159"/>
        <v>0.37538300000000047</v>
      </c>
      <c r="CF339" s="31" t="s">
        <v>197</v>
      </c>
      <c r="CG339" s="168">
        <v>43435</v>
      </c>
      <c r="CH339" s="37">
        <v>0</v>
      </c>
      <c r="CI339" s="314">
        <f t="shared" si="154"/>
        <v>0</v>
      </c>
      <c r="CJ339" s="312">
        <f t="shared" si="160"/>
        <v>1</v>
      </c>
      <c r="CN339" s="315">
        <f t="shared" si="161"/>
        <v>43435</v>
      </c>
      <c r="CO339" s="312">
        <f t="shared" si="162"/>
        <v>1</v>
      </c>
      <c r="CQ339" s="315">
        <f t="shared" si="163"/>
        <v>43435</v>
      </c>
      <c r="CR339" s="316">
        <f t="shared" si="164"/>
        <v>0.70200000000000007</v>
      </c>
      <c r="CW339" s="650" t="s">
        <v>503</v>
      </c>
    </row>
    <row r="340" spans="2:101" ht="15" customHeight="1">
      <c r="B340" s="1"/>
      <c r="D340" s="274" t="str">
        <f t="shared" si="165"/>
        <v/>
      </c>
      <c r="E340" s="275" t="str">
        <f t="shared" si="166"/>
        <v/>
      </c>
      <c r="G340" s="283"/>
      <c r="H340" s="283"/>
      <c r="I340" s="284"/>
      <c r="J340" s="159" t="str">
        <f t="shared" si="167"/>
        <v/>
      </c>
      <c r="K340" s="278" t="str">
        <f t="shared" si="168"/>
        <v/>
      </c>
      <c r="M340" s="163">
        <v>45200</v>
      </c>
      <c r="N340" s="163">
        <v>45231</v>
      </c>
      <c r="O340" s="164">
        <v>5.0000000000000001E-3</v>
      </c>
      <c r="P340" s="159">
        <f t="shared" si="156"/>
        <v>45200</v>
      </c>
      <c r="Q340" s="292">
        <f t="shared" si="155"/>
        <v>5.0000000000000001E-3</v>
      </c>
      <c r="S340" s="163">
        <v>45231</v>
      </c>
      <c r="T340" s="164">
        <v>9.1999999999999998E-3</v>
      </c>
      <c r="U340" s="159">
        <f t="shared" si="169"/>
        <v>45231</v>
      </c>
      <c r="V340" s="285">
        <f t="shared" si="170"/>
        <v>9.1999999999999998E-3</v>
      </c>
      <c r="BM340" s="31" t="s">
        <v>198</v>
      </c>
      <c r="BN340" s="159">
        <f t="shared" si="149"/>
        <v>43466</v>
      </c>
      <c r="BO340" s="162">
        <f t="shared" si="150"/>
        <v>0</v>
      </c>
      <c r="BP340" s="278">
        <f t="shared" si="153"/>
        <v>0</v>
      </c>
      <c r="BQ340" s="312">
        <f t="shared" si="157"/>
        <v>1.0777959353412707</v>
      </c>
      <c r="BS340" s="31" t="s">
        <v>43</v>
      </c>
      <c r="BT340" s="159">
        <f t="shared" si="171"/>
        <v>43466</v>
      </c>
      <c r="BU340" s="162">
        <f t="shared" si="172"/>
        <v>5.4000000000000003E-3</v>
      </c>
      <c r="BV340" s="311">
        <f t="shared" si="158"/>
        <v>0.69710000000000005</v>
      </c>
      <c r="BX340" s="358" t="s">
        <v>242</v>
      </c>
      <c r="BY340" s="294">
        <f t="shared" si="151"/>
        <v>43466</v>
      </c>
      <c r="BZ340" s="357">
        <f t="shared" si="152"/>
        <v>3.715E-3</v>
      </c>
      <c r="CA340" s="162">
        <f t="shared" si="159"/>
        <v>0.37166800000000044</v>
      </c>
      <c r="CF340" s="31" t="s">
        <v>197</v>
      </c>
      <c r="CG340" s="168">
        <v>43466</v>
      </c>
      <c r="CH340" s="37">
        <v>0</v>
      </c>
      <c r="CI340" s="314">
        <f t="shared" si="154"/>
        <v>0</v>
      </c>
      <c r="CJ340" s="312">
        <f t="shared" si="160"/>
        <v>1</v>
      </c>
      <c r="CN340" s="315">
        <f t="shared" si="161"/>
        <v>43466</v>
      </c>
      <c r="CO340" s="312">
        <f t="shared" si="162"/>
        <v>1</v>
      </c>
      <c r="CQ340" s="315">
        <f t="shared" si="163"/>
        <v>43466</v>
      </c>
      <c r="CR340" s="316">
        <f t="shared" si="164"/>
        <v>0.69710000000000005</v>
      </c>
      <c r="CW340"/>
    </row>
    <row r="341" spans="2:101" ht="15" customHeight="1">
      <c r="B341" s="1"/>
      <c r="D341" s="274" t="str">
        <f t="shared" si="165"/>
        <v/>
      </c>
      <c r="E341" s="275" t="str">
        <f t="shared" si="166"/>
        <v/>
      </c>
      <c r="G341" s="283"/>
      <c r="H341" s="283"/>
      <c r="I341" s="284"/>
      <c r="J341" s="159" t="str">
        <f t="shared" si="167"/>
        <v/>
      </c>
      <c r="K341" s="278" t="str">
        <f t="shared" si="168"/>
        <v/>
      </c>
      <c r="M341" s="163">
        <v>45231</v>
      </c>
      <c r="N341" s="163">
        <v>45261</v>
      </c>
      <c r="O341" s="164">
        <v>5.0000000000000001E-3</v>
      </c>
      <c r="P341" s="159">
        <f t="shared" si="156"/>
        <v>45231</v>
      </c>
      <c r="Q341" s="292">
        <f t="shared" si="155"/>
        <v>5.0000000000000001E-3</v>
      </c>
      <c r="S341" s="163">
        <v>45261</v>
      </c>
      <c r="T341" s="164">
        <v>8.8999999999999999E-3</v>
      </c>
      <c r="U341" s="159">
        <f t="shared" si="169"/>
        <v>45261</v>
      </c>
      <c r="V341" s="285">
        <f t="shared" si="170"/>
        <v>8.8999999999999999E-3</v>
      </c>
      <c r="BM341" s="31" t="s">
        <v>198</v>
      </c>
      <c r="BN341" s="159">
        <f t="shared" si="149"/>
        <v>43497</v>
      </c>
      <c r="BO341" s="162">
        <f t="shared" si="150"/>
        <v>0</v>
      </c>
      <c r="BP341" s="278">
        <f t="shared" si="153"/>
        <v>0</v>
      </c>
      <c r="BQ341" s="312">
        <f t="shared" si="157"/>
        <v>1.0777959353412707</v>
      </c>
      <c r="BS341" s="31" t="s">
        <v>43</v>
      </c>
      <c r="BT341" s="159">
        <f t="shared" si="171"/>
        <v>43497</v>
      </c>
      <c r="BU341" s="162">
        <f t="shared" si="172"/>
        <v>4.8999999999999998E-3</v>
      </c>
      <c r="BV341" s="311">
        <f t="shared" si="158"/>
        <v>0.69170000000000009</v>
      </c>
      <c r="BX341" s="358" t="s">
        <v>242</v>
      </c>
      <c r="BY341" s="294">
        <f t="shared" si="151"/>
        <v>43497</v>
      </c>
      <c r="BZ341" s="357">
        <f t="shared" si="152"/>
        <v>3.715E-3</v>
      </c>
      <c r="CA341" s="162">
        <f t="shared" si="159"/>
        <v>0.36795300000000042</v>
      </c>
      <c r="CF341" s="31" t="s">
        <v>197</v>
      </c>
      <c r="CG341" s="168">
        <v>43497</v>
      </c>
      <c r="CH341" s="37">
        <v>0</v>
      </c>
      <c r="CI341" s="314">
        <f t="shared" si="154"/>
        <v>0</v>
      </c>
      <c r="CJ341" s="312">
        <f t="shared" si="160"/>
        <v>1</v>
      </c>
      <c r="CN341" s="315">
        <f t="shared" si="161"/>
        <v>43497</v>
      </c>
      <c r="CO341" s="312">
        <f t="shared" si="162"/>
        <v>1</v>
      </c>
      <c r="CQ341" s="315">
        <f t="shared" si="163"/>
        <v>43497</v>
      </c>
      <c r="CR341" s="316">
        <f t="shared" si="164"/>
        <v>0.69170000000000009</v>
      </c>
      <c r="CW341" s="662" t="s">
        <v>504</v>
      </c>
    </row>
    <row r="342" spans="2:101" ht="15" customHeight="1">
      <c r="B342" s="1"/>
      <c r="D342" s="274" t="str">
        <f t="shared" si="165"/>
        <v/>
      </c>
      <c r="E342" s="275" t="str">
        <f t="shared" si="166"/>
        <v/>
      </c>
      <c r="G342" s="283"/>
      <c r="H342" s="283"/>
      <c r="I342" s="284"/>
      <c r="J342" s="159" t="str">
        <f t="shared" si="167"/>
        <v/>
      </c>
      <c r="K342" s="278" t="str">
        <f t="shared" si="168"/>
        <v/>
      </c>
      <c r="M342" s="163">
        <v>45261</v>
      </c>
      <c r="N342" s="163">
        <v>45292</v>
      </c>
      <c r="O342" s="164">
        <v>5.0000000000000001E-3</v>
      </c>
      <c r="P342" s="159">
        <f t="shared" si="156"/>
        <v>45261</v>
      </c>
      <c r="Q342" s="292">
        <f t="shared" si="155"/>
        <v>5.0000000000000001E-3</v>
      </c>
      <c r="S342" s="163">
        <v>45292</v>
      </c>
      <c r="T342" s="164">
        <v>9.7000000000000003E-3</v>
      </c>
      <c r="U342" s="159">
        <f t="shared" si="169"/>
        <v>45292</v>
      </c>
      <c r="V342" s="285">
        <f t="shared" si="170"/>
        <v>9.7000000000000003E-3</v>
      </c>
      <c r="BM342" s="31" t="s">
        <v>198</v>
      </c>
      <c r="BN342" s="159">
        <f t="shared" si="149"/>
        <v>43525</v>
      </c>
      <c r="BO342" s="162">
        <f t="shared" si="150"/>
        <v>0</v>
      </c>
      <c r="BP342" s="278">
        <f t="shared" si="153"/>
        <v>0</v>
      </c>
      <c r="BQ342" s="312">
        <f t="shared" si="157"/>
        <v>1.0777959353412707</v>
      </c>
      <c r="BS342" s="31" t="s">
        <v>43</v>
      </c>
      <c r="BT342" s="159">
        <f t="shared" si="171"/>
        <v>43525</v>
      </c>
      <c r="BU342" s="162">
        <f t="shared" si="172"/>
        <v>4.7000000000000002E-3</v>
      </c>
      <c r="BV342" s="311">
        <f t="shared" si="158"/>
        <v>0.68680000000000008</v>
      </c>
      <c r="BX342" s="358" t="s">
        <v>242</v>
      </c>
      <c r="BY342" s="294">
        <f t="shared" si="151"/>
        <v>43525</v>
      </c>
      <c r="BZ342" s="357">
        <f t="shared" si="152"/>
        <v>3.715E-3</v>
      </c>
      <c r="CA342" s="162">
        <f t="shared" si="159"/>
        <v>0.36423800000000039</v>
      </c>
      <c r="CF342" s="31" t="s">
        <v>197</v>
      </c>
      <c r="CG342" s="168">
        <v>43525</v>
      </c>
      <c r="CH342" s="37">
        <v>0</v>
      </c>
      <c r="CI342" s="314">
        <f t="shared" si="154"/>
        <v>0</v>
      </c>
      <c r="CJ342" s="312">
        <f t="shared" si="160"/>
        <v>1</v>
      </c>
      <c r="CN342" s="315">
        <f t="shared" si="161"/>
        <v>43525</v>
      </c>
      <c r="CO342" s="312">
        <f t="shared" si="162"/>
        <v>1</v>
      </c>
      <c r="CQ342" s="315">
        <f t="shared" si="163"/>
        <v>43525</v>
      </c>
      <c r="CR342" s="316">
        <f t="shared" si="164"/>
        <v>0.68680000000000008</v>
      </c>
      <c r="CW342"/>
    </row>
    <row r="343" spans="2:101" ht="15" customHeight="1">
      <c r="B343" s="1"/>
      <c r="D343" s="274" t="str">
        <f t="shared" si="165"/>
        <v/>
      </c>
      <c r="E343" s="275" t="str">
        <f t="shared" si="166"/>
        <v/>
      </c>
      <c r="G343" s="283"/>
      <c r="H343" s="283"/>
      <c r="I343" s="284"/>
      <c r="J343" s="159" t="str">
        <f t="shared" si="167"/>
        <v/>
      </c>
      <c r="K343" s="278" t="str">
        <f t="shared" si="168"/>
        <v/>
      </c>
      <c r="M343" s="163">
        <v>45292</v>
      </c>
      <c r="N343" s="163">
        <v>45323</v>
      </c>
      <c r="O343" s="164">
        <v>5.0000000000000001E-3</v>
      </c>
      <c r="P343" s="159">
        <f t="shared" si="156"/>
        <v>45292</v>
      </c>
      <c r="Q343" s="292">
        <f t="shared" si="155"/>
        <v>5.0000000000000001E-3</v>
      </c>
      <c r="S343" s="163">
        <v>45323</v>
      </c>
      <c r="T343" s="164">
        <v>8.0000000000000002E-3</v>
      </c>
      <c r="U343" s="159">
        <f t="shared" si="169"/>
        <v>45323</v>
      </c>
      <c r="V343" s="285">
        <f t="shared" si="170"/>
        <v>8.0000000000000002E-3</v>
      </c>
      <c r="BM343" s="31" t="s">
        <v>198</v>
      </c>
      <c r="BN343" s="159">
        <f t="shared" si="149"/>
        <v>43556</v>
      </c>
      <c r="BO343" s="162">
        <f t="shared" si="150"/>
        <v>0</v>
      </c>
      <c r="BP343" s="278">
        <f t="shared" si="153"/>
        <v>0</v>
      </c>
      <c r="BQ343" s="312">
        <f t="shared" si="157"/>
        <v>1.0777959353412707</v>
      </c>
      <c r="BS343" s="31" t="s">
        <v>43</v>
      </c>
      <c r="BT343" s="159">
        <f t="shared" si="171"/>
        <v>43556</v>
      </c>
      <c r="BU343" s="162">
        <f t="shared" si="172"/>
        <v>5.1999999999999998E-3</v>
      </c>
      <c r="BV343" s="311">
        <f t="shared" si="158"/>
        <v>0.68210000000000004</v>
      </c>
      <c r="BX343" s="358" t="s">
        <v>242</v>
      </c>
      <c r="BY343" s="294">
        <f t="shared" si="151"/>
        <v>43556</v>
      </c>
      <c r="BZ343" s="357">
        <f t="shared" si="152"/>
        <v>3.715E-3</v>
      </c>
      <c r="CA343" s="162">
        <f t="shared" si="159"/>
        <v>0.36052300000000037</v>
      </c>
      <c r="CF343" s="31" t="s">
        <v>197</v>
      </c>
      <c r="CG343" s="168">
        <v>43556</v>
      </c>
      <c r="CH343" s="37">
        <v>0</v>
      </c>
      <c r="CI343" s="314">
        <f t="shared" si="154"/>
        <v>0</v>
      </c>
      <c r="CJ343" s="312">
        <f t="shared" si="160"/>
        <v>1</v>
      </c>
      <c r="CN343" s="315">
        <f t="shared" si="161"/>
        <v>43556</v>
      </c>
      <c r="CO343" s="312">
        <f t="shared" si="162"/>
        <v>1</v>
      </c>
      <c r="CQ343" s="315">
        <f t="shared" si="163"/>
        <v>43556</v>
      </c>
      <c r="CR343" s="316">
        <f t="shared" si="164"/>
        <v>0.68210000000000004</v>
      </c>
      <c r="CW343" s="652" t="s">
        <v>505</v>
      </c>
    </row>
    <row r="344" spans="2:101" ht="15" customHeight="1">
      <c r="B344" s="1"/>
      <c r="D344" s="274" t="str">
        <f t="shared" si="165"/>
        <v/>
      </c>
      <c r="E344" s="275" t="str">
        <f t="shared" si="166"/>
        <v/>
      </c>
      <c r="G344" s="283"/>
      <c r="H344" s="283"/>
      <c r="I344" s="284"/>
      <c r="J344" s="159" t="str">
        <f t="shared" si="167"/>
        <v/>
      </c>
      <c r="K344" s="278" t="str">
        <f t="shared" si="168"/>
        <v/>
      </c>
      <c r="M344" s="163">
        <v>45323</v>
      </c>
      <c r="N344" s="163">
        <v>45352</v>
      </c>
      <c r="O344" s="164">
        <v>5.0000000000000001E-3</v>
      </c>
      <c r="P344" s="159">
        <f t="shared" si="156"/>
        <v>45323</v>
      </c>
      <c r="Q344" s="292">
        <f t="shared" si="155"/>
        <v>5.0000000000000001E-3</v>
      </c>
      <c r="S344" s="163">
        <v>45352</v>
      </c>
      <c r="T344" s="164">
        <v>8.3000000000000001E-3</v>
      </c>
      <c r="U344" s="159">
        <f t="shared" si="169"/>
        <v>45352</v>
      </c>
      <c r="V344" s="285">
        <f t="shared" si="170"/>
        <v>8.3000000000000001E-3</v>
      </c>
      <c r="BM344" s="31" t="s">
        <v>198</v>
      </c>
      <c r="BN344" s="159">
        <f t="shared" si="149"/>
        <v>43586</v>
      </c>
      <c r="BO344" s="162">
        <f t="shared" si="150"/>
        <v>0</v>
      </c>
      <c r="BP344" s="278">
        <f t="shared" si="153"/>
        <v>0</v>
      </c>
      <c r="BQ344" s="312">
        <f t="shared" si="157"/>
        <v>1.0777959353412707</v>
      </c>
      <c r="BS344" s="31" t="s">
        <v>43</v>
      </c>
      <c r="BT344" s="159">
        <f t="shared" si="171"/>
        <v>43586</v>
      </c>
      <c r="BU344" s="162">
        <f t="shared" si="172"/>
        <v>5.4000000000000003E-3</v>
      </c>
      <c r="BV344" s="311">
        <f t="shared" si="158"/>
        <v>0.67690000000000006</v>
      </c>
      <c r="BX344" s="358" t="s">
        <v>242</v>
      </c>
      <c r="BY344" s="294">
        <f t="shared" si="151"/>
        <v>43586</v>
      </c>
      <c r="BZ344" s="357">
        <f t="shared" si="152"/>
        <v>3.715E-3</v>
      </c>
      <c r="CA344" s="162">
        <f t="shared" si="159"/>
        <v>0.35680800000000035</v>
      </c>
      <c r="CF344" s="31" t="s">
        <v>197</v>
      </c>
      <c r="CG344" s="168">
        <v>43586</v>
      </c>
      <c r="CH344" s="37">
        <v>0</v>
      </c>
      <c r="CI344" s="314">
        <f t="shared" si="154"/>
        <v>0</v>
      </c>
      <c r="CJ344" s="312">
        <f t="shared" si="160"/>
        <v>1</v>
      </c>
      <c r="CN344" s="315">
        <f t="shared" si="161"/>
        <v>43586</v>
      </c>
      <c r="CO344" s="312">
        <f t="shared" si="162"/>
        <v>1</v>
      </c>
      <c r="CQ344" s="315">
        <f t="shared" si="163"/>
        <v>43586</v>
      </c>
      <c r="CR344" s="316">
        <f t="shared" si="164"/>
        <v>0.67690000000000006</v>
      </c>
      <c r="CW344"/>
    </row>
    <row r="345" spans="2:101" ht="15" customHeight="1">
      <c r="B345" s="1"/>
      <c r="D345" s="274" t="str">
        <f t="shared" si="165"/>
        <v/>
      </c>
      <c r="E345" s="275" t="str">
        <f t="shared" si="166"/>
        <v/>
      </c>
      <c r="G345" s="283"/>
      <c r="H345" s="283"/>
      <c r="I345" s="284"/>
      <c r="J345" s="159" t="str">
        <f t="shared" si="167"/>
        <v/>
      </c>
      <c r="K345" s="278" t="str">
        <f t="shared" si="168"/>
        <v/>
      </c>
      <c r="M345" s="163">
        <v>45352</v>
      </c>
      <c r="N345" s="163">
        <v>45383</v>
      </c>
      <c r="O345" s="164">
        <v>5.0000000000000001E-3</v>
      </c>
      <c r="P345" s="159">
        <f t="shared" si="156"/>
        <v>45352</v>
      </c>
      <c r="Q345" s="292">
        <f t="shared" si="155"/>
        <v>5.0000000000000001E-3</v>
      </c>
      <c r="S345" s="163">
        <v>45383</v>
      </c>
      <c r="T345" s="164">
        <v>8.8999999999999999E-3</v>
      </c>
      <c r="U345" s="159">
        <f t="shared" si="169"/>
        <v>45383</v>
      </c>
      <c r="V345" s="285">
        <f t="shared" si="170"/>
        <v>8.8999999999999999E-3</v>
      </c>
      <c r="BM345" s="31" t="s">
        <v>198</v>
      </c>
      <c r="BN345" s="159">
        <f t="shared" si="149"/>
        <v>43617</v>
      </c>
      <c r="BO345" s="162">
        <f t="shared" si="150"/>
        <v>0</v>
      </c>
      <c r="BP345" s="278">
        <f t="shared" si="153"/>
        <v>0</v>
      </c>
      <c r="BQ345" s="312">
        <f t="shared" si="157"/>
        <v>1.0777959353412707</v>
      </c>
      <c r="BS345" s="31" t="s">
        <v>43</v>
      </c>
      <c r="BT345" s="159">
        <f t="shared" si="171"/>
        <v>43617</v>
      </c>
      <c r="BU345" s="162">
        <f t="shared" si="172"/>
        <v>4.7000000000000002E-3</v>
      </c>
      <c r="BV345" s="311">
        <f t="shared" si="158"/>
        <v>0.6715000000000001</v>
      </c>
      <c r="BX345" s="358" t="s">
        <v>242</v>
      </c>
      <c r="BY345" s="294">
        <f t="shared" si="151"/>
        <v>43617</v>
      </c>
      <c r="BZ345" s="357">
        <f t="shared" si="152"/>
        <v>3.715E-3</v>
      </c>
      <c r="CA345" s="162">
        <f t="shared" si="159"/>
        <v>0.35309300000000032</v>
      </c>
      <c r="CF345" s="31" t="s">
        <v>197</v>
      </c>
      <c r="CG345" s="168">
        <v>43617</v>
      </c>
      <c r="CH345" s="37">
        <v>0</v>
      </c>
      <c r="CI345" s="314">
        <f t="shared" si="154"/>
        <v>0</v>
      </c>
      <c r="CJ345" s="312">
        <f t="shared" si="160"/>
        <v>1</v>
      </c>
      <c r="CN345" s="315">
        <f t="shared" si="161"/>
        <v>43617</v>
      </c>
      <c r="CO345" s="312">
        <f t="shared" si="162"/>
        <v>1</v>
      </c>
      <c r="CQ345" s="315">
        <f t="shared" si="163"/>
        <v>43617</v>
      </c>
      <c r="CR345" s="316">
        <f t="shared" si="164"/>
        <v>0.6715000000000001</v>
      </c>
      <c r="CW345" s="652" t="s">
        <v>506</v>
      </c>
    </row>
    <row r="346" spans="2:101" ht="15" customHeight="1">
      <c r="B346" s="1"/>
      <c r="D346" s="274" t="str">
        <f t="shared" si="165"/>
        <v/>
      </c>
      <c r="E346" s="275" t="str">
        <f t="shared" si="166"/>
        <v/>
      </c>
      <c r="G346" s="283"/>
      <c r="H346" s="283"/>
      <c r="I346" s="284"/>
      <c r="J346" s="159" t="str">
        <f t="shared" si="167"/>
        <v/>
      </c>
      <c r="K346" s="278" t="str">
        <f t="shared" si="168"/>
        <v/>
      </c>
      <c r="M346" s="163">
        <v>45383</v>
      </c>
      <c r="N346" s="163">
        <v>45413</v>
      </c>
      <c r="O346" s="164">
        <v>5.0000000000000001E-3</v>
      </c>
      <c r="P346" s="159">
        <f t="shared" si="156"/>
        <v>45383</v>
      </c>
      <c r="Q346" s="292">
        <f t="shared" si="155"/>
        <v>5.0000000000000001E-3</v>
      </c>
      <c r="S346" s="163">
        <v>45413</v>
      </c>
      <c r="T346" s="164">
        <v>8.3000000000000001E-3</v>
      </c>
      <c r="U346" s="159">
        <f t="shared" si="169"/>
        <v>45413</v>
      </c>
      <c r="V346" s="285">
        <f t="shared" si="170"/>
        <v>8.3000000000000001E-3</v>
      </c>
      <c r="BM346" s="31" t="s">
        <v>198</v>
      </c>
      <c r="BN346" s="159">
        <f t="shared" si="149"/>
        <v>43647</v>
      </c>
      <c r="BO346" s="162">
        <f t="shared" si="150"/>
        <v>0</v>
      </c>
      <c r="BP346" s="278">
        <f t="shared" si="153"/>
        <v>0</v>
      </c>
      <c r="BQ346" s="312">
        <f t="shared" si="157"/>
        <v>1.0777959353412707</v>
      </c>
      <c r="BS346" s="31" t="s">
        <v>43</v>
      </c>
      <c r="BT346" s="159">
        <f t="shared" si="171"/>
        <v>43647</v>
      </c>
      <c r="BU346" s="162">
        <f t="shared" si="172"/>
        <v>5.7000000000000002E-3</v>
      </c>
      <c r="BV346" s="311">
        <f t="shared" si="158"/>
        <v>0.66680000000000006</v>
      </c>
      <c r="BX346" s="358" t="s">
        <v>242</v>
      </c>
      <c r="BY346" s="294">
        <f t="shared" si="151"/>
        <v>43647</v>
      </c>
      <c r="BZ346" s="357">
        <f t="shared" si="152"/>
        <v>3.715E-3</v>
      </c>
      <c r="CA346" s="162">
        <f t="shared" si="159"/>
        <v>0.3493780000000003</v>
      </c>
      <c r="CF346" s="31" t="s">
        <v>197</v>
      </c>
      <c r="CG346" s="168">
        <v>43647</v>
      </c>
      <c r="CH346" s="37">
        <v>0</v>
      </c>
      <c r="CI346" s="314">
        <f t="shared" si="154"/>
        <v>0</v>
      </c>
      <c r="CJ346" s="312">
        <f t="shared" si="160"/>
        <v>1</v>
      </c>
      <c r="CN346" s="315">
        <f t="shared" si="161"/>
        <v>43647</v>
      </c>
      <c r="CO346" s="312">
        <f t="shared" si="162"/>
        <v>1</v>
      </c>
      <c r="CQ346" s="315">
        <f t="shared" si="163"/>
        <v>43647</v>
      </c>
      <c r="CR346" s="316">
        <f t="shared" si="164"/>
        <v>0.66680000000000006</v>
      </c>
      <c r="CW346"/>
    </row>
    <row r="347" spans="2:101" ht="15" customHeight="1">
      <c r="B347" s="1"/>
      <c r="D347" s="274" t="str">
        <f t="shared" si="165"/>
        <v/>
      </c>
      <c r="E347" s="275" t="str">
        <f t="shared" si="166"/>
        <v/>
      </c>
      <c r="G347" s="283"/>
      <c r="H347" s="283"/>
      <c r="I347" s="284"/>
      <c r="J347" s="159" t="str">
        <f t="shared" si="167"/>
        <v/>
      </c>
      <c r="K347" s="278" t="str">
        <f t="shared" si="168"/>
        <v/>
      </c>
      <c r="M347" s="163">
        <v>45413</v>
      </c>
      <c r="N347" s="163">
        <v>45444</v>
      </c>
      <c r="O347" s="164">
        <v>5.0000000000000001E-3</v>
      </c>
      <c r="P347" s="159">
        <f t="shared" si="156"/>
        <v>45413</v>
      </c>
      <c r="Q347" s="292">
        <f t="shared" si="155"/>
        <v>5.0000000000000001E-3</v>
      </c>
      <c r="S347" s="163">
        <v>45444</v>
      </c>
      <c r="T347" s="164">
        <v>7.9000000000000008E-3</v>
      </c>
      <c r="U347" s="159">
        <f t="shared" si="169"/>
        <v>45444</v>
      </c>
      <c r="V347" s="285">
        <f t="shared" si="170"/>
        <v>7.9000000000000008E-3</v>
      </c>
      <c r="BM347" s="31" t="s">
        <v>198</v>
      </c>
      <c r="BN347" s="159">
        <f t="shared" si="149"/>
        <v>43678</v>
      </c>
      <c r="BO347" s="162">
        <f t="shared" si="150"/>
        <v>0</v>
      </c>
      <c r="BP347" s="278">
        <f t="shared" ref="BP347:BP396" si="173">+IF(BO347="","",BO347)</f>
        <v>0</v>
      </c>
      <c r="BQ347" s="312">
        <f t="shared" si="157"/>
        <v>1.0777959353412707</v>
      </c>
      <c r="BS347" s="31" t="s">
        <v>43</v>
      </c>
      <c r="BT347" s="159">
        <f t="shared" si="171"/>
        <v>43678</v>
      </c>
      <c r="BU347" s="162">
        <f t="shared" si="172"/>
        <v>5.0000000000000001E-3</v>
      </c>
      <c r="BV347" s="311">
        <f t="shared" si="158"/>
        <v>0.66110000000000002</v>
      </c>
      <c r="BX347" s="358" t="s">
        <v>242</v>
      </c>
      <c r="BY347" s="294">
        <f t="shared" si="151"/>
        <v>43678</v>
      </c>
      <c r="BZ347" s="357">
        <f t="shared" si="152"/>
        <v>3.434E-3</v>
      </c>
      <c r="CA347" s="162">
        <f t="shared" si="159"/>
        <v>0.34566300000000028</v>
      </c>
      <c r="CF347" s="31" t="s">
        <v>197</v>
      </c>
      <c r="CG347" s="168">
        <v>43678</v>
      </c>
      <c r="CH347" s="37">
        <v>0</v>
      </c>
      <c r="CI347" s="314">
        <f t="shared" si="154"/>
        <v>0</v>
      </c>
      <c r="CJ347" s="312">
        <f t="shared" si="160"/>
        <v>1</v>
      </c>
      <c r="CN347" s="315">
        <f t="shared" si="161"/>
        <v>43678</v>
      </c>
      <c r="CO347" s="312">
        <f t="shared" si="162"/>
        <v>1</v>
      </c>
      <c r="CQ347" s="315">
        <f t="shared" si="163"/>
        <v>43678</v>
      </c>
      <c r="CR347" s="316">
        <f t="shared" si="164"/>
        <v>0.66110000000000002</v>
      </c>
      <c r="CW347" s="650" t="s">
        <v>507</v>
      </c>
    </row>
    <row r="348" spans="2:101" ht="15" customHeight="1">
      <c r="B348" s="1"/>
      <c r="D348" s="274" t="str">
        <f t="shared" si="165"/>
        <v/>
      </c>
      <c r="E348" s="275" t="str">
        <f t="shared" si="166"/>
        <v/>
      </c>
      <c r="G348" s="283"/>
      <c r="H348" s="283"/>
      <c r="I348" s="284"/>
      <c r="J348" s="159" t="str">
        <f t="shared" si="167"/>
        <v/>
      </c>
      <c r="K348" s="278" t="str">
        <f t="shared" si="168"/>
        <v/>
      </c>
      <c r="M348" s="163">
        <v>45444</v>
      </c>
      <c r="N348" s="163">
        <v>45474</v>
      </c>
      <c r="O348" s="164">
        <v>5.0000000000000001E-3</v>
      </c>
      <c r="P348" s="159">
        <f t="shared" si="156"/>
        <v>45444</v>
      </c>
      <c r="Q348" s="292">
        <f t="shared" si="155"/>
        <v>5.0000000000000001E-3</v>
      </c>
      <c r="S348" s="163">
        <v>45474</v>
      </c>
      <c r="T348" s="164">
        <v>9.1000000000000004E-3</v>
      </c>
      <c r="U348" s="159">
        <f t="shared" si="169"/>
        <v>45474</v>
      </c>
      <c r="V348" s="285">
        <f t="shared" si="170"/>
        <v>9.1000000000000004E-3</v>
      </c>
      <c r="BM348" s="31" t="s">
        <v>198</v>
      </c>
      <c r="BN348" s="159">
        <f t="shared" si="149"/>
        <v>43709</v>
      </c>
      <c r="BO348" s="162">
        <f t="shared" si="150"/>
        <v>0</v>
      </c>
      <c r="BP348" s="278">
        <f t="shared" si="173"/>
        <v>0</v>
      </c>
      <c r="BQ348" s="312">
        <f t="shared" si="157"/>
        <v>1.0777959353412707</v>
      </c>
      <c r="BS348" s="31" t="s">
        <v>43</v>
      </c>
      <c r="BT348" s="159">
        <f t="shared" si="171"/>
        <v>43709</v>
      </c>
      <c r="BU348" s="162">
        <f t="shared" si="172"/>
        <v>4.5999999999999999E-3</v>
      </c>
      <c r="BV348" s="311">
        <f t="shared" si="158"/>
        <v>0.65610000000000002</v>
      </c>
      <c r="BX348" s="358" t="s">
        <v>242</v>
      </c>
      <c r="BY348" s="294">
        <f t="shared" si="151"/>
        <v>43709</v>
      </c>
      <c r="BZ348" s="357">
        <f t="shared" si="152"/>
        <v>3.434E-3</v>
      </c>
      <c r="CA348" s="162">
        <f t="shared" si="159"/>
        <v>0.34222900000000028</v>
      </c>
      <c r="CF348" s="31" t="s">
        <v>197</v>
      </c>
      <c r="CG348" s="168">
        <v>43709</v>
      </c>
      <c r="CH348" s="37">
        <v>0</v>
      </c>
      <c r="CI348" s="314">
        <f t="shared" si="154"/>
        <v>0</v>
      </c>
      <c r="CJ348" s="312">
        <f t="shared" si="160"/>
        <v>1</v>
      </c>
      <c r="CN348" s="315">
        <f t="shared" si="161"/>
        <v>43709</v>
      </c>
      <c r="CO348" s="312">
        <f t="shared" si="162"/>
        <v>1</v>
      </c>
      <c r="CQ348" s="315">
        <f t="shared" si="163"/>
        <v>43709</v>
      </c>
      <c r="CR348" s="316">
        <f t="shared" si="164"/>
        <v>0.65610000000000002</v>
      </c>
      <c r="CW348"/>
    </row>
    <row r="349" spans="2:101" ht="15" customHeight="1">
      <c r="B349" s="1"/>
      <c r="D349" s="274" t="str">
        <f t="shared" si="165"/>
        <v/>
      </c>
      <c r="E349" s="275" t="str">
        <f t="shared" si="166"/>
        <v/>
      </c>
      <c r="G349" s="283"/>
      <c r="H349" s="283"/>
      <c r="I349" s="284"/>
      <c r="J349" s="159" t="str">
        <f t="shared" si="167"/>
        <v/>
      </c>
      <c r="K349" s="278" t="str">
        <f t="shared" si="168"/>
        <v/>
      </c>
      <c r="M349" s="163">
        <v>45474</v>
      </c>
      <c r="N349" s="163">
        <v>45505</v>
      </c>
      <c r="O349" s="164">
        <v>5.0000000000000001E-3</v>
      </c>
      <c r="P349" s="159">
        <f t="shared" si="156"/>
        <v>45474</v>
      </c>
      <c r="Q349" s="292">
        <f t="shared" si="155"/>
        <v>5.0000000000000001E-3</v>
      </c>
      <c r="S349" s="163">
        <v>45505</v>
      </c>
      <c r="T349" s="164">
        <v>8.6999999999999994E-3</v>
      </c>
      <c r="U349" s="159">
        <f t="shared" si="169"/>
        <v>45505</v>
      </c>
      <c r="V349" s="285">
        <f t="shared" si="170"/>
        <v>8.6999999999999994E-3</v>
      </c>
      <c r="BM349" s="31" t="s">
        <v>198</v>
      </c>
      <c r="BN349" s="159">
        <f t="shared" si="149"/>
        <v>43739</v>
      </c>
      <c r="BO349" s="162">
        <f t="shared" si="150"/>
        <v>0</v>
      </c>
      <c r="BP349" s="278">
        <f t="shared" si="173"/>
        <v>0</v>
      </c>
      <c r="BQ349" s="312">
        <f t="shared" si="157"/>
        <v>1.0777959353412707</v>
      </c>
      <c r="BS349" s="31" t="s">
        <v>43</v>
      </c>
      <c r="BT349" s="159">
        <f t="shared" si="171"/>
        <v>43739</v>
      </c>
      <c r="BU349" s="162">
        <f t="shared" si="172"/>
        <v>4.7999999999999996E-3</v>
      </c>
      <c r="BV349" s="311">
        <f t="shared" si="158"/>
        <v>0.65149999999999997</v>
      </c>
      <c r="BX349" s="358" t="s">
        <v>242</v>
      </c>
      <c r="BY349" s="294">
        <f t="shared" si="151"/>
        <v>43739</v>
      </c>
      <c r="BZ349" s="357">
        <f t="shared" si="152"/>
        <v>3.153E-3</v>
      </c>
      <c r="CA349" s="162">
        <f t="shared" si="159"/>
        <v>0.33879500000000029</v>
      </c>
      <c r="CF349" s="31" t="s">
        <v>197</v>
      </c>
      <c r="CG349" s="168">
        <v>43739</v>
      </c>
      <c r="CH349" s="37">
        <v>0</v>
      </c>
      <c r="CI349" s="314">
        <f t="shared" si="154"/>
        <v>0</v>
      </c>
      <c r="CJ349" s="312">
        <f t="shared" si="160"/>
        <v>1</v>
      </c>
      <c r="CN349" s="315">
        <f t="shared" si="161"/>
        <v>43739</v>
      </c>
      <c r="CO349" s="312">
        <f t="shared" si="162"/>
        <v>1</v>
      </c>
      <c r="CQ349" s="315">
        <f t="shared" si="163"/>
        <v>43739</v>
      </c>
      <c r="CR349" s="316">
        <f t="shared" si="164"/>
        <v>0.65149999999999997</v>
      </c>
      <c r="CW349" s="650" t="s">
        <v>508</v>
      </c>
    </row>
    <row r="350" spans="2:101" ht="15" customHeight="1">
      <c r="B350" s="1"/>
      <c r="D350" s="274" t="str">
        <f t="shared" si="165"/>
        <v/>
      </c>
      <c r="E350" s="275" t="str">
        <f t="shared" si="166"/>
        <v/>
      </c>
      <c r="G350" s="283"/>
      <c r="H350" s="283"/>
      <c r="I350" s="284"/>
      <c r="J350" s="159" t="str">
        <f t="shared" si="167"/>
        <v/>
      </c>
      <c r="K350" s="278" t="str">
        <f t="shared" si="168"/>
        <v/>
      </c>
      <c r="M350" s="163">
        <v>45505</v>
      </c>
      <c r="N350" s="163">
        <v>45536</v>
      </c>
      <c r="O350" s="164">
        <v>5.0000000000000001E-3</v>
      </c>
      <c r="P350" s="159">
        <f t="shared" si="156"/>
        <v>45505</v>
      </c>
      <c r="Q350" s="292">
        <f t="shared" si="155"/>
        <v>5.0000000000000001E-3</v>
      </c>
      <c r="S350" s="163">
        <v>45536</v>
      </c>
      <c r="T350" s="164">
        <v>8.3999999999999995E-3</v>
      </c>
      <c r="U350" s="159">
        <f t="shared" si="169"/>
        <v>45536</v>
      </c>
      <c r="V350" s="285">
        <f t="shared" si="170"/>
        <v>8.3999999999999995E-3</v>
      </c>
      <c r="BM350" s="31" t="s">
        <v>198</v>
      </c>
      <c r="BN350" s="159">
        <f t="shared" si="149"/>
        <v>43770</v>
      </c>
      <c r="BO350" s="162">
        <f t="shared" si="150"/>
        <v>0</v>
      </c>
      <c r="BP350" s="278">
        <f t="shared" si="173"/>
        <v>0</v>
      </c>
      <c r="BQ350" s="312">
        <f t="shared" si="157"/>
        <v>1.0777959353412707</v>
      </c>
      <c r="BS350" s="31" t="s">
        <v>43</v>
      </c>
      <c r="BT350" s="159">
        <f t="shared" si="171"/>
        <v>43770</v>
      </c>
      <c r="BU350" s="162">
        <f t="shared" si="172"/>
        <v>3.8E-3</v>
      </c>
      <c r="BV350" s="311">
        <f t="shared" si="158"/>
        <v>0.64669999999999994</v>
      </c>
      <c r="BX350" s="358" t="s">
        <v>242</v>
      </c>
      <c r="BY350" s="294">
        <f t="shared" si="151"/>
        <v>43770</v>
      </c>
      <c r="BZ350" s="357">
        <f t="shared" si="152"/>
        <v>2.8709999999999999E-3</v>
      </c>
      <c r="CA350" s="162">
        <f t="shared" si="159"/>
        <v>0.33564200000000027</v>
      </c>
      <c r="CF350" s="31" t="s">
        <v>197</v>
      </c>
      <c r="CG350" s="168">
        <v>43770</v>
      </c>
      <c r="CH350" s="37">
        <v>0</v>
      </c>
      <c r="CI350" s="314">
        <f t="shared" si="154"/>
        <v>0</v>
      </c>
      <c r="CJ350" s="312">
        <f t="shared" si="160"/>
        <v>1</v>
      </c>
      <c r="CN350" s="315">
        <f t="shared" si="161"/>
        <v>43770</v>
      </c>
      <c r="CO350" s="312">
        <f t="shared" si="162"/>
        <v>1</v>
      </c>
      <c r="CQ350" s="315">
        <f t="shared" si="163"/>
        <v>43770</v>
      </c>
      <c r="CR350" s="316">
        <f t="shared" si="164"/>
        <v>0.64669999999999994</v>
      </c>
      <c r="CW350"/>
    </row>
    <row r="351" spans="2:101" ht="15" customHeight="1">
      <c r="B351" s="1"/>
      <c r="D351" s="274" t="str">
        <f t="shared" si="165"/>
        <v/>
      </c>
      <c r="E351" s="275" t="str">
        <f t="shared" si="166"/>
        <v/>
      </c>
      <c r="G351" s="283"/>
      <c r="H351" s="283"/>
      <c r="I351" s="284"/>
      <c r="J351" s="159" t="str">
        <f t="shared" si="167"/>
        <v/>
      </c>
      <c r="K351" s="278" t="str">
        <f t="shared" si="168"/>
        <v/>
      </c>
      <c r="M351" s="163">
        <v>45536</v>
      </c>
      <c r="N351" s="163">
        <v>45566</v>
      </c>
      <c r="O351" s="164">
        <v>5.0000000000000001E-3</v>
      </c>
      <c r="P351" s="159">
        <f t="shared" si="156"/>
        <v>45536</v>
      </c>
      <c r="Q351" s="292">
        <f t="shared" si="155"/>
        <v>5.0000000000000001E-3</v>
      </c>
      <c r="S351" s="163">
        <v>45566</v>
      </c>
      <c r="T351" s="164">
        <v>9.2999999999999992E-3</v>
      </c>
      <c r="U351" s="159">
        <f t="shared" si="169"/>
        <v>45566</v>
      </c>
      <c r="V351" s="285">
        <f t="shared" si="170"/>
        <v>9.2999999999999992E-3</v>
      </c>
      <c r="BM351" s="31" t="s">
        <v>198</v>
      </c>
      <c r="BN351" s="159">
        <f t="shared" si="149"/>
        <v>43800</v>
      </c>
      <c r="BO351" s="162">
        <f t="shared" si="150"/>
        <v>0</v>
      </c>
      <c r="BP351" s="278">
        <f t="shared" si="173"/>
        <v>0</v>
      </c>
      <c r="BQ351" s="312">
        <f t="shared" si="157"/>
        <v>1.0777959353412707</v>
      </c>
      <c r="BS351" s="31" t="s">
        <v>43</v>
      </c>
      <c r="BT351" s="159">
        <f t="shared" si="171"/>
        <v>43800</v>
      </c>
      <c r="BU351" s="162">
        <f t="shared" si="172"/>
        <v>3.7000000000000002E-3</v>
      </c>
      <c r="BV351" s="311">
        <f t="shared" si="158"/>
        <v>0.64289999999999992</v>
      </c>
      <c r="BX351" s="358" t="s">
        <v>242</v>
      </c>
      <c r="BY351" s="294">
        <f t="shared" si="151"/>
        <v>43800</v>
      </c>
      <c r="BZ351" s="357">
        <f t="shared" si="152"/>
        <v>2.8709999999999999E-3</v>
      </c>
      <c r="CA351" s="162">
        <f t="shared" si="159"/>
        <v>0.33277100000000026</v>
      </c>
      <c r="CF351" s="31" t="s">
        <v>197</v>
      </c>
      <c r="CG351" s="168">
        <v>43800</v>
      </c>
      <c r="CH351" s="37">
        <v>0</v>
      </c>
      <c r="CI351" s="314">
        <f t="shared" si="154"/>
        <v>0</v>
      </c>
      <c r="CJ351" s="312">
        <f t="shared" si="160"/>
        <v>1</v>
      </c>
      <c r="CN351" s="315">
        <f t="shared" si="161"/>
        <v>43800</v>
      </c>
      <c r="CO351" s="312">
        <f t="shared" si="162"/>
        <v>1</v>
      </c>
      <c r="CQ351" s="315">
        <f t="shared" si="163"/>
        <v>43800</v>
      </c>
      <c r="CR351" s="316">
        <f t="shared" si="164"/>
        <v>0.64289999999999992</v>
      </c>
      <c r="CW351" s="650" t="s">
        <v>509</v>
      </c>
    </row>
    <row r="352" spans="2:101" ht="15" customHeight="1">
      <c r="B352" s="1"/>
      <c r="D352" s="274" t="str">
        <f t="shared" si="165"/>
        <v/>
      </c>
      <c r="E352" s="275" t="str">
        <f t="shared" si="166"/>
        <v/>
      </c>
      <c r="G352" s="283"/>
      <c r="H352" s="283"/>
      <c r="I352" s="284"/>
      <c r="J352" s="159" t="str">
        <f t="shared" si="167"/>
        <v/>
      </c>
      <c r="K352" s="278" t="str">
        <f t="shared" si="168"/>
        <v/>
      </c>
      <c r="M352" s="163">
        <v>45566</v>
      </c>
      <c r="N352" s="163">
        <v>45597</v>
      </c>
      <c r="O352" s="164">
        <v>5.0000000000000001E-3</v>
      </c>
      <c r="P352" s="159">
        <f t="shared" si="156"/>
        <v>45566</v>
      </c>
      <c r="Q352" s="292">
        <f t="shared" si="155"/>
        <v>5.0000000000000001E-3</v>
      </c>
      <c r="S352" s="163">
        <v>45597</v>
      </c>
      <c r="T352" s="164">
        <v>7.9000000000000008E-3</v>
      </c>
      <c r="U352" s="159">
        <f t="shared" si="169"/>
        <v>45597</v>
      </c>
      <c r="V352" s="285">
        <f t="shared" si="170"/>
        <v>7.9000000000000008E-3</v>
      </c>
      <c r="BM352" s="31" t="s">
        <v>198</v>
      </c>
      <c r="BN352" s="159">
        <f t="shared" si="149"/>
        <v>43831</v>
      </c>
      <c r="BO352" s="162">
        <f t="shared" si="150"/>
        <v>0</v>
      </c>
      <c r="BP352" s="278">
        <f t="shared" si="173"/>
        <v>0</v>
      </c>
      <c r="BQ352" s="312">
        <f t="shared" si="157"/>
        <v>1.0777959353412707</v>
      </c>
      <c r="BS352" s="31" t="s">
        <v>43</v>
      </c>
      <c r="BT352" s="159">
        <f t="shared" si="171"/>
        <v>43831</v>
      </c>
      <c r="BU352" s="162">
        <f t="shared" si="172"/>
        <v>3.8E-3</v>
      </c>
      <c r="BV352" s="311">
        <f t="shared" si="158"/>
        <v>0.63919999999999988</v>
      </c>
      <c r="BX352" s="358" t="s">
        <v>242</v>
      </c>
      <c r="BY352" s="294">
        <f t="shared" si="151"/>
        <v>43831</v>
      </c>
      <c r="BZ352" s="357">
        <f t="shared" si="152"/>
        <v>2.588E-3</v>
      </c>
      <c r="CA352" s="162">
        <f t="shared" si="159"/>
        <v>0.32990000000000025</v>
      </c>
      <c r="CF352" s="31" t="s">
        <v>197</v>
      </c>
      <c r="CG352" s="168">
        <v>43831</v>
      </c>
      <c r="CH352" s="37">
        <v>0</v>
      </c>
      <c r="CI352" s="314">
        <f t="shared" si="154"/>
        <v>0</v>
      </c>
      <c r="CJ352" s="312">
        <f t="shared" si="160"/>
        <v>1</v>
      </c>
      <c r="CN352" s="315">
        <f t="shared" si="161"/>
        <v>43831</v>
      </c>
      <c r="CO352" s="312">
        <f t="shared" si="162"/>
        <v>1</v>
      </c>
      <c r="CQ352" s="315">
        <f t="shared" si="163"/>
        <v>43831</v>
      </c>
      <c r="CR352" s="316">
        <f t="shared" si="164"/>
        <v>0.63919999999999988</v>
      </c>
      <c r="CW352"/>
    </row>
    <row r="353" spans="2:101" ht="15" customHeight="1">
      <c r="B353" s="1"/>
      <c r="D353" s="274" t="str">
        <f t="shared" si="165"/>
        <v/>
      </c>
      <c r="E353" s="275" t="str">
        <f t="shared" si="166"/>
        <v/>
      </c>
      <c r="G353" s="283"/>
      <c r="H353" s="283"/>
      <c r="I353" s="284"/>
      <c r="J353" s="159" t="str">
        <f t="shared" si="167"/>
        <v/>
      </c>
      <c r="K353" s="278" t="str">
        <f t="shared" si="168"/>
        <v/>
      </c>
      <c r="M353" s="163">
        <v>45597</v>
      </c>
      <c r="N353" s="163">
        <v>45627</v>
      </c>
      <c r="O353" s="164">
        <v>5.0000000000000001E-3</v>
      </c>
      <c r="P353" s="159">
        <f t="shared" si="156"/>
        <v>45597</v>
      </c>
      <c r="Q353" s="292">
        <f t="shared" si="155"/>
        <v>5.0000000000000001E-3</v>
      </c>
      <c r="S353" s="163">
        <v>45627</v>
      </c>
      <c r="T353" s="164">
        <v>9.2999999999999992E-3</v>
      </c>
      <c r="U353" s="159">
        <f t="shared" si="169"/>
        <v>45627</v>
      </c>
      <c r="V353" s="285">
        <f t="shared" si="170"/>
        <v>9.2999999999999992E-3</v>
      </c>
      <c r="BM353" s="31" t="s">
        <v>198</v>
      </c>
      <c r="BN353" s="159">
        <f t="shared" si="149"/>
        <v>43862</v>
      </c>
      <c r="BO353" s="162">
        <f t="shared" si="150"/>
        <v>0</v>
      </c>
      <c r="BP353" s="278">
        <f t="shared" si="173"/>
        <v>0</v>
      </c>
      <c r="BQ353" s="312">
        <f t="shared" si="157"/>
        <v>1.0777959353412707</v>
      </c>
      <c r="BS353" s="31" t="s">
        <v>43</v>
      </c>
      <c r="BT353" s="159">
        <f t="shared" si="171"/>
        <v>43862</v>
      </c>
      <c r="BU353" s="162">
        <f t="shared" si="172"/>
        <v>2.8999999999999998E-3</v>
      </c>
      <c r="BV353" s="311">
        <f t="shared" si="158"/>
        <v>0.63539999999999985</v>
      </c>
      <c r="BX353" s="358" t="s">
        <v>242</v>
      </c>
      <c r="BY353" s="294">
        <f t="shared" si="151"/>
        <v>43862</v>
      </c>
      <c r="BZ353" s="357">
        <f t="shared" si="152"/>
        <v>2.588E-3</v>
      </c>
      <c r="CA353" s="162">
        <f t="shared" si="159"/>
        <v>0.32731200000000027</v>
      </c>
      <c r="CF353" s="31" t="s">
        <v>197</v>
      </c>
      <c r="CG353" s="168">
        <v>43862</v>
      </c>
      <c r="CH353" s="37">
        <v>0</v>
      </c>
      <c r="CI353" s="314">
        <f t="shared" si="154"/>
        <v>0</v>
      </c>
      <c r="CJ353" s="312">
        <f t="shared" si="160"/>
        <v>1</v>
      </c>
      <c r="CN353" s="315">
        <f t="shared" si="161"/>
        <v>43862</v>
      </c>
      <c r="CO353" s="312">
        <f t="shared" si="162"/>
        <v>1</v>
      </c>
      <c r="CQ353" s="315">
        <f t="shared" si="163"/>
        <v>43862</v>
      </c>
      <c r="CR353" s="316">
        <f t="shared" si="164"/>
        <v>0.63539999999999985</v>
      </c>
      <c r="CW353" s="652" t="s">
        <v>510</v>
      </c>
    </row>
    <row r="354" spans="2:101" ht="15" customHeight="1">
      <c r="B354" s="1"/>
      <c r="D354" s="274" t="str">
        <f t="shared" si="165"/>
        <v/>
      </c>
      <c r="E354" s="275" t="str">
        <f t="shared" si="166"/>
        <v/>
      </c>
      <c r="G354" s="283"/>
      <c r="H354" s="283"/>
      <c r="I354" s="284"/>
      <c r="J354" s="159" t="str">
        <f t="shared" si="167"/>
        <v/>
      </c>
      <c r="K354" s="278" t="str">
        <f t="shared" si="168"/>
        <v/>
      </c>
      <c r="M354" s="163">
        <v>45627</v>
      </c>
      <c r="N354" s="163">
        <v>45658</v>
      </c>
      <c r="O354" s="164">
        <v>5.0000000000000001E-3</v>
      </c>
      <c r="P354" s="159">
        <f t="shared" si="156"/>
        <v>45627</v>
      </c>
      <c r="Q354" s="292">
        <f t="shared" si="155"/>
        <v>5.0000000000000001E-3</v>
      </c>
      <c r="S354" s="163">
        <v>45658</v>
      </c>
      <c r="T354" s="164">
        <v>1.01E-2</v>
      </c>
      <c r="U354" s="159">
        <f t="shared" si="169"/>
        <v>45658</v>
      </c>
      <c r="V354" s="285">
        <f t="shared" si="170"/>
        <v>1.01E-2</v>
      </c>
      <c r="BM354" s="31" t="s">
        <v>198</v>
      </c>
      <c r="BN354" s="159">
        <f t="shared" ref="BN354:BN417" si="174">J235</f>
        <v>43891</v>
      </c>
      <c r="BO354" s="162">
        <f t="shared" ref="BO354:BO417" si="175">K235</f>
        <v>0</v>
      </c>
      <c r="BP354" s="278">
        <f t="shared" si="173"/>
        <v>0</v>
      </c>
      <c r="BQ354" s="312">
        <f t="shared" si="157"/>
        <v>1.0777959353412707</v>
      </c>
      <c r="BS354" s="31" t="s">
        <v>43</v>
      </c>
      <c r="BT354" s="159">
        <f t="shared" si="171"/>
        <v>43891</v>
      </c>
      <c r="BU354" s="162">
        <f t="shared" si="172"/>
        <v>3.3999999999999998E-3</v>
      </c>
      <c r="BV354" s="311">
        <f t="shared" si="158"/>
        <v>0.63249999999999984</v>
      </c>
      <c r="BX354" s="358" t="s">
        <v>242</v>
      </c>
      <c r="BY354" s="294">
        <f t="shared" si="151"/>
        <v>43891</v>
      </c>
      <c r="BZ354" s="357">
        <f t="shared" si="152"/>
        <v>2.4459999999999998E-3</v>
      </c>
      <c r="CA354" s="162">
        <f t="shared" si="159"/>
        <v>0.32472400000000029</v>
      </c>
      <c r="CF354" s="31" t="s">
        <v>197</v>
      </c>
      <c r="CG354" s="168">
        <v>43891</v>
      </c>
      <c r="CH354" s="37">
        <v>0</v>
      </c>
      <c r="CI354" s="314">
        <f t="shared" si="154"/>
        <v>0</v>
      </c>
      <c r="CJ354" s="312">
        <f t="shared" si="160"/>
        <v>1</v>
      </c>
      <c r="CN354" s="315">
        <f t="shared" si="161"/>
        <v>43891</v>
      </c>
      <c r="CO354" s="312">
        <f t="shared" si="162"/>
        <v>1</v>
      </c>
      <c r="CQ354" s="315">
        <f t="shared" si="163"/>
        <v>43891</v>
      </c>
      <c r="CR354" s="316">
        <f t="shared" si="164"/>
        <v>0.63249999999999984</v>
      </c>
      <c r="CW354"/>
    </row>
    <row r="355" spans="2:101" ht="15" customHeight="1">
      <c r="B355" s="1"/>
      <c r="D355" s="274" t="str">
        <f t="shared" si="165"/>
        <v/>
      </c>
      <c r="E355" s="275" t="str">
        <f t="shared" si="166"/>
        <v/>
      </c>
      <c r="G355" s="283"/>
      <c r="H355" s="283"/>
      <c r="I355" s="284"/>
      <c r="J355" s="159" t="str">
        <f t="shared" si="167"/>
        <v/>
      </c>
      <c r="K355" s="278" t="str">
        <f t="shared" si="168"/>
        <v/>
      </c>
      <c r="M355" s="163">
        <v>45658</v>
      </c>
      <c r="N355" s="163">
        <v>45689</v>
      </c>
      <c r="O355" s="164">
        <v>5.0000000000000001E-3</v>
      </c>
      <c r="P355" s="159">
        <f t="shared" si="156"/>
        <v>45658</v>
      </c>
      <c r="Q355" s="292">
        <f t="shared" si="155"/>
        <v>5.0000000000000001E-3</v>
      </c>
      <c r="S355" s="163">
        <v>45689</v>
      </c>
      <c r="T355" s="164">
        <v>9.9000000000000008E-3</v>
      </c>
      <c r="U355" s="159">
        <f t="shared" si="169"/>
        <v>45689</v>
      </c>
      <c r="V355" s="285">
        <f t="shared" si="170"/>
        <v>9.9000000000000008E-3</v>
      </c>
      <c r="BM355" s="31" t="s">
        <v>198</v>
      </c>
      <c r="BN355" s="159">
        <f t="shared" si="174"/>
        <v>43922</v>
      </c>
      <c r="BO355" s="162">
        <f t="shared" si="175"/>
        <v>0</v>
      </c>
      <c r="BP355" s="278">
        <f t="shared" si="173"/>
        <v>0</v>
      </c>
      <c r="BQ355" s="312">
        <f t="shared" si="157"/>
        <v>1.0777959353412707</v>
      </c>
      <c r="BS355" s="31" t="s">
        <v>43</v>
      </c>
      <c r="BT355" s="159">
        <f t="shared" si="171"/>
        <v>43922</v>
      </c>
      <c r="BU355" s="162">
        <f t="shared" si="172"/>
        <v>2.8E-3</v>
      </c>
      <c r="BV355" s="311">
        <f t="shared" si="158"/>
        <v>0.62909999999999988</v>
      </c>
      <c r="BX355" s="358" t="s">
        <v>242</v>
      </c>
      <c r="BY355" s="294">
        <f t="shared" ref="BY355:BY418" si="176">P298</f>
        <v>43922</v>
      </c>
      <c r="BZ355" s="357">
        <f t="shared" ref="BZ355:BZ418" si="177">Q298</f>
        <v>2.1619999999999999E-3</v>
      </c>
      <c r="CA355" s="162">
        <f t="shared" si="159"/>
        <v>0.32227800000000029</v>
      </c>
      <c r="CF355" s="31" t="s">
        <v>197</v>
      </c>
      <c r="CG355" s="168">
        <v>43922</v>
      </c>
      <c r="CH355" s="37">
        <v>0</v>
      </c>
      <c r="CI355" s="314">
        <f t="shared" si="154"/>
        <v>0</v>
      </c>
      <c r="CJ355" s="312">
        <f t="shared" si="160"/>
        <v>1</v>
      </c>
      <c r="CN355" s="315">
        <f t="shared" si="161"/>
        <v>43922</v>
      </c>
      <c r="CO355" s="312">
        <f t="shared" si="162"/>
        <v>1</v>
      </c>
      <c r="CQ355" s="315">
        <f t="shared" si="163"/>
        <v>43922</v>
      </c>
      <c r="CR355" s="316">
        <f t="shared" si="164"/>
        <v>0.62909999999999988</v>
      </c>
      <c r="CW355" s="663" t="s">
        <v>511</v>
      </c>
    </row>
    <row r="356" spans="2:101" ht="15" customHeight="1">
      <c r="B356" s="1"/>
      <c r="D356" s="274" t="str">
        <f t="shared" si="165"/>
        <v/>
      </c>
      <c r="E356" s="275" t="str">
        <f t="shared" si="166"/>
        <v/>
      </c>
      <c r="G356" s="283"/>
      <c r="H356" s="283"/>
      <c r="I356" s="284"/>
      <c r="J356" s="159" t="str">
        <f t="shared" si="167"/>
        <v/>
      </c>
      <c r="K356" s="278" t="str">
        <f t="shared" si="168"/>
        <v/>
      </c>
      <c r="M356" s="163">
        <v>45689</v>
      </c>
      <c r="N356" s="163">
        <v>45717</v>
      </c>
      <c r="O356" s="164">
        <v>5.0000000000000001E-3</v>
      </c>
      <c r="P356" s="159">
        <f t="shared" si="156"/>
        <v>45689</v>
      </c>
      <c r="Q356" s="292">
        <f t="shared" si="155"/>
        <v>5.0000000000000001E-3</v>
      </c>
      <c r="S356" s="163">
        <v>45717</v>
      </c>
      <c r="T356" s="164">
        <v>9.5999999999999992E-3</v>
      </c>
      <c r="U356" s="159">
        <f t="shared" si="169"/>
        <v>45717</v>
      </c>
      <c r="V356" s="285">
        <f t="shared" si="170"/>
        <v>9.5999999999999992E-3</v>
      </c>
      <c r="BM356" s="31" t="s">
        <v>198</v>
      </c>
      <c r="BN356" s="159">
        <f t="shared" si="174"/>
        <v>43952</v>
      </c>
      <c r="BO356" s="162">
        <f t="shared" si="175"/>
        <v>0</v>
      </c>
      <c r="BP356" s="278">
        <f t="shared" si="173"/>
        <v>0</v>
      </c>
      <c r="BQ356" s="312">
        <f t="shared" si="157"/>
        <v>1.0777959353412707</v>
      </c>
      <c r="BS356" s="31" t="s">
        <v>43</v>
      </c>
      <c r="BT356" s="159">
        <f t="shared" si="171"/>
        <v>43952</v>
      </c>
      <c r="BU356" s="162">
        <f t="shared" si="172"/>
        <v>2.3999999999999998E-3</v>
      </c>
      <c r="BV356" s="311">
        <f t="shared" si="158"/>
        <v>0.62629999999999986</v>
      </c>
      <c r="BX356" s="358" t="s">
        <v>242</v>
      </c>
      <c r="BY356" s="294">
        <f t="shared" si="176"/>
        <v>43952</v>
      </c>
      <c r="BZ356" s="357">
        <f t="shared" si="177"/>
        <v>2.1619999999999999E-3</v>
      </c>
      <c r="CA356" s="162">
        <f t="shared" si="159"/>
        <v>0.32011600000000029</v>
      </c>
      <c r="CF356" s="31" t="s">
        <v>197</v>
      </c>
      <c r="CG356" s="168">
        <v>43952</v>
      </c>
      <c r="CH356" s="37">
        <v>0</v>
      </c>
      <c r="CI356" s="314">
        <f t="shared" si="154"/>
        <v>0</v>
      </c>
      <c r="CJ356" s="312">
        <f t="shared" si="160"/>
        <v>1</v>
      </c>
      <c r="CN356" s="315">
        <f t="shared" si="161"/>
        <v>43952</v>
      </c>
      <c r="CO356" s="312">
        <f t="shared" si="162"/>
        <v>1</v>
      </c>
      <c r="CQ356" s="315">
        <f t="shared" si="163"/>
        <v>43952</v>
      </c>
      <c r="CR356" s="316">
        <f t="shared" si="164"/>
        <v>0.62629999999999986</v>
      </c>
      <c r="CW356"/>
    </row>
    <row r="357" spans="2:101" ht="15" customHeight="1">
      <c r="B357" s="1"/>
      <c r="D357" s="274" t="str">
        <f t="shared" si="165"/>
        <v/>
      </c>
      <c r="E357" s="275" t="str">
        <f t="shared" si="166"/>
        <v/>
      </c>
      <c r="G357" s="283"/>
      <c r="H357" s="283"/>
      <c r="I357" s="284"/>
      <c r="J357" s="159" t="str">
        <f t="shared" si="167"/>
        <v/>
      </c>
      <c r="K357" s="278" t="str">
        <f t="shared" si="168"/>
        <v/>
      </c>
      <c r="M357" s="163">
        <v>45717</v>
      </c>
      <c r="N357" s="163">
        <v>45748</v>
      </c>
      <c r="O357" s="164">
        <v>5.0000000000000001E-3</v>
      </c>
      <c r="P357" s="159">
        <f t="shared" si="156"/>
        <v>45717</v>
      </c>
      <c r="Q357" s="292">
        <f t="shared" si="155"/>
        <v>5.0000000000000001E-3</v>
      </c>
      <c r="S357" s="163">
        <v>45748</v>
      </c>
      <c r="T357" s="164">
        <v>1.06E-2</v>
      </c>
      <c r="U357" s="159">
        <f t="shared" si="169"/>
        <v>45748</v>
      </c>
      <c r="V357" s="285">
        <f t="shared" si="170"/>
        <v>1.06E-2</v>
      </c>
      <c r="BM357" s="31" t="s">
        <v>198</v>
      </c>
      <c r="BN357" s="159">
        <f t="shared" si="174"/>
        <v>43983</v>
      </c>
      <c r="BO357" s="162">
        <f t="shared" si="175"/>
        <v>0</v>
      </c>
      <c r="BP357" s="278">
        <f t="shared" si="173"/>
        <v>0</v>
      </c>
      <c r="BQ357" s="312">
        <f t="shared" si="157"/>
        <v>1.0777959353412707</v>
      </c>
      <c r="BS357" s="31" t="s">
        <v>43</v>
      </c>
      <c r="BT357" s="159">
        <f t="shared" si="171"/>
        <v>43983</v>
      </c>
      <c r="BU357" s="162">
        <f t="shared" si="172"/>
        <v>2.0999999999999999E-3</v>
      </c>
      <c r="BV357" s="311">
        <f t="shared" si="158"/>
        <v>0.6238999999999999</v>
      </c>
      <c r="BX357" s="358" t="s">
        <v>242</v>
      </c>
      <c r="BY357" s="294">
        <f t="shared" si="176"/>
        <v>43983</v>
      </c>
      <c r="BZ357" s="357">
        <f t="shared" si="177"/>
        <v>1.7329999999999999E-3</v>
      </c>
      <c r="CA357" s="162">
        <f t="shared" si="159"/>
        <v>0.31795400000000029</v>
      </c>
      <c r="CF357" s="31" t="s">
        <v>197</v>
      </c>
      <c r="CG357" s="168">
        <v>43983</v>
      </c>
      <c r="CH357" s="37">
        <v>0</v>
      </c>
      <c r="CI357" s="314">
        <f t="shared" si="154"/>
        <v>0</v>
      </c>
      <c r="CJ357" s="312">
        <f t="shared" si="160"/>
        <v>1</v>
      </c>
      <c r="CN357" s="315">
        <f t="shared" si="161"/>
        <v>43983</v>
      </c>
      <c r="CO357" s="312">
        <f t="shared" si="162"/>
        <v>1</v>
      </c>
      <c r="CQ357" s="315">
        <f t="shared" si="163"/>
        <v>43983</v>
      </c>
      <c r="CR357" s="316">
        <f t="shared" si="164"/>
        <v>0.6238999999999999</v>
      </c>
      <c r="CW357" s="650" t="s">
        <v>512</v>
      </c>
    </row>
    <row r="358" spans="2:101" ht="15" customHeight="1">
      <c r="B358" s="1"/>
      <c r="D358" s="274" t="str">
        <f t="shared" si="165"/>
        <v/>
      </c>
      <c r="E358" s="275" t="str">
        <f t="shared" si="166"/>
        <v/>
      </c>
      <c r="G358" s="283"/>
      <c r="H358" s="283"/>
      <c r="I358" s="284"/>
      <c r="J358" s="159" t="str">
        <f t="shared" si="167"/>
        <v/>
      </c>
      <c r="K358" s="278" t="str">
        <f t="shared" si="168"/>
        <v/>
      </c>
      <c r="M358" s="163">
        <v>45748</v>
      </c>
      <c r="N358" s="163">
        <v>45778</v>
      </c>
      <c r="O358" s="164">
        <v>5.0000000000000001E-3</v>
      </c>
      <c r="P358" s="159">
        <f t="shared" si="156"/>
        <v>45748</v>
      </c>
      <c r="Q358" s="292">
        <f t="shared" si="155"/>
        <v>5.0000000000000001E-3</v>
      </c>
      <c r="S358" s="163">
        <v>45778</v>
      </c>
      <c r="T358" s="164">
        <v>1.14E-2</v>
      </c>
      <c r="U358" s="159">
        <f t="shared" si="169"/>
        <v>45778</v>
      </c>
      <c r="V358" s="285">
        <f t="shared" si="170"/>
        <v>1.14E-2</v>
      </c>
      <c r="BM358" s="31" t="s">
        <v>198</v>
      </c>
      <c r="BN358" s="159">
        <f t="shared" si="174"/>
        <v>44013</v>
      </c>
      <c r="BO358" s="162">
        <f t="shared" si="175"/>
        <v>0</v>
      </c>
      <c r="BP358" s="278">
        <f t="shared" si="173"/>
        <v>0</v>
      </c>
      <c r="BQ358" s="312">
        <f t="shared" si="157"/>
        <v>1.0777959353412707</v>
      </c>
      <c r="BS358" s="31" t="s">
        <v>43</v>
      </c>
      <c r="BT358" s="159">
        <f t="shared" si="171"/>
        <v>44013</v>
      </c>
      <c r="BU358" s="162">
        <f t="shared" si="172"/>
        <v>1.9E-3</v>
      </c>
      <c r="BV358" s="311">
        <f t="shared" si="158"/>
        <v>0.62179999999999991</v>
      </c>
      <c r="BX358" s="358" t="s">
        <v>242</v>
      </c>
      <c r="BY358" s="294">
        <f t="shared" si="176"/>
        <v>44013</v>
      </c>
      <c r="BZ358" s="357">
        <f t="shared" si="177"/>
        <v>1.3029999999999999E-3</v>
      </c>
      <c r="CA358" s="162">
        <f t="shared" si="159"/>
        <v>0.31622100000000031</v>
      </c>
      <c r="CF358" s="31" t="s">
        <v>197</v>
      </c>
      <c r="CG358" s="168">
        <v>44013</v>
      </c>
      <c r="CH358" s="37">
        <v>0</v>
      </c>
      <c r="CI358" s="314">
        <f t="shared" si="154"/>
        <v>0</v>
      </c>
      <c r="CJ358" s="312">
        <f t="shared" si="160"/>
        <v>1</v>
      </c>
      <c r="CN358" s="315">
        <f t="shared" si="161"/>
        <v>44013</v>
      </c>
      <c r="CO358" s="312">
        <f t="shared" si="162"/>
        <v>1</v>
      </c>
      <c r="CQ358" s="315">
        <f t="shared" si="163"/>
        <v>44013</v>
      </c>
      <c r="CR358" s="316">
        <f t="shared" si="164"/>
        <v>0.62179999999999991</v>
      </c>
      <c r="CW358"/>
    </row>
    <row r="359" spans="2:101" ht="15" customHeight="1">
      <c r="B359" s="1"/>
      <c r="D359" s="274" t="str">
        <f t="shared" si="165"/>
        <v/>
      </c>
      <c r="E359" s="275" t="str">
        <f t="shared" si="166"/>
        <v/>
      </c>
      <c r="G359" s="283"/>
      <c r="H359" s="283"/>
      <c r="I359" s="284"/>
      <c r="J359" s="159" t="str">
        <f t="shared" si="167"/>
        <v/>
      </c>
      <c r="K359" s="278" t="str">
        <f t="shared" si="168"/>
        <v/>
      </c>
      <c r="M359" s="163">
        <v>45778</v>
      </c>
      <c r="N359" s="163">
        <v>45809</v>
      </c>
      <c r="O359" s="164">
        <v>5.0000000000000001E-3</v>
      </c>
      <c r="P359" s="159">
        <f t="shared" si="156"/>
        <v>45778</v>
      </c>
      <c r="Q359" s="292">
        <f t="shared" si="155"/>
        <v>5.0000000000000001E-3</v>
      </c>
      <c r="S359" s="163">
        <v>45809</v>
      </c>
      <c r="T359" s="164">
        <v>1.0999999999999999E-2</v>
      </c>
      <c r="U359" s="159">
        <f t="shared" si="169"/>
        <v>45809</v>
      </c>
      <c r="V359" s="285">
        <f t="shared" si="170"/>
        <v>1.0999999999999999E-2</v>
      </c>
      <c r="BM359" s="31" t="s">
        <v>198</v>
      </c>
      <c r="BN359" s="159">
        <f t="shared" si="174"/>
        <v>44044</v>
      </c>
      <c r="BO359" s="162">
        <f t="shared" si="175"/>
        <v>0</v>
      </c>
      <c r="BP359" s="278">
        <f t="shared" si="173"/>
        <v>0</v>
      </c>
      <c r="BQ359" s="312">
        <f t="shared" si="157"/>
        <v>1.0777959353412707</v>
      </c>
      <c r="BS359" s="31" t="s">
        <v>43</v>
      </c>
      <c r="BT359" s="159">
        <f t="shared" si="171"/>
        <v>44044</v>
      </c>
      <c r="BU359" s="162">
        <f t="shared" si="172"/>
        <v>1.6000000000000001E-3</v>
      </c>
      <c r="BV359" s="311">
        <f t="shared" si="158"/>
        <v>0.6198999999999999</v>
      </c>
      <c r="BX359" s="358" t="s">
        <v>242</v>
      </c>
      <c r="BY359" s="294">
        <f t="shared" si="176"/>
        <v>44044</v>
      </c>
      <c r="BZ359" s="357">
        <f t="shared" si="177"/>
        <v>1.3029999999999999E-3</v>
      </c>
      <c r="CA359" s="162">
        <f t="shared" si="159"/>
        <v>0.31491800000000031</v>
      </c>
      <c r="CF359" s="31" t="s">
        <v>197</v>
      </c>
      <c r="CG359" s="168">
        <v>44044</v>
      </c>
      <c r="CH359" s="37">
        <v>0</v>
      </c>
      <c r="CI359" s="314">
        <f t="shared" si="154"/>
        <v>0</v>
      </c>
      <c r="CJ359" s="312">
        <f t="shared" si="160"/>
        <v>1</v>
      </c>
      <c r="CN359" s="315">
        <f t="shared" si="161"/>
        <v>44044</v>
      </c>
      <c r="CO359" s="312">
        <f t="shared" si="162"/>
        <v>1</v>
      </c>
      <c r="CQ359" s="315">
        <f t="shared" si="163"/>
        <v>44044</v>
      </c>
      <c r="CR359" s="316">
        <f t="shared" si="164"/>
        <v>0.6198999999999999</v>
      </c>
      <c r="CW359" s="650" t="s">
        <v>513</v>
      </c>
    </row>
    <row r="360" spans="2:101" ht="15" customHeight="1">
      <c r="B360" s="1"/>
      <c r="D360" s="274" t="str">
        <f t="shared" si="165"/>
        <v/>
      </c>
      <c r="E360" s="275" t="str">
        <f t="shared" si="166"/>
        <v/>
      </c>
      <c r="G360" s="283"/>
      <c r="H360" s="283"/>
      <c r="I360" s="284"/>
      <c r="J360" s="159" t="str">
        <f t="shared" si="167"/>
        <v/>
      </c>
      <c r="K360" s="278" t="str">
        <f t="shared" si="168"/>
        <v/>
      </c>
      <c r="M360" s="163">
        <v>45809</v>
      </c>
      <c r="N360" s="163">
        <v>45839</v>
      </c>
      <c r="O360" s="164">
        <v>5.0000000000000001E-3</v>
      </c>
      <c r="P360" s="159">
        <f t="shared" si="156"/>
        <v>45809</v>
      </c>
      <c r="Q360" s="292">
        <f t="shared" si="155"/>
        <v>5.0000000000000001E-3</v>
      </c>
      <c r="S360" s="163">
        <v>45839</v>
      </c>
      <c r="T360" s="164">
        <v>1.2800000000000001E-2</v>
      </c>
      <c r="U360" s="159">
        <f t="shared" si="169"/>
        <v>45839</v>
      </c>
      <c r="V360" s="285">
        <f t="shared" si="170"/>
        <v>1.2800000000000001E-2</v>
      </c>
      <c r="BM360" s="31" t="s">
        <v>198</v>
      </c>
      <c r="BN360" s="159">
        <f t="shared" si="174"/>
        <v>44075</v>
      </c>
      <c r="BO360" s="162">
        <f t="shared" si="175"/>
        <v>0</v>
      </c>
      <c r="BP360" s="278">
        <f t="shared" si="173"/>
        <v>0</v>
      </c>
      <c r="BQ360" s="312">
        <f t="shared" si="157"/>
        <v>1.0777959353412707</v>
      </c>
      <c r="BS360" s="31" t="s">
        <v>43</v>
      </c>
      <c r="BT360" s="159">
        <f t="shared" si="171"/>
        <v>44075</v>
      </c>
      <c r="BU360" s="162">
        <f t="shared" si="172"/>
        <v>1.6000000000000001E-3</v>
      </c>
      <c r="BV360" s="311">
        <f t="shared" si="158"/>
        <v>0.61829999999999985</v>
      </c>
      <c r="BX360" s="358" t="s">
        <v>242</v>
      </c>
      <c r="BY360" s="294">
        <f t="shared" si="176"/>
        <v>44075</v>
      </c>
      <c r="BZ360" s="357">
        <f t="shared" si="177"/>
        <v>1.1590000000000001E-3</v>
      </c>
      <c r="CA360" s="162">
        <f t="shared" si="159"/>
        <v>0.31361500000000031</v>
      </c>
      <c r="CF360" s="31" t="s">
        <v>197</v>
      </c>
      <c r="CG360" s="168">
        <v>44075</v>
      </c>
      <c r="CH360" s="37">
        <v>0</v>
      </c>
      <c r="CI360" s="314">
        <f t="shared" si="154"/>
        <v>0</v>
      </c>
      <c r="CJ360" s="312">
        <f t="shared" si="160"/>
        <v>1</v>
      </c>
      <c r="CN360" s="315">
        <f t="shared" si="161"/>
        <v>44075</v>
      </c>
      <c r="CO360" s="312">
        <f t="shared" si="162"/>
        <v>1</v>
      </c>
      <c r="CQ360" s="315">
        <f t="shared" si="163"/>
        <v>44075</v>
      </c>
      <c r="CR360" s="316">
        <f t="shared" si="164"/>
        <v>0.61829999999999985</v>
      </c>
      <c r="CW360"/>
    </row>
    <row r="361" spans="2:101" ht="15" customHeight="1">
      <c r="B361" s="1"/>
      <c r="D361" s="274" t="str">
        <f t="shared" si="165"/>
        <v/>
      </c>
      <c r="E361" s="275" t="str">
        <f t="shared" si="166"/>
        <v/>
      </c>
      <c r="G361" s="283"/>
      <c r="H361" s="283"/>
      <c r="I361" s="284"/>
      <c r="J361" s="159" t="str">
        <f t="shared" si="167"/>
        <v/>
      </c>
      <c r="K361" s="278" t="str">
        <f t="shared" si="168"/>
        <v/>
      </c>
      <c r="M361" s="163">
        <v>45839</v>
      </c>
      <c r="N361" s="163">
        <v>45870</v>
      </c>
      <c r="O361" s="164">
        <v>5.0000000000000001E-3</v>
      </c>
      <c r="P361" s="159">
        <f t="shared" si="156"/>
        <v>45839</v>
      </c>
      <c r="Q361" s="292">
        <f t="shared" si="155"/>
        <v>5.0000000000000001E-3</v>
      </c>
      <c r="S361" s="163">
        <v>45870</v>
      </c>
      <c r="T361" s="164">
        <v>1.1599999999999999E-2</v>
      </c>
      <c r="U361" s="159">
        <f t="shared" si="169"/>
        <v>45870</v>
      </c>
      <c r="V361" s="285">
        <f t="shared" si="170"/>
        <v>1.1599999999999999E-2</v>
      </c>
      <c r="BM361" s="31" t="s">
        <v>198</v>
      </c>
      <c r="BN361" s="159">
        <f t="shared" si="174"/>
        <v>44105</v>
      </c>
      <c r="BO361" s="162">
        <f t="shared" si="175"/>
        <v>0</v>
      </c>
      <c r="BP361" s="278">
        <f t="shared" si="173"/>
        <v>0</v>
      </c>
      <c r="BQ361" s="312">
        <f t="shared" si="157"/>
        <v>1.0777959353412707</v>
      </c>
      <c r="BS361" s="31" t="s">
        <v>43</v>
      </c>
      <c r="BT361" s="159">
        <f t="shared" si="171"/>
        <v>44105</v>
      </c>
      <c r="BU361" s="162">
        <f t="shared" si="172"/>
        <v>1.6000000000000001E-3</v>
      </c>
      <c r="BV361" s="311">
        <f t="shared" si="158"/>
        <v>0.6166999999999998</v>
      </c>
      <c r="BX361" s="358" t="s">
        <v>242</v>
      </c>
      <c r="BY361" s="294">
        <f t="shared" si="176"/>
        <v>44105</v>
      </c>
      <c r="BZ361" s="357">
        <f t="shared" si="177"/>
        <v>1.1590000000000001E-3</v>
      </c>
      <c r="CA361" s="162">
        <f t="shared" si="159"/>
        <v>0.31245600000000029</v>
      </c>
      <c r="CF361" s="31" t="s">
        <v>197</v>
      </c>
      <c r="CG361" s="168">
        <v>44105</v>
      </c>
      <c r="CH361" s="37">
        <v>0</v>
      </c>
      <c r="CI361" s="314">
        <f t="shared" si="154"/>
        <v>0</v>
      </c>
      <c r="CJ361" s="312">
        <f t="shared" si="160"/>
        <v>1</v>
      </c>
      <c r="CN361" s="315">
        <f t="shared" si="161"/>
        <v>44105</v>
      </c>
      <c r="CO361" s="312">
        <f t="shared" si="162"/>
        <v>1</v>
      </c>
      <c r="CQ361" s="315">
        <f t="shared" si="163"/>
        <v>44105</v>
      </c>
      <c r="CR361" s="316">
        <f t="shared" si="164"/>
        <v>0.6166999999999998</v>
      </c>
      <c r="CW361" s="662" t="s">
        <v>514</v>
      </c>
    </row>
    <row r="362" spans="2:101" ht="15" customHeight="1">
      <c r="B362" s="1"/>
      <c r="D362" s="274" t="str">
        <f t="shared" si="165"/>
        <v/>
      </c>
      <c r="E362" s="275" t="str">
        <f t="shared" si="166"/>
        <v/>
      </c>
      <c r="G362" s="283"/>
      <c r="H362" s="283"/>
      <c r="I362" s="284"/>
      <c r="J362" s="159" t="str">
        <f t="shared" si="167"/>
        <v/>
      </c>
      <c r="K362" s="278" t="str">
        <f t="shared" si="168"/>
        <v/>
      </c>
      <c r="M362" s="163">
        <v>45870</v>
      </c>
      <c r="N362" s="163">
        <v>45901</v>
      </c>
      <c r="O362" s="164">
        <v>5.0000000000000001E-3</v>
      </c>
      <c r="P362" s="159">
        <f t="shared" si="156"/>
        <v>45870</v>
      </c>
      <c r="Q362" s="292">
        <f t="shared" si="155"/>
        <v>5.0000000000000001E-3</v>
      </c>
      <c r="S362" s="163">
        <v>45901</v>
      </c>
      <c r="T362" s="164">
        <v>1.2200000000000001E-2</v>
      </c>
      <c r="U362" s="159">
        <f t="shared" si="169"/>
        <v>45901</v>
      </c>
      <c r="V362" s="285">
        <f t="shared" si="170"/>
        <v>1.2200000000000001E-2</v>
      </c>
      <c r="BM362" s="31" t="s">
        <v>198</v>
      </c>
      <c r="BN362" s="159">
        <f t="shared" si="174"/>
        <v>44136</v>
      </c>
      <c r="BO362" s="162">
        <f t="shared" si="175"/>
        <v>0</v>
      </c>
      <c r="BP362" s="278">
        <f t="shared" si="173"/>
        <v>0</v>
      </c>
      <c r="BQ362" s="312">
        <f t="shared" si="157"/>
        <v>1.0777959353412707</v>
      </c>
      <c r="BS362" s="31" t="s">
        <v>43</v>
      </c>
      <c r="BT362" s="159">
        <f t="shared" si="171"/>
        <v>44136</v>
      </c>
      <c r="BU362" s="162">
        <f t="shared" si="172"/>
        <v>1.5E-3</v>
      </c>
      <c r="BV362" s="311">
        <f t="shared" si="158"/>
        <v>0.61509999999999976</v>
      </c>
      <c r="BX362" s="358" t="s">
        <v>242</v>
      </c>
      <c r="BY362" s="294">
        <f t="shared" si="176"/>
        <v>44136</v>
      </c>
      <c r="BZ362" s="357">
        <f t="shared" si="177"/>
        <v>1.1590000000000001E-3</v>
      </c>
      <c r="CA362" s="162">
        <f t="shared" si="159"/>
        <v>0.31129700000000027</v>
      </c>
      <c r="CF362" s="31" t="s">
        <v>197</v>
      </c>
      <c r="CG362" s="168">
        <v>44136</v>
      </c>
      <c r="CH362" s="37">
        <v>0</v>
      </c>
      <c r="CI362" s="314">
        <f t="shared" si="154"/>
        <v>0</v>
      </c>
      <c r="CJ362" s="312">
        <f t="shared" si="160"/>
        <v>1</v>
      </c>
      <c r="CN362" s="315">
        <f t="shared" si="161"/>
        <v>44136</v>
      </c>
      <c r="CO362" s="312">
        <f t="shared" si="162"/>
        <v>1</v>
      </c>
      <c r="CQ362" s="315">
        <f t="shared" si="163"/>
        <v>44136</v>
      </c>
      <c r="CR362" s="316">
        <f t="shared" si="164"/>
        <v>0.61509999999999976</v>
      </c>
      <c r="CW362"/>
    </row>
    <row r="363" spans="2:101" ht="15" customHeight="1">
      <c r="B363" s="1"/>
      <c r="D363" s="274" t="str">
        <f t="shared" si="165"/>
        <v/>
      </c>
      <c r="E363" s="275" t="str">
        <f t="shared" si="166"/>
        <v/>
      </c>
      <c r="G363" s="283"/>
      <c r="H363" s="283"/>
      <c r="I363" s="284"/>
      <c r="J363" s="159" t="str">
        <f t="shared" si="167"/>
        <v/>
      </c>
      <c r="K363" s="278" t="str">
        <f t="shared" si="168"/>
        <v/>
      </c>
      <c r="M363" s="163">
        <v>45901</v>
      </c>
      <c r="N363" s="163">
        <v>45931</v>
      </c>
      <c r="O363" s="164">
        <v>5.0000000000000001E-3</v>
      </c>
      <c r="P363" s="159">
        <f t="shared" si="156"/>
        <v>45901</v>
      </c>
      <c r="Q363" s="292">
        <f t="shared" si="155"/>
        <v>5.0000000000000001E-3</v>
      </c>
      <c r="S363" s="163">
        <v>45931</v>
      </c>
      <c r="T363" s="164">
        <v>1.2800000000000001E-2</v>
      </c>
      <c r="U363" s="159">
        <f t="shared" si="169"/>
        <v>45931</v>
      </c>
      <c r="V363" s="285">
        <f t="shared" si="170"/>
        <v>1.2800000000000001E-2</v>
      </c>
      <c r="BM363" s="31" t="s">
        <v>198</v>
      </c>
      <c r="BN363" s="159">
        <f t="shared" si="174"/>
        <v>44166</v>
      </c>
      <c r="BO363" s="162">
        <f t="shared" si="175"/>
        <v>0</v>
      </c>
      <c r="BP363" s="278">
        <f t="shared" si="173"/>
        <v>0</v>
      </c>
      <c r="BQ363" s="312">
        <f t="shared" si="157"/>
        <v>1.0777959353412707</v>
      </c>
      <c r="BS363" s="31" t="s">
        <v>43</v>
      </c>
      <c r="BT363" s="159">
        <f t="shared" si="171"/>
        <v>44166</v>
      </c>
      <c r="BU363" s="162">
        <f t="shared" si="172"/>
        <v>1.6000000000000001E-3</v>
      </c>
      <c r="BV363" s="311">
        <f t="shared" si="158"/>
        <v>0.61359999999999981</v>
      </c>
      <c r="BX363" s="358" t="s">
        <v>242</v>
      </c>
      <c r="BY363" s="294">
        <f t="shared" si="176"/>
        <v>44166</v>
      </c>
      <c r="BZ363" s="357">
        <f t="shared" si="177"/>
        <v>1.1590000000000001E-3</v>
      </c>
      <c r="CA363" s="162">
        <f t="shared" si="159"/>
        <v>0.31013800000000025</v>
      </c>
      <c r="CF363" s="31" t="s">
        <v>197</v>
      </c>
      <c r="CG363" s="168">
        <v>44166</v>
      </c>
      <c r="CH363" s="37">
        <v>0</v>
      </c>
      <c r="CI363" s="314">
        <f t="shared" si="154"/>
        <v>0</v>
      </c>
      <c r="CJ363" s="312">
        <f t="shared" si="160"/>
        <v>1</v>
      </c>
      <c r="CN363" s="315">
        <f t="shared" si="161"/>
        <v>44166</v>
      </c>
      <c r="CO363" s="312">
        <f t="shared" si="162"/>
        <v>1</v>
      </c>
      <c r="CQ363" s="315">
        <f t="shared" si="163"/>
        <v>44166</v>
      </c>
      <c r="CR363" s="316">
        <f t="shared" si="164"/>
        <v>0.61359999999999981</v>
      </c>
      <c r="CW363" s="650" t="s">
        <v>515</v>
      </c>
    </row>
    <row r="364" spans="2:101" ht="15" customHeight="1">
      <c r="B364" s="1"/>
      <c r="D364" s="274" t="str">
        <f t="shared" si="165"/>
        <v/>
      </c>
      <c r="E364" s="275" t="str">
        <f t="shared" si="166"/>
        <v/>
      </c>
      <c r="G364" s="283"/>
      <c r="H364" s="283"/>
      <c r="I364" s="284"/>
      <c r="J364" s="159" t="str">
        <f t="shared" si="167"/>
        <v/>
      </c>
      <c r="K364" s="278" t="str">
        <f t="shared" si="168"/>
        <v/>
      </c>
      <c r="M364" s="163">
        <v>45931</v>
      </c>
      <c r="N364" s="163">
        <v>45962</v>
      </c>
      <c r="O364" s="164">
        <v>5.0000000000000001E-3</v>
      </c>
      <c r="P364" s="159">
        <f t="shared" si="156"/>
        <v>45931</v>
      </c>
      <c r="Q364" s="292">
        <f t="shared" si="155"/>
        <v>5.0000000000000001E-3</v>
      </c>
      <c r="S364" s="163">
        <v>45962</v>
      </c>
      <c r="T364" s="164">
        <v>1.0500000000000001E-2</v>
      </c>
      <c r="U364" s="159">
        <f t="shared" si="169"/>
        <v>45962</v>
      </c>
      <c r="V364" s="285">
        <f t="shared" si="170"/>
        <v>1.0500000000000001E-2</v>
      </c>
      <c r="BM364" s="31" t="s">
        <v>198</v>
      </c>
      <c r="BN364" s="159">
        <f t="shared" si="174"/>
        <v>44197</v>
      </c>
      <c r="BO364" s="162">
        <f t="shared" si="175"/>
        <v>0</v>
      </c>
      <c r="BP364" s="278">
        <f t="shared" si="173"/>
        <v>0</v>
      </c>
      <c r="BQ364" s="312">
        <f t="shared" si="157"/>
        <v>1.0777959353412707</v>
      </c>
      <c r="BS364" s="31" t="s">
        <v>43</v>
      </c>
      <c r="BT364" s="159">
        <f t="shared" si="171"/>
        <v>44197</v>
      </c>
      <c r="BU364" s="162">
        <f t="shared" si="172"/>
        <v>1.5E-3</v>
      </c>
      <c r="BV364" s="311">
        <f t="shared" si="158"/>
        <v>0.61199999999999977</v>
      </c>
      <c r="BX364" s="358" t="s">
        <v>242</v>
      </c>
      <c r="BY364" s="294">
        <f t="shared" si="176"/>
        <v>44197</v>
      </c>
      <c r="BZ364" s="357">
        <f t="shared" si="177"/>
        <v>1.1590000000000001E-3</v>
      </c>
      <c r="CA364" s="162">
        <f t="shared" si="159"/>
        <v>0.30897900000000023</v>
      </c>
      <c r="CF364" s="31" t="s">
        <v>197</v>
      </c>
      <c r="CG364" s="168">
        <v>44197</v>
      </c>
      <c r="CH364" s="37">
        <v>0</v>
      </c>
      <c r="CI364" s="314">
        <f t="shared" ref="CI364:CI396" si="178">+IF(CH364="","",CH364)</f>
        <v>0</v>
      </c>
      <c r="CJ364" s="312">
        <f t="shared" si="160"/>
        <v>1</v>
      </c>
      <c r="CN364" s="315">
        <f t="shared" si="161"/>
        <v>44197</v>
      </c>
      <c r="CO364" s="312">
        <f t="shared" si="162"/>
        <v>1</v>
      </c>
      <c r="CQ364" s="315">
        <f t="shared" si="163"/>
        <v>44197</v>
      </c>
      <c r="CR364" s="316">
        <f t="shared" si="164"/>
        <v>0.61199999999999977</v>
      </c>
      <c r="CW364"/>
    </row>
    <row r="365" spans="2:101" ht="15" customHeight="1">
      <c r="B365" s="1"/>
      <c r="D365" s="274" t="str">
        <f t="shared" si="165"/>
        <v/>
      </c>
      <c r="E365" s="275" t="str">
        <f t="shared" si="166"/>
        <v/>
      </c>
      <c r="G365" s="283"/>
      <c r="H365" s="283"/>
      <c r="I365" s="284"/>
      <c r="J365" s="159" t="str">
        <f t="shared" si="167"/>
        <v/>
      </c>
      <c r="K365" s="278" t="str">
        <f t="shared" si="168"/>
        <v/>
      </c>
      <c r="M365" s="163">
        <v>45962</v>
      </c>
      <c r="N365" s="163">
        <v>45992</v>
      </c>
      <c r="O365" s="164">
        <v>5.0000000000000001E-3</v>
      </c>
      <c r="P365" s="159">
        <f t="shared" si="156"/>
        <v>45962</v>
      </c>
      <c r="Q365" s="292">
        <f t="shared" si="155"/>
        <v>5.0000000000000001E-3</v>
      </c>
      <c r="S365" s="163">
        <v>45992</v>
      </c>
      <c r="T365" s="164">
        <v>1.2200000000000001E-2</v>
      </c>
      <c r="U365" s="159">
        <f t="shared" si="169"/>
        <v>45992</v>
      </c>
      <c r="V365" s="285">
        <f t="shared" si="170"/>
        <v>1.2200000000000001E-2</v>
      </c>
      <c r="BM365" s="31" t="s">
        <v>198</v>
      </c>
      <c r="BN365" s="159">
        <f t="shared" si="174"/>
        <v>44228</v>
      </c>
      <c r="BO365" s="162">
        <f t="shared" si="175"/>
        <v>0</v>
      </c>
      <c r="BP365" s="278">
        <f t="shared" si="173"/>
        <v>0</v>
      </c>
      <c r="BQ365" s="312">
        <f t="shared" si="157"/>
        <v>1.0777959353412707</v>
      </c>
      <c r="BS365" s="31" t="s">
        <v>43</v>
      </c>
      <c r="BT365" s="159">
        <f t="shared" si="171"/>
        <v>44228</v>
      </c>
      <c r="BU365" s="162">
        <f t="shared" si="172"/>
        <v>1.2999999999999999E-3</v>
      </c>
      <c r="BV365" s="311">
        <f t="shared" si="158"/>
        <v>0.61049999999999982</v>
      </c>
      <c r="BX365" s="358" t="s">
        <v>242</v>
      </c>
      <c r="BY365" s="294">
        <f t="shared" si="176"/>
        <v>44228</v>
      </c>
      <c r="BZ365" s="357">
        <f t="shared" si="177"/>
        <v>1.1590000000000001E-3</v>
      </c>
      <c r="CA365" s="162">
        <f t="shared" si="159"/>
        <v>0.3078200000000002</v>
      </c>
      <c r="CF365" s="31" t="s">
        <v>197</v>
      </c>
      <c r="CG365" s="168">
        <v>44228</v>
      </c>
      <c r="CH365" s="37">
        <v>0</v>
      </c>
      <c r="CI365" s="314">
        <f t="shared" si="178"/>
        <v>0</v>
      </c>
      <c r="CJ365" s="312">
        <f t="shared" si="160"/>
        <v>1</v>
      </c>
      <c r="CN365" s="315">
        <f t="shared" si="161"/>
        <v>44228</v>
      </c>
      <c r="CO365" s="312">
        <f t="shared" si="162"/>
        <v>1</v>
      </c>
      <c r="CQ365" s="315">
        <f t="shared" si="163"/>
        <v>44228</v>
      </c>
      <c r="CR365" s="316">
        <f t="shared" si="164"/>
        <v>0.61049999999999982</v>
      </c>
      <c r="CW365" s="654" t="s">
        <v>516</v>
      </c>
    </row>
    <row r="366" spans="2:101" ht="15" customHeight="1">
      <c r="B366" s="1"/>
      <c r="D366" s="274" t="str">
        <f t="shared" si="165"/>
        <v/>
      </c>
      <c r="E366" s="275" t="str">
        <f t="shared" si="166"/>
        <v/>
      </c>
      <c r="G366" s="283"/>
      <c r="H366" s="283"/>
      <c r="I366" s="284"/>
      <c r="J366" s="159" t="str">
        <f t="shared" si="167"/>
        <v/>
      </c>
      <c r="K366" s="278" t="str">
        <f t="shared" si="168"/>
        <v/>
      </c>
      <c r="M366" s="163">
        <v>45992</v>
      </c>
      <c r="N366" s="163">
        <v>46023</v>
      </c>
      <c r="O366" s="164">
        <v>5.0000000000000001E-3</v>
      </c>
      <c r="P366" s="159">
        <f t="shared" si="156"/>
        <v>45992</v>
      </c>
      <c r="Q366" s="292">
        <f t="shared" si="155"/>
        <v>5.0000000000000001E-3</v>
      </c>
      <c r="S366" s="163">
        <v>46023</v>
      </c>
      <c r="T366" s="164">
        <v>1.1599999999999999E-2</v>
      </c>
      <c r="U366" s="159">
        <f t="shared" si="169"/>
        <v>46023</v>
      </c>
      <c r="V366" s="285">
        <f t="shared" si="170"/>
        <v>1.1599999999999999E-2</v>
      </c>
      <c r="BM366" s="31" t="s">
        <v>198</v>
      </c>
      <c r="BN366" s="159">
        <f t="shared" si="174"/>
        <v>44256</v>
      </c>
      <c r="BO366" s="162">
        <f t="shared" si="175"/>
        <v>0</v>
      </c>
      <c r="BP366" s="278">
        <f t="shared" si="173"/>
        <v>0</v>
      </c>
      <c r="BQ366" s="312">
        <f t="shared" si="157"/>
        <v>1.0777959353412707</v>
      </c>
      <c r="BS366" s="31" t="s">
        <v>43</v>
      </c>
      <c r="BT366" s="159">
        <f t="shared" si="171"/>
        <v>44256</v>
      </c>
      <c r="BU366" s="162">
        <f t="shared" si="172"/>
        <v>2E-3</v>
      </c>
      <c r="BV366" s="311">
        <f t="shared" si="158"/>
        <v>0.60919999999999985</v>
      </c>
      <c r="BX366" s="358" t="s">
        <v>242</v>
      </c>
      <c r="BY366" s="294">
        <f t="shared" si="176"/>
        <v>44256</v>
      </c>
      <c r="BZ366" s="357">
        <f t="shared" si="177"/>
        <v>1.1590000000000001E-3</v>
      </c>
      <c r="CA366" s="162">
        <f t="shared" si="159"/>
        <v>0.30666100000000018</v>
      </c>
      <c r="CF366" s="31" t="s">
        <v>197</v>
      </c>
      <c r="CG366" s="168">
        <v>44256</v>
      </c>
      <c r="CH366" s="37">
        <v>0</v>
      </c>
      <c r="CI366" s="314">
        <f t="shared" si="178"/>
        <v>0</v>
      </c>
      <c r="CJ366" s="312">
        <f t="shared" si="160"/>
        <v>1</v>
      </c>
      <c r="CN366" s="315">
        <f t="shared" si="161"/>
        <v>44256</v>
      </c>
      <c r="CO366" s="312">
        <f t="shared" si="162"/>
        <v>1</v>
      </c>
      <c r="CQ366" s="315">
        <f t="shared" si="163"/>
        <v>44256</v>
      </c>
      <c r="CR366" s="316">
        <f t="shared" si="164"/>
        <v>0.60919999999999985</v>
      </c>
      <c r="CW366"/>
    </row>
    <row r="367" spans="2:101" ht="15" customHeight="1">
      <c r="B367" s="1"/>
      <c r="D367" s="274" t="str">
        <f t="shared" si="165"/>
        <v/>
      </c>
      <c r="E367" s="275" t="str">
        <f t="shared" si="166"/>
        <v/>
      </c>
      <c r="G367" s="283"/>
      <c r="H367" s="283"/>
      <c r="I367" s="284"/>
      <c r="J367" s="159" t="str">
        <f t="shared" si="167"/>
        <v/>
      </c>
      <c r="K367" s="278" t="str">
        <f t="shared" si="168"/>
        <v/>
      </c>
      <c r="M367" s="163">
        <v>46023</v>
      </c>
      <c r="N367" s="163">
        <v>46054</v>
      </c>
      <c r="O367" s="164">
        <v>5.0000000000000001E-3</v>
      </c>
      <c r="P367" s="159">
        <f t="shared" si="156"/>
        <v>46023</v>
      </c>
      <c r="Q367" s="292">
        <f t="shared" si="155"/>
        <v>5.0000000000000001E-3</v>
      </c>
      <c r="S367" s="163">
        <v>46054</v>
      </c>
      <c r="T367" s="164">
        <v>0.01</v>
      </c>
      <c r="U367" s="159">
        <f t="shared" si="169"/>
        <v>46054</v>
      </c>
      <c r="V367" s="285">
        <f t="shared" si="170"/>
        <v>0.01</v>
      </c>
      <c r="BM367" s="31" t="s">
        <v>198</v>
      </c>
      <c r="BN367" s="159">
        <f t="shared" si="174"/>
        <v>44287</v>
      </c>
      <c r="BO367" s="162">
        <f t="shared" si="175"/>
        <v>0</v>
      </c>
      <c r="BP367" s="278">
        <f t="shared" si="173"/>
        <v>0</v>
      </c>
      <c r="BQ367" s="312">
        <f t="shared" si="157"/>
        <v>1.0777959353412707</v>
      </c>
      <c r="BS367" s="31" t="s">
        <v>43</v>
      </c>
      <c r="BT367" s="159">
        <f t="shared" si="171"/>
        <v>44287</v>
      </c>
      <c r="BU367" s="162">
        <f t="shared" si="172"/>
        <v>2.0999999999999999E-3</v>
      </c>
      <c r="BV367" s="311">
        <f t="shared" si="158"/>
        <v>0.60719999999999985</v>
      </c>
      <c r="BX367" s="358" t="s">
        <v>242</v>
      </c>
      <c r="BY367" s="294">
        <f t="shared" si="176"/>
        <v>44287</v>
      </c>
      <c r="BZ367" s="357">
        <f t="shared" si="177"/>
        <v>1.5900000000000001E-3</v>
      </c>
      <c r="CA367" s="162">
        <f t="shared" si="159"/>
        <v>0.30550200000000016</v>
      </c>
      <c r="CF367" s="31" t="s">
        <v>197</v>
      </c>
      <c r="CG367" s="168">
        <v>44287</v>
      </c>
      <c r="CH367" s="37">
        <v>0</v>
      </c>
      <c r="CI367" s="314">
        <f t="shared" si="178"/>
        <v>0</v>
      </c>
      <c r="CJ367" s="312">
        <f t="shared" si="160"/>
        <v>1</v>
      </c>
      <c r="CN367" s="315">
        <f t="shared" si="161"/>
        <v>44287</v>
      </c>
      <c r="CO367" s="312">
        <f t="shared" si="162"/>
        <v>1</v>
      </c>
      <c r="CQ367" s="315">
        <f t="shared" si="163"/>
        <v>44287</v>
      </c>
      <c r="CR367" s="316">
        <f t="shared" si="164"/>
        <v>0.60719999999999985</v>
      </c>
      <c r="CW367" s="650" t="s">
        <v>501</v>
      </c>
    </row>
    <row r="368" spans="2:101" ht="15" customHeight="1">
      <c r="B368" s="1"/>
      <c r="D368" s="274" t="str">
        <f t="shared" si="165"/>
        <v/>
      </c>
      <c r="E368" s="275" t="str">
        <f t="shared" si="166"/>
        <v/>
      </c>
      <c r="G368" s="283"/>
      <c r="H368" s="283"/>
      <c r="I368" s="284"/>
      <c r="J368" s="159" t="str">
        <f t="shared" si="167"/>
        <v/>
      </c>
      <c r="K368" s="278" t="str">
        <f t="shared" si="168"/>
        <v/>
      </c>
      <c r="M368" s="163">
        <v>46054</v>
      </c>
      <c r="N368" s="163">
        <v>46082</v>
      </c>
      <c r="O368" s="164">
        <v>5.0000000000000001E-3</v>
      </c>
      <c r="P368" s="159">
        <f t="shared" si="156"/>
        <v>46054</v>
      </c>
      <c r="Q368" s="292">
        <f t="shared" si="155"/>
        <v>5.0000000000000001E-3</v>
      </c>
      <c r="S368" s="163">
        <v>46082</v>
      </c>
      <c r="T368" s="164">
        <v>1.21E-2</v>
      </c>
      <c r="U368" s="159">
        <f t="shared" si="169"/>
        <v>46082</v>
      </c>
      <c r="V368" s="285">
        <f t="shared" si="170"/>
        <v>1.21E-2</v>
      </c>
      <c r="BM368" s="31" t="s">
        <v>198</v>
      </c>
      <c r="BN368" s="159">
        <f t="shared" si="174"/>
        <v>44317</v>
      </c>
      <c r="BO368" s="162">
        <f t="shared" si="175"/>
        <v>0</v>
      </c>
      <c r="BP368" s="278">
        <f t="shared" si="173"/>
        <v>0</v>
      </c>
      <c r="BQ368" s="312">
        <f t="shared" si="157"/>
        <v>1.0777959353412707</v>
      </c>
      <c r="BS368" s="31" t="s">
        <v>43</v>
      </c>
      <c r="BT368" s="159">
        <f t="shared" si="171"/>
        <v>44317</v>
      </c>
      <c r="BU368" s="162">
        <f t="shared" si="172"/>
        <v>2.7000000000000001E-3</v>
      </c>
      <c r="BV368" s="311">
        <f t="shared" si="158"/>
        <v>0.60509999999999986</v>
      </c>
      <c r="BX368" s="358" t="s">
        <v>242</v>
      </c>
      <c r="BY368" s="294">
        <f t="shared" si="176"/>
        <v>44317</v>
      </c>
      <c r="BZ368" s="357">
        <f t="shared" si="177"/>
        <v>1.5900000000000001E-3</v>
      </c>
      <c r="CA368" s="162">
        <f t="shared" si="159"/>
        <v>0.30391200000000018</v>
      </c>
      <c r="CF368" s="31" t="s">
        <v>197</v>
      </c>
      <c r="CG368" s="168">
        <v>44317</v>
      </c>
      <c r="CH368" s="37">
        <v>0</v>
      </c>
      <c r="CI368" s="314">
        <f t="shared" si="178"/>
        <v>0</v>
      </c>
      <c r="CJ368" s="312">
        <f t="shared" si="160"/>
        <v>1</v>
      </c>
      <c r="CN368" s="315">
        <f t="shared" si="161"/>
        <v>44317</v>
      </c>
      <c r="CO368" s="312">
        <f t="shared" si="162"/>
        <v>1</v>
      </c>
      <c r="CQ368" s="315">
        <f t="shared" si="163"/>
        <v>44317</v>
      </c>
      <c r="CR368" s="316">
        <f t="shared" si="164"/>
        <v>0.60509999999999986</v>
      </c>
      <c r="CW368" s="650" t="s">
        <v>517</v>
      </c>
    </row>
    <row r="369" spans="2:101" ht="15" customHeight="1">
      <c r="B369" s="1"/>
      <c r="D369" s="274" t="str">
        <f t="shared" si="165"/>
        <v/>
      </c>
      <c r="E369" s="275" t="str">
        <f t="shared" si="166"/>
        <v/>
      </c>
      <c r="G369" s="283"/>
      <c r="H369" s="283"/>
      <c r="I369" s="284"/>
      <c r="J369" s="159" t="str">
        <f t="shared" si="167"/>
        <v/>
      </c>
      <c r="K369" s="278" t="str">
        <f t="shared" si="168"/>
        <v/>
      </c>
      <c r="M369" s="163">
        <v>46082</v>
      </c>
      <c r="N369" s="163">
        <v>46113</v>
      </c>
      <c r="O369" s="164">
        <v>5.0000000000000001E-3</v>
      </c>
      <c r="P369" s="159">
        <f t="shared" si="156"/>
        <v>46082</v>
      </c>
      <c r="Q369" s="292">
        <f t="shared" si="155"/>
        <v>5.0000000000000001E-3</v>
      </c>
      <c r="S369" s="163">
        <v>46113</v>
      </c>
      <c r="T369" s="164">
        <v>1.09E-2</v>
      </c>
      <c r="U369" s="159">
        <f t="shared" si="169"/>
        <v>46113</v>
      </c>
      <c r="V369" s="285">
        <f t="shared" si="170"/>
        <v>1.09E-2</v>
      </c>
      <c r="BM369" s="31" t="s">
        <v>198</v>
      </c>
      <c r="BN369" s="159">
        <f t="shared" si="174"/>
        <v>44348</v>
      </c>
      <c r="BO369" s="162">
        <f t="shared" si="175"/>
        <v>0</v>
      </c>
      <c r="BP369" s="278">
        <f t="shared" si="173"/>
        <v>0</v>
      </c>
      <c r="BQ369" s="312">
        <f t="shared" si="157"/>
        <v>1.0777959353412707</v>
      </c>
      <c r="BS369" s="31" t="s">
        <v>43</v>
      </c>
      <c r="BT369" s="159">
        <f t="shared" si="171"/>
        <v>44348</v>
      </c>
      <c r="BU369" s="162">
        <f t="shared" si="172"/>
        <v>3.0999999999999999E-3</v>
      </c>
      <c r="BV369" s="311">
        <f t="shared" si="158"/>
        <v>0.60239999999999982</v>
      </c>
      <c r="BX369" s="358" t="s">
        <v>242</v>
      </c>
      <c r="BY369" s="294">
        <f t="shared" si="176"/>
        <v>44348</v>
      </c>
      <c r="BZ369" s="357">
        <f t="shared" si="177"/>
        <v>2.019E-3</v>
      </c>
      <c r="CA369" s="162">
        <f t="shared" si="159"/>
        <v>0.3023220000000002</v>
      </c>
      <c r="CF369" s="31" t="s">
        <v>197</v>
      </c>
      <c r="CG369" s="168">
        <v>44348</v>
      </c>
      <c r="CH369" s="37">
        <v>0</v>
      </c>
      <c r="CI369" s="314">
        <f t="shared" si="178"/>
        <v>0</v>
      </c>
      <c r="CJ369" s="312">
        <f t="shared" si="160"/>
        <v>1</v>
      </c>
      <c r="CN369" s="315">
        <f t="shared" si="161"/>
        <v>44348</v>
      </c>
      <c r="CO369" s="312">
        <f t="shared" si="162"/>
        <v>1</v>
      </c>
      <c r="CQ369" s="315">
        <f t="shared" si="163"/>
        <v>44348</v>
      </c>
      <c r="CR369" s="316">
        <f t="shared" si="164"/>
        <v>0.60239999999999982</v>
      </c>
      <c r="CW369" s="650" t="s">
        <v>503</v>
      </c>
    </row>
    <row r="370" spans="2:101" ht="15" customHeight="1">
      <c r="B370" s="1"/>
      <c r="D370" s="274" t="str">
        <f t="shared" si="165"/>
        <v/>
      </c>
      <c r="E370" s="275" t="str">
        <f t="shared" si="166"/>
        <v/>
      </c>
      <c r="G370" s="283"/>
      <c r="H370" s="283"/>
      <c r="I370" s="284"/>
      <c r="J370" s="159" t="str">
        <f t="shared" si="167"/>
        <v/>
      </c>
      <c r="K370" s="278" t="str">
        <f t="shared" si="168"/>
        <v/>
      </c>
      <c r="M370" s="163">
        <v>46113</v>
      </c>
      <c r="N370" s="163">
        <v>46143</v>
      </c>
      <c r="O370" s="164">
        <v>5.0000000000000001E-3</v>
      </c>
      <c r="P370" s="159">
        <f t="shared" si="156"/>
        <v>46113</v>
      </c>
      <c r="Q370" s="292">
        <f t="shared" si="155"/>
        <v>5.0000000000000001E-3</v>
      </c>
      <c r="S370" s="163">
        <v>46143</v>
      </c>
      <c r="T370" s="164">
        <v>1.0699999999999999E-2</v>
      </c>
      <c r="U370" s="159">
        <f t="shared" si="169"/>
        <v>46143</v>
      </c>
      <c r="V370" s="285">
        <f t="shared" si="170"/>
        <v>1.0699999999999999E-2</v>
      </c>
      <c r="BM370" s="31" t="s">
        <v>198</v>
      </c>
      <c r="BN370" s="159">
        <f t="shared" si="174"/>
        <v>44378</v>
      </c>
      <c r="BO370" s="162">
        <f t="shared" si="175"/>
        <v>0</v>
      </c>
      <c r="BP370" s="278">
        <f t="shared" si="173"/>
        <v>0</v>
      </c>
      <c r="BQ370" s="312">
        <f t="shared" si="157"/>
        <v>1.0777959353412707</v>
      </c>
      <c r="BS370" s="31" t="s">
        <v>43</v>
      </c>
      <c r="BT370" s="159">
        <f t="shared" si="171"/>
        <v>44378</v>
      </c>
      <c r="BU370" s="162">
        <f t="shared" si="172"/>
        <v>3.5999999999999999E-3</v>
      </c>
      <c r="BV370" s="311">
        <f t="shared" si="158"/>
        <v>0.59929999999999983</v>
      </c>
      <c r="BX370" s="358" t="s">
        <v>242</v>
      </c>
      <c r="BY370" s="294">
        <f t="shared" si="176"/>
        <v>44378</v>
      </c>
      <c r="BZ370" s="357">
        <f t="shared" si="177"/>
        <v>2.4459999999999998E-3</v>
      </c>
      <c r="CA370" s="162">
        <f t="shared" si="159"/>
        <v>0.30030300000000021</v>
      </c>
      <c r="CF370" s="31" t="s">
        <v>197</v>
      </c>
      <c r="CG370" s="168">
        <v>44378</v>
      </c>
      <c r="CH370" s="37">
        <v>0</v>
      </c>
      <c r="CI370" s="314">
        <f t="shared" si="178"/>
        <v>0</v>
      </c>
      <c r="CJ370" s="312">
        <f t="shared" si="160"/>
        <v>1</v>
      </c>
      <c r="CN370" s="315">
        <f t="shared" si="161"/>
        <v>44378</v>
      </c>
      <c r="CO370" s="312">
        <f t="shared" si="162"/>
        <v>1</v>
      </c>
      <c r="CQ370" s="315">
        <f t="shared" si="163"/>
        <v>44378</v>
      </c>
      <c r="CR370" s="316">
        <f t="shared" si="164"/>
        <v>0.59929999999999983</v>
      </c>
      <c r="CW370"/>
    </row>
    <row r="371" spans="2:101" ht="15" customHeight="1">
      <c r="B371" s="1"/>
      <c r="D371" s="274" t="str">
        <f t="shared" si="165"/>
        <v/>
      </c>
      <c r="E371" s="275" t="str">
        <f t="shared" si="166"/>
        <v/>
      </c>
      <c r="G371" s="283"/>
      <c r="H371" s="283"/>
      <c r="I371" s="284"/>
      <c r="J371" s="159" t="str">
        <f t="shared" si="167"/>
        <v/>
      </c>
      <c r="K371" s="278" t="str">
        <f t="shared" si="168"/>
        <v/>
      </c>
      <c r="M371" s="163">
        <v>46143</v>
      </c>
      <c r="N371" s="163">
        <v>46174</v>
      </c>
      <c r="O371" s="164">
        <v>5.0000000000000001E-3</v>
      </c>
      <c r="P371" s="159">
        <f t="shared" si="156"/>
        <v>46143</v>
      </c>
      <c r="Q371" s="292">
        <f t="shared" si="155"/>
        <v>5.0000000000000001E-3</v>
      </c>
      <c r="S371" s="163">
        <v>46174</v>
      </c>
      <c r="T371" s="164">
        <v>1.12E-2</v>
      </c>
      <c r="U371" s="159">
        <f t="shared" si="169"/>
        <v>46174</v>
      </c>
      <c r="V371" s="285">
        <f t="shared" si="170"/>
        <v>1.12E-2</v>
      </c>
      <c r="BM371" s="31" t="s">
        <v>198</v>
      </c>
      <c r="BN371" s="159">
        <f t="shared" si="174"/>
        <v>44409</v>
      </c>
      <c r="BO371" s="162">
        <f t="shared" si="175"/>
        <v>0</v>
      </c>
      <c r="BP371" s="278">
        <f t="shared" si="173"/>
        <v>0</v>
      </c>
      <c r="BQ371" s="312">
        <f t="shared" si="157"/>
        <v>1.0777959353412707</v>
      </c>
      <c r="BS371" s="31" t="s">
        <v>43</v>
      </c>
      <c r="BT371" s="159">
        <f t="shared" si="171"/>
        <v>44409</v>
      </c>
      <c r="BU371" s="162">
        <f t="shared" si="172"/>
        <v>4.3E-3</v>
      </c>
      <c r="BV371" s="311">
        <f t="shared" si="158"/>
        <v>0.59569999999999979</v>
      </c>
      <c r="BX371" s="358" t="s">
        <v>242</v>
      </c>
      <c r="BY371" s="294">
        <f t="shared" si="176"/>
        <v>44409</v>
      </c>
      <c r="BZ371" s="357">
        <f t="shared" si="177"/>
        <v>2.4459999999999998E-3</v>
      </c>
      <c r="CA371" s="162">
        <f t="shared" si="159"/>
        <v>0.2978570000000002</v>
      </c>
      <c r="CF371" s="31" t="s">
        <v>197</v>
      </c>
      <c r="CG371" s="168">
        <v>44409</v>
      </c>
      <c r="CH371" s="37">
        <v>0</v>
      </c>
      <c r="CI371" s="314">
        <f t="shared" si="178"/>
        <v>0</v>
      </c>
      <c r="CJ371" s="312">
        <f t="shared" si="160"/>
        <v>1</v>
      </c>
      <c r="CN371" s="315">
        <f t="shared" si="161"/>
        <v>44409</v>
      </c>
      <c r="CO371" s="312">
        <f t="shared" si="162"/>
        <v>1</v>
      </c>
      <c r="CQ371" s="315">
        <f t="shared" si="163"/>
        <v>44409</v>
      </c>
      <c r="CR371" s="316">
        <f t="shared" si="164"/>
        <v>0.59569999999999979</v>
      </c>
      <c r="CW371" s="662" t="s">
        <v>518</v>
      </c>
    </row>
    <row r="372" spans="2:101" ht="15" customHeight="1">
      <c r="B372" s="1"/>
      <c r="D372" s="274" t="str">
        <f t="shared" si="165"/>
        <v/>
      </c>
      <c r="E372" s="275" t="str">
        <f t="shared" si="166"/>
        <v/>
      </c>
      <c r="G372" s="283"/>
      <c r="H372" s="283"/>
      <c r="I372" s="284"/>
      <c r="J372" s="159" t="str">
        <f t="shared" si="167"/>
        <v/>
      </c>
      <c r="K372" s="278" t="str">
        <f t="shared" si="168"/>
        <v/>
      </c>
      <c r="M372" s="163">
        <v>46174</v>
      </c>
      <c r="N372" s="163">
        <v>46204</v>
      </c>
      <c r="O372" s="164">
        <v>5.0000000000000001E-3</v>
      </c>
      <c r="P372" s="159">
        <f t="shared" si="156"/>
        <v>46174</v>
      </c>
      <c r="Q372" s="292">
        <f t="shared" si="155"/>
        <v>5.0000000000000001E-3</v>
      </c>
      <c r="S372" s="163">
        <v>46204</v>
      </c>
      <c r="T372" s="164">
        <v>1.2200000000000001E-2</v>
      </c>
      <c r="U372" s="159">
        <f t="shared" si="169"/>
        <v>46204</v>
      </c>
      <c r="V372" s="285">
        <f t="shared" si="170"/>
        <v>1.2200000000000001E-2</v>
      </c>
      <c r="BM372" s="31" t="s">
        <v>198</v>
      </c>
      <c r="BN372" s="159">
        <f t="shared" si="174"/>
        <v>44440</v>
      </c>
      <c r="BO372" s="162">
        <f t="shared" si="175"/>
        <v>0</v>
      </c>
      <c r="BP372" s="278">
        <f t="shared" si="173"/>
        <v>0</v>
      </c>
      <c r="BQ372" s="312">
        <f t="shared" si="157"/>
        <v>1.0777959353412707</v>
      </c>
      <c r="BS372" s="31" t="s">
        <v>43</v>
      </c>
      <c r="BT372" s="159">
        <f t="shared" si="171"/>
        <v>44440</v>
      </c>
      <c r="BU372" s="162">
        <f t="shared" si="172"/>
        <v>4.4000000000000003E-3</v>
      </c>
      <c r="BV372" s="311">
        <f t="shared" si="158"/>
        <v>0.59139999999999981</v>
      </c>
      <c r="BX372" s="358" t="s">
        <v>242</v>
      </c>
      <c r="BY372" s="294">
        <f t="shared" si="176"/>
        <v>44440</v>
      </c>
      <c r="BZ372" s="357">
        <f t="shared" si="177"/>
        <v>3.0119999999999999E-3</v>
      </c>
      <c r="CA372" s="162">
        <f t="shared" si="159"/>
        <v>0.2954110000000002</v>
      </c>
      <c r="CF372" s="31" t="s">
        <v>197</v>
      </c>
      <c r="CG372" s="168">
        <v>44440</v>
      </c>
      <c r="CH372" s="37">
        <v>0</v>
      </c>
      <c r="CI372" s="314">
        <f t="shared" si="178"/>
        <v>0</v>
      </c>
      <c r="CJ372" s="312">
        <f t="shared" si="160"/>
        <v>1</v>
      </c>
      <c r="CN372" s="315">
        <f t="shared" si="161"/>
        <v>44440</v>
      </c>
      <c r="CO372" s="312">
        <f t="shared" si="162"/>
        <v>1</v>
      </c>
      <c r="CQ372" s="315">
        <f t="shared" si="163"/>
        <v>44440</v>
      </c>
      <c r="CR372" s="316">
        <f t="shared" si="164"/>
        <v>0.59139999999999981</v>
      </c>
      <c r="CW372"/>
    </row>
    <row r="373" spans="2:101" ht="15" customHeight="1">
      <c r="B373" s="1"/>
      <c r="D373" s="274" t="str">
        <f t="shared" si="165"/>
        <v/>
      </c>
      <c r="E373" s="275" t="str">
        <f t="shared" si="166"/>
        <v/>
      </c>
      <c r="G373" s="283"/>
      <c r="H373" s="283"/>
      <c r="I373" s="284"/>
      <c r="J373" s="159" t="str">
        <f t="shared" si="167"/>
        <v/>
      </c>
      <c r="K373" s="278" t="str">
        <f t="shared" si="168"/>
        <v/>
      </c>
      <c r="M373" s="163">
        <v>46204</v>
      </c>
      <c r="N373" s="163">
        <v>46235</v>
      </c>
      <c r="O373" s="164">
        <v>5.0000000000000001E-3</v>
      </c>
      <c r="P373" s="159">
        <f t="shared" si="156"/>
        <v>46204</v>
      </c>
      <c r="Q373" s="292">
        <f t="shared" si="155"/>
        <v>5.0000000000000001E-3</v>
      </c>
      <c r="S373" s="163">
        <v>46235</v>
      </c>
      <c r="T373" s="164">
        <v>1.09E-2</v>
      </c>
      <c r="U373" s="159">
        <f t="shared" si="169"/>
        <v>46235</v>
      </c>
      <c r="V373" s="285">
        <f t="shared" si="170"/>
        <v>1.09E-2</v>
      </c>
      <c r="BM373" s="31" t="s">
        <v>198</v>
      </c>
      <c r="BN373" s="159">
        <f t="shared" si="174"/>
        <v>44470</v>
      </c>
      <c r="BO373" s="162">
        <f t="shared" si="175"/>
        <v>0</v>
      </c>
      <c r="BP373" s="278">
        <f t="shared" si="173"/>
        <v>0</v>
      </c>
      <c r="BQ373" s="312">
        <f t="shared" si="157"/>
        <v>1.0777959353412707</v>
      </c>
      <c r="BS373" s="31" t="s">
        <v>43</v>
      </c>
      <c r="BT373" s="159">
        <f t="shared" si="171"/>
        <v>44470</v>
      </c>
      <c r="BU373" s="162">
        <f t="shared" si="172"/>
        <v>4.8999999999999998E-3</v>
      </c>
      <c r="BV373" s="311">
        <f t="shared" si="158"/>
        <v>0.58699999999999986</v>
      </c>
      <c r="BX373" s="358" t="s">
        <v>242</v>
      </c>
      <c r="BY373" s="294">
        <f t="shared" si="176"/>
        <v>44470</v>
      </c>
      <c r="BZ373" s="357">
        <f t="shared" si="177"/>
        <v>3.5750000000000001E-3</v>
      </c>
      <c r="CA373" s="162">
        <f t="shared" si="159"/>
        <v>0.29239900000000019</v>
      </c>
      <c r="CF373" s="31" t="s">
        <v>197</v>
      </c>
      <c r="CG373" s="168">
        <v>44470</v>
      </c>
      <c r="CH373" s="37">
        <v>0</v>
      </c>
      <c r="CI373" s="314">
        <f t="shared" si="178"/>
        <v>0</v>
      </c>
      <c r="CJ373" s="312">
        <f t="shared" si="160"/>
        <v>1</v>
      </c>
      <c r="CN373" s="315">
        <f t="shared" si="161"/>
        <v>44470</v>
      </c>
      <c r="CO373" s="312">
        <f t="shared" si="162"/>
        <v>1</v>
      </c>
      <c r="CQ373" s="315">
        <f t="shared" si="163"/>
        <v>44470</v>
      </c>
      <c r="CR373" s="316">
        <f t="shared" si="164"/>
        <v>0.58699999999999986</v>
      </c>
      <c r="CW373" s="664" t="s">
        <v>519</v>
      </c>
    </row>
    <row r="374" spans="2:101" ht="15" customHeight="1">
      <c r="B374" s="1"/>
      <c r="D374" s="274" t="str">
        <f t="shared" si="165"/>
        <v/>
      </c>
      <c r="E374" s="275" t="str">
        <f t="shared" si="166"/>
        <v/>
      </c>
      <c r="G374" s="283"/>
      <c r="H374" s="283"/>
      <c r="I374" s="284"/>
      <c r="J374" s="159" t="str">
        <f t="shared" si="167"/>
        <v/>
      </c>
      <c r="K374" s="278" t="str">
        <f t="shared" si="168"/>
        <v/>
      </c>
      <c r="M374" s="163">
        <v>46235</v>
      </c>
      <c r="N374" s="163">
        <v>46266</v>
      </c>
      <c r="O374" s="164">
        <v>5.0000000000000001E-3</v>
      </c>
      <c r="P374" s="159">
        <f t="shared" si="156"/>
        <v>46235</v>
      </c>
      <c r="Q374" s="292">
        <f t="shared" si="155"/>
        <v>5.0000000000000001E-3</v>
      </c>
      <c r="S374" s="165" t="s">
        <v>281</v>
      </c>
      <c r="T374" s="165"/>
      <c r="U374" s="159">
        <f t="shared" si="169"/>
        <v>46266</v>
      </c>
      <c r="V374" s="285">
        <f t="shared" si="170"/>
        <v>0</v>
      </c>
      <c r="BM374" s="31" t="s">
        <v>198</v>
      </c>
      <c r="BN374" s="159">
        <f t="shared" si="174"/>
        <v>44501</v>
      </c>
      <c r="BO374" s="162">
        <f t="shared" si="175"/>
        <v>0</v>
      </c>
      <c r="BP374" s="278">
        <f t="shared" si="173"/>
        <v>0</v>
      </c>
      <c r="BQ374" s="312">
        <f t="shared" si="157"/>
        <v>1.0777959353412707</v>
      </c>
      <c r="BS374" s="31" t="s">
        <v>43</v>
      </c>
      <c r="BT374" s="159">
        <f t="shared" si="171"/>
        <v>44501</v>
      </c>
      <c r="BU374" s="162">
        <f t="shared" si="172"/>
        <v>5.8999999999999999E-3</v>
      </c>
      <c r="BV374" s="311">
        <f t="shared" si="158"/>
        <v>0.58209999999999984</v>
      </c>
      <c r="BX374" s="358" t="s">
        <v>242</v>
      </c>
      <c r="BY374" s="294">
        <f t="shared" si="176"/>
        <v>44501</v>
      </c>
      <c r="BZ374" s="357">
        <f t="shared" si="177"/>
        <v>4.4120000000000001E-3</v>
      </c>
      <c r="CA374" s="162">
        <f t="shared" si="159"/>
        <v>0.28882400000000019</v>
      </c>
      <c r="CF374" s="31" t="s">
        <v>197</v>
      </c>
      <c r="CG374" s="168">
        <v>44501</v>
      </c>
      <c r="CH374" s="37">
        <v>0</v>
      </c>
      <c r="CI374" s="314">
        <f t="shared" si="178"/>
        <v>0</v>
      </c>
      <c r="CJ374" s="312">
        <f t="shared" si="160"/>
        <v>1</v>
      </c>
      <c r="CN374" s="315">
        <f t="shared" si="161"/>
        <v>44501</v>
      </c>
      <c r="CO374" s="312">
        <f t="shared" si="162"/>
        <v>1</v>
      </c>
      <c r="CQ374" s="315">
        <f t="shared" si="163"/>
        <v>44501</v>
      </c>
      <c r="CR374" s="316">
        <f t="shared" si="164"/>
        <v>0.58209999999999984</v>
      </c>
      <c r="CW374"/>
    </row>
    <row r="375" spans="2:101" ht="15" customHeight="1">
      <c r="B375" s="1"/>
      <c r="D375" s="274" t="str">
        <f t="shared" si="165"/>
        <v/>
      </c>
      <c r="E375" s="275" t="str">
        <f t="shared" si="166"/>
        <v/>
      </c>
      <c r="G375" s="283"/>
      <c r="H375" s="283"/>
      <c r="I375" s="284"/>
      <c r="J375" s="159" t="str">
        <f t="shared" si="167"/>
        <v/>
      </c>
      <c r="K375" s="278" t="str">
        <f t="shared" si="168"/>
        <v/>
      </c>
      <c r="M375" s="284"/>
      <c r="N375" s="284"/>
      <c r="O375" s="284"/>
      <c r="P375" s="159">
        <f t="shared" si="156"/>
        <v>46266</v>
      </c>
      <c r="Q375" s="292">
        <f t="shared" si="155"/>
        <v>0</v>
      </c>
      <c r="S375" s="284"/>
      <c r="T375" s="284"/>
      <c r="U375" s="159" t="str">
        <f t="shared" si="169"/>
        <v/>
      </c>
      <c r="V375" s="285" t="str">
        <f t="shared" si="170"/>
        <v/>
      </c>
      <c r="BM375" s="31" t="s">
        <v>198</v>
      </c>
      <c r="BN375" s="159">
        <f t="shared" si="174"/>
        <v>44531</v>
      </c>
      <c r="BO375" s="162">
        <f t="shared" si="175"/>
        <v>0</v>
      </c>
      <c r="BP375" s="278">
        <f t="shared" si="173"/>
        <v>0</v>
      </c>
      <c r="BQ375" s="312">
        <f t="shared" si="157"/>
        <v>1.0777959353412707</v>
      </c>
      <c r="BS375" s="31" t="s">
        <v>43</v>
      </c>
      <c r="BT375" s="159">
        <f t="shared" si="171"/>
        <v>44531</v>
      </c>
      <c r="BU375" s="162">
        <f t="shared" si="172"/>
        <v>7.7000000000000002E-3</v>
      </c>
      <c r="BV375" s="311">
        <f t="shared" si="158"/>
        <v>0.57619999999999982</v>
      </c>
      <c r="BX375" s="358" t="s">
        <v>242</v>
      </c>
      <c r="BY375" s="294">
        <f t="shared" si="176"/>
        <v>44531</v>
      </c>
      <c r="BZ375" s="357">
        <f t="shared" si="177"/>
        <v>4.4120000000000001E-3</v>
      </c>
      <c r="CA375" s="162">
        <f t="shared" si="159"/>
        <v>0.28441200000000016</v>
      </c>
      <c r="CF375" s="31" t="s">
        <v>197</v>
      </c>
      <c r="CG375" s="168">
        <v>44531</v>
      </c>
      <c r="CH375" s="37">
        <v>0</v>
      </c>
      <c r="CI375" s="314">
        <f t="shared" si="178"/>
        <v>0</v>
      </c>
      <c r="CJ375" s="312">
        <f t="shared" si="160"/>
        <v>1</v>
      </c>
      <c r="CN375" s="315">
        <f t="shared" si="161"/>
        <v>44531</v>
      </c>
      <c r="CO375" s="312">
        <f t="shared" si="162"/>
        <v>1</v>
      </c>
      <c r="CQ375" s="315">
        <f t="shared" si="163"/>
        <v>44531</v>
      </c>
      <c r="CR375" s="316">
        <f t="shared" si="164"/>
        <v>0.57619999999999982</v>
      </c>
      <c r="CW375" s="663" t="s">
        <v>520</v>
      </c>
    </row>
    <row r="376" spans="2:101" ht="15" customHeight="1">
      <c r="B376" s="1"/>
      <c r="D376" s="274" t="str">
        <f t="shared" si="165"/>
        <v/>
      </c>
      <c r="E376" s="275" t="str">
        <f t="shared" si="166"/>
        <v/>
      </c>
      <c r="G376" s="283"/>
      <c r="H376" s="283"/>
      <c r="I376" s="284"/>
      <c r="J376" s="159" t="str">
        <f t="shared" si="167"/>
        <v/>
      </c>
      <c r="K376" s="278" t="str">
        <f t="shared" si="168"/>
        <v/>
      </c>
      <c r="M376" s="284"/>
      <c r="N376" s="284"/>
      <c r="O376" s="284"/>
      <c r="P376" s="159" t="str">
        <f t="shared" si="156"/>
        <v/>
      </c>
      <c r="Q376" s="292" t="str">
        <f t="shared" si="155"/>
        <v/>
      </c>
      <c r="S376" s="284"/>
      <c r="T376" s="284"/>
      <c r="U376" s="159" t="str">
        <f t="shared" si="169"/>
        <v/>
      </c>
      <c r="V376" s="285" t="str">
        <f t="shared" si="170"/>
        <v/>
      </c>
      <c r="BM376" s="31" t="s">
        <v>198</v>
      </c>
      <c r="BN376" s="159">
        <f t="shared" si="174"/>
        <v>44562</v>
      </c>
      <c r="BO376" s="162">
        <f t="shared" si="175"/>
        <v>4.8799999999999999E-4</v>
      </c>
      <c r="BP376" s="278">
        <f t="shared" si="173"/>
        <v>4.8799999999999999E-4</v>
      </c>
      <c r="BQ376" s="312">
        <f t="shared" si="157"/>
        <v>1.0777959353412707</v>
      </c>
      <c r="BS376" s="31" t="s">
        <v>43</v>
      </c>
      <c r="BT376" s="159">
        <f t="shared" si="171"/>
        <v>44562</v>
      </c>
      <c r="BU376" s="162">
        <f t="shared" si="172"/>
        <v>7.3000000000000001E-3</v>
      </c>
      <c r="BV376" s="311">
        <f t="shared" si="158"/>
        <v>0.56849999999999978</v>
      </c>
      <c r="BX376" s="358" t="s">
        <v>242</v>
      </c>
      <c r="BY376" s="294">
        <f t="shared" si="176"/>
        <v>44562</v>
      </c>
      <c r="BZ376" s="357">
        <f t="shared" si="177"/>
        <v>5.0000000000000001E-3</v>
      </c>
      <c r="CA376" s="162">
        <f t="shared" si="159"/>
        <v>0.28000000000000014</v>
      </c>
      <c r="CF376" s="31" t="s">
        <v>197</v>
      </c>
      <c r="CG376" s="168">
        <v>44562</v>
      </c>
      <c r="CH376" s="37">
        <v>0</v>
      </c>
      <c r="CI376" s="314">
        <f t="shared" si="178"/>
        <v>0</v>
      </c>
      <c r="CJ376" s="312">
        <f t="shared" si="160"/>
        <v>1</v>
      </c>
      <c r="CN376" s="315">
        <f t="shared" si="161"/>
        <v>44562</v>
      </c>
      <c r="CO376" s="312">
        <f t="shared" si="162"/>
        <v>1</v>
      </c>
      <c r="CQ376" s="315">
        <f t="shared" si="163"/>
        <v>44562</v>
      </c>
      <c r="CR376" s="316">
        <f t="shared" si="164"/>
        <v>0.56849999999999978</v>
      </c>
      <c r="CW376" s="663" t="s">
        <v>521</v>
      </c>
    </row>
    <row r="377" spans="2:101" ht="15" customHeight="1">
      <c r="B377" s="1"/>
      <c r="D377" s="274" t="str">
        <f t="shared" ref="D377:D387" si="179">+IF(TRIM(B377)="","",TRUNC(B377,0))</f>
        <v/>
      </c>
      <c r="E377" s="275" t="str">
        <f t="shared" ref="E377:E387" si="180">+IF(TRIM(C377)="","",C377)</f>
        <v/>
      </c>
      <c r="G377" s="283"/>
      <c r="H377" s="283"/>
      <c r="I377" s="284"/>
      <c r="J377" s="159" t="str">
        <f t="shared" si="167"/>
        <v/>
      </c>
      <c r="K377" s="278" t="str">
        <f t="shared" si="168"/>
        <v/>
      </c>
      <c r="M377" s="284"/>
      <c r="N377" s="284"/>
      <c r="O377" s="284"/>
      <c r="P377" s="159" t="str">
        <f t="shared" si="156"/>
        <v/>
      </c>
      <c r="Q377" s="292" t="str">
        <f t="shared" si="155"/>
        <v/>
      </c>
      <c r="S377" s="284"/>
      <c r="T377" s="284"/>
      <c r="U377" s="159" t="str">
        <f t="shared" si="169"/>
        <v/>
      </c>
      <c r="V377" s="285" t="str">
        <f t="shared" si="170"/>
        <v/>
      </c>
      <c r="BM377" s="31" t="s">
        <v>198</v>
      </c>
      <c r="BN377" s="159">
        <f t="shared" si="174"/>
        <v>44593</v>
      </c>
      <c r="BO377" s="162">
        <f t="shared" si="175"/>
        <v>6.0499999999999996E-4</v>
      </c>
      <c r="BP377" s="278">
        <f t="shared" si="173"/>
        <v>6.0499999999999996E-4</v>
      </c>
      <c r="BQ377" s="312">
        <f t="shared" si="157"/>
        <v>1.0772702274702652</v>
      </c>
      <c r="BS377" s="31" t="s">
        <v>43</v>
      </c>
      <c r="BT377" s="159">
        <f t="shared" si="171"/>
        <v>44593</v>
      </c>
      <c r="BU377" s="162">
        <f t="shared" si="172"/>
        <v>7.6E-3</v>
      </c>
      <c r="BV377" s="311">
        <f t="shared" si="158"/>
        <v>0.56119999999999981</v>
      </c>
      <c r="BX377" s="358" t="s">
        <v>242</v>
      </c>
      <c r="BY377" s="294">
        <f t="shared" si="176"/>
        <v>44593</v>
      </c>
      <c r="BZ377" s="357">
        <f t="shared" si="177"/>
        <v>5.0000000000000001E-3</v>
      </c>
      <c r="CA377" s="162">
        <f t="shared" si="159"/>
        <v>0.27500000000000013</v>
      </c>
      <c r="CF377" s="31" t="s">
        <v>197</v>
      </c>
      <c r="CG377" s="168">
        <v>44593</v>
      </c>
      <c r="CH377" s="37">
        <v>0</v>
      </c>
      <c r="CI377" s="314">
        <f t="shared" si="178"/>
        <v>0</v>
      </c>
      <c r="CJ377" s="312">
        <f t="shared" si="160"/>
        <v>1</v>
      </c>
      <c r="CN377" s="315">
        <f t="shared" si="161"/>
        <v>44593</v>
      </c>
      <c r="CO377" s="312">
        <f t="shared" si="162"/>
        <v>1</v>
      </c>
      <c r="CQ377" s="315">
        <f t="shared" si="163"/>
        <v>44593</v>
      </c>
      <c r="CR377" s="316">
        <f t="shared" si="164"/>
        <v>0.56119999999999981</v>
      </c>
      <c r="CW377"/>
    </row>
    <row r="378" spans="2:101" ht="15" customHeight="1">
      <c r="B378" s="1"/>
      <c r="D378" s="274" t="str">
        <f t="shared" si="179"/>
        <v/>
      </c>
      <c r="E378" s="275" t="str">
        <f t="shared" si="180"/>
        <v/>
      </c>
      <c r="G378" s="283"/>
      <c r="H378" s="283"/>
      <c r="I378" s="284"/>
      <c r="J378" s="159" t="str">
        <f t="shared" si="167"/>
        <v/>
      </c>
      <c r="K378" s="278" t="str">
        <f t="shared" si="168"/>
        <v/>
      </c>
      <c r="M378" s="284"/>
      <c r="N378" s="284"/>
      <c r="O378" s="284"/>
      <c r="P378" s="159" t="str">
        <f t="shared" si="156"/>
        <v/>
      </c>
      <c r="Q378" s="292" t="str">
        <f t="shared" si="155"/>
        <v/>
      </c>
      <c r="S378" s="284"/>
      <c r="T378" s="284"/>
      <c r="U378" s="159" t="str">
        <f t="shared" si="169"/>
        <v/>
      </c>
      <c r="V378" s="285" t="str">
        <f t="shared" si="170"/>
        <v/>
      </c>
      <c r="BM378" s="31" t="s">
        <v>198</v>
      </c>
      <c r="BN378" s="159">
        <f t="shared" si="174"/>
        <v>44621</v>
      </c>
      <c r="BO378" s="162">
        <f t="shared" si="175"/>
        <v>0</v>
      </c>
      <c r="BP378" s="278">
        <f t="shared" si="173"/>
        <v>0</v>
      </c>
      <c r="BQ378" s="312">
        <f t="shared" si="157"/>
        <v>1.0766188730520687</v>
      </c>
      <c r="BS378" s="31" t="s">
        <v>43</v>
      </c>
      <c r="BT378" s="159">
        <f t="shared" si="171"/>
        <v>44621</v>
      </c>
      <c r="BU378" s="162">
        <f t="shared" si="172"/>
        <v>9.2999999999999992E-3</v>
      </c>
      <c r="BV378" s="311">
        <f t="shared" si="158"/>
        <v>0.55359999999999976</v>
      </c>
      <c r="BX378" s="358" t="s">
        <v>242</v>
      </c>
      <c r="BY378" s="294">
        <f t="shared" si="176"/>
        <v>44621</v>
      </c>
      <c r="BZ378" s="357">
        <f t="shared" si="177"/>
        <v>5.0000000000000001E-3</v>
      </c>
      <c r="CA378" s="162">
        <f t="shared" si="159"/>
        <v>0.27000000000000013</v>
      </c>
      <c r="CF378" s="31" t="s">
        <v>197</v>
      </c>
      <c r="CG378" s="168">
        <v>44621</v>
      </c>
      <c r="CH378" s="37">
        <v>0</v>
      </c>
      <c r="CI378" s="314">
        <f t="shared" si="178"/>
        <v>0</v>
      </c>
      <c r="CJ378" s="312">
        <f t="shared" si="160"/>
        <v>1</v>
      </c>
      <c r="CN378" s="315">
        <f t="shared" si="161"/>
        <v>44621</v>
      </c>
      <c r="CO378" s="312">
        <f t="shared" si="162"/>
        <v>1</v>
      </c>
      <c r="CQ378" s="315">
        <f t="shared" si="163"/>
        <v>44621</v>
      </c>
      <c r="CR378" s="316">
        <f t="shared" si="164"/>
        <v>0.55359999999999976</v>
      </c>
      <c r="CW378" s="665" t="s">
        <v>522</v>
      </c>
    </row>
    <row r="379" spans="2:101" ht="15" customHeight="1">
      <c r="B379" s="1"/>
      <c r="D379" s="274" t="str">
        <f t="shared" si="179"/>
        <v/>
      </c>
      <c r="E379" s="275" t="str">
        <f t="shared" si="180"/>
        <v/>
      </c>
      <c r="G379" s="283"/>
      <c r="H379" s="283"/>
      <c r="I379" s="284"/>
      <c r="J379" s="159" t="str">
        <f t="shared" si="167"/>
        <v/>
      </c>
      <c r="K379" s="278" t="str">
        <f t="shared" si="168"/>
        <v/>
      </c>
      <c r="M379" s="284"/>
      <c r="N379" s="284"/>
      <c r="O379" s="284"/>
      <c r="P379" s="159" t="str">
        <f t="shared" si="156"/>
        <v/>
      </c>
      <c r="Q379" s="292" t="str">
        <f t="shared" si="155"/>
        <v/>
      </c>
      <c r="S379" s="284"/>
      <c r="T379" s="284"/>
      <c r="U379" s="159" t="str">
        <f t="shared" si="169"/>
        <v/>
      </c>
      <c r="V379" s="285" t="str">
        <f t="shared" si="170"/>
        <v/>
      </c>
      <c r="BM379" s="31" t="s">
        <v>198</v>
      </c>
      <c r="BN379" s="159">
        <f t="shared" si="174"/>
        <v>44652</v>
      </c>
      <c r="BO379" s="162">
        <f t="shared" si="175"/>
        <v>9.7099999999999997E-4</v>
      </c>
      <c r="BP379" s="278">
        <f t="shared" si="173"/>
        <v>9.7099999999999997E-4</v>
      </c>
      <c r="BQ379" s="312">
        <f t="shared" si="157"/>
        <v>1.0766188730520687</v>
      </c>
      <c r="BS379" s="31" t="s">
        <v>43</v>
      </c>
      <c r="BT379" s="159">
        <f t="shared" si="171"/>
        <v>44652</v>
      </c>
      <c r="BU379" s="162">
        <f t="shared" si="172"/>
        <v>8.3000000000000001E-3</v>
      </c>
      <c r="BV379" s="311">
        <f t="shared" si="158"/>
        <v>0.54429999999999978</v>
      </c>
      <c r="BX379" s="358" t="s">
        <v>242</v>
      </c>
      <c r="BY379" s="294">
        <f t="shared" si="176"/>
        <v>44652</v>
      </c>
      <c r="BZ379" s="357">
        <f t="shared" si="177"/>
        <v>5.0000000000000001E-3</v>
      </c>
      <c r="CA379" s="162">
        <f t="shared" si="159"/>
        <v>0.26500000000000012</v>
      </c>
      <c r="CF379" s="31" t="s">
        <v>197</v>
      </c>
      <c r="CG379" s="168">
        <v>44652</v>
      </c>
      <c r="CH379" s="37">
        <v>0</v>
      </c>
      <c r="CI379" s="314">
        <f t="shared" si="178"/>
        <v>0</v>
      </c>
      <c r="CJ379" s="312">
        <f t="shared" si="160"/>
        <v>1</v>
      </c>
      <c r="CN379" s="315">
        <f t="shared" si="161"/>
        <v>44652</v>
      </c>
      <c r="CO379" s="312">
        <f t="shared" si="162"/>
        <v>1</v>
      </c>
      <c r="CQ379" s="315">
        <f t="shared" si="163"/>
        <v>44652</v>
      </c>
      <c r="CR379" s="316">
        <f t="shared" si="164"/>
        <v>0.54429999999999978</v>
      </c>
      <c r="CW379"/>
    </row>
    <row r="380" spans="2:101" ht="15" customHeight="1">
      <c r="B380" s="1"/>
      <c r="D380" s="274" t="str">
        <f t="shared" si="179"/>
        <v/>
      </c>
      <c r="E380" s="275" t="str">
        <f t="shared" si="180"/>
        <v/>
      </c>
      <c r="G380" s="283"/>
      <c r="H380" s="283"/>
      <c r="I380" s="284"/>
      <c r="J380" s="159" t="str">
        <f t="shared" si="167"/>
        <v/>
      </c>
      <c r="K380" s="278" t="str">
        <f t="shared" si="168"/>
        <v/>
      </c>
      <c r="M380" s="284"/>
      <c r="N380" s="284"/>
      <c r="O380" s="284"/>
      <c r="P380" s="159" t="str">
        <f t="shared" si="156"/>
        <v/>
      </c>
      <c r="Q380" s="292" t="str">
        <f t="shared" si="155"/>
        <v/>
      </c>
      <c r="S380" s="284"/>
      <c r="T380" s="284"/>
      <c r="U380" s="159" t="str">
        <f t="shared" si="169"/>
        <v/>
      </c>
      <c r="V380" s="285" t="str">
        <f t="shared" si="170"/>
        <v/>
      </c>
      <c r="BM380" s="31" t="s">
        <v>198</v>
      </c>
      <c r="BN380" s="159">
        <f t="shared" si="174"/>
        <v>44682</v>
      </c>
      <c r="BO380" s="162">
        <f t="shared" si="175"/>
        <v>5.5500000000000005E-4</v>
      </c>
      <c r="BP380" s="278">
        <f t="shared" si="173"/>
        <v>5.5500000000000005E-4</v>
      </c>
      <c r="BQ380" s="312">
        <f t="shared" si="157"/>
        <v>1.075574490222063</v>
      </c>
      <c r="BS380" s="31" t="s">
        <v>43</v>
      </c>
      <c r="BT380" s="159">
        <f t="shared" si="171"/>
        <v>44682</v>
      </c>
      <c r="BU380" s="162">
        <f t="shared" si="172"/>
        <v>1.03E-2</v>
      </c>
      <c r="BV380" s="311">
        <f t="shared" si="158"/>
        <v>0.53599999999999981</v>
      </c>
      <c r="BX380" s="358" t="s">
        <v>242</v>
      </c>
      <c r="BY380" s="294">
        <f t="shared" si="176"/>
        <v>44682</v>
      </c>
      <c r="BZ380" s="357">
        <f t="shared" si="177"/>
        <v>5.0000000000000001E-3</v>
      </c>
      <c r="CA380" s="162">
        <f t="shared" si="159"/>
        <v>0.26000000000000012</v>
      </c>
      <c r="CF380" s="31" t="s">
        <v>197</v>
      </c>
      <c r="CG380" s="168">
        <v>44682</v>
      </c>
      <c r="CH380" s="37">
        <v>0</v>
      </c>
      <c r="CI380" s="314">
        <f t="shared" si="178"/>
        <v>0</v>
      </c>
      <c r="CJ380" s="312">
        <f t="shared" si="160"/>
        <v>1</v>
      </c>
      <c r="CN380" s="315">
        <f t="shared" si="161"/>
        <v>44682</v>
      </c>
      <c r="CO380" s="312">
        <f t="shared" si="162"/>
        <v>1</v>
      </c>
      <c r="CQ380" s="315">
        <f t="shared" si="163"/>
        <v>44682</v>
      </c>
      <c r="CR380" s="316">
        <f t="shared" si="164"/>
        <v>0.53599999999999981</v>
      </c>
      <c r="CW380" s="652" t="s">
        <v>523</v>
      </c>
    </row>
    <row r="381" spans="2:101" ht="15" customHeight="1">
      <c r="B381" s="1"/>
      <c r="D381" s="274" t="str">
        <f t="shared" si="179"/>
        <v/>
      </c>
      <c r="E381" s="275" t="str">
        <f t="shared" si="180"/>
        <v/>
      </c>
      <c r="G381" s="283"/>
      <c r="H381" s="283"/>
      <c r="I381" s="284"/>
      <c r="J381" s="159" t="str">
        <f t="shared" si="167"/>
        <v/>
      </c>
      <c r="K381" s="278" t="str">
        <f t="shared" si="168"/>
        <v/>
      </c>
      <c r="M381" s="284"/>
      <c r="N381" s="284"/>
      <c r="O381" s="284"/>
      <c r="P381" s="159" t="str">
        <f t="shared" si="156"/>
        <v/>
      </c>
      <c r="Q381" s="292" t="str">
        <f t="shared" si="155"/>
        <v/>
      </c>
      <c r="S381" s="284"/>
      <c r="T381" s="284"/>
      <c r="U381" s="159" t="str">
        <f t="shared" si="169"/>
        <v/>
      </c>
      <c r="V381" s="285" t="str">
        <f t="shared" si="170"/>
        <v/>
      </c>
      <c r="BM381" s="31" t="s">
        <v>198</v>
      </c>
      <c r="BN381" s="159">
        <f t="shared" si="174"/>
        <v>44713</v>
      </c>
      <c r="BO381" s="162">
        <f t="shared" si="175"/>
        <v>1.663E-3</v>
      </c>
      <c r="BP381" s="278">
        <f t="shared" si="173"/>
        <v>1.663E-3</v>
      </c>
      <c r="BQ381" s="312">
        <f t="shared" si="157"/>
        <v>1.0749778775000502</v>
      </c>
      <c r="BS381" s="31" t="s">
        <v>43</v>
      </c>
      <c r="BT381" s="159">
        <f t="shared" si="171"/>
        <v>44713</v>
      </c>
      <c r="BU381" s="162">
        <f t="shared" si="172"/>
        <v>1.0200000000000001E-2</v>
      </c>
      <c r="BV381" s="311">
        <f t="shared" si="158"/>
        <v>0.52569999999999983</v>
      </c>
      <c r="BX381" s="358" t="s">
        <v>242</v>
      </c>
      <c r="BY381" s="294">
        <f t="shared" si="176"/>
        <v>44713</v>
      </c>
      <c r="BZ381" s="357">
        <f t="shared" si="177"/>
        <v>5.0000000000000001E-3</v>
      </c>
      <c r="CA381" s="162">
        <f t="shared" si="159"/>
        <v>0.25500000000000012</v>
      </c>
      <c r="CF381" s="31" t="s">
        <v>197</v>
      </c>
      <c r="CG381" s="168">
        <v>44713</v>
      </c>
      <c r="CH381" s="37">
        <v>0</v>
      </c>
      <c r="CI381" s="314">
        <f t="shared" si="178"/>
        <v>0</v>
      </c>
      <c r="CJ381" s="312">
        <f t="shared" si="160"/>
        <v>1</v>
      </c>
      <c r="CN381" s="315">
        <f t="shared" si="161"/>
        <v>44713</v>
      </c>
      <c r="CO381" s="312">
        <f t="shared" si="162"/>
        <v>1</v>
      </c>
      <c r="CQ381" s="315">
        <f t="shared" si="163"/>
        <v>44713</v>
      </c>
      <c r="CR381" s="316">
        <f t="shared" si="164"/>
        <v>0.52569999999999983</v>
      </c>
      <c r="CW381"/>
    </row>
    <row r="382" spans="2:101" ht="15" customHeight="1">
      <c r="B382" s="1"/>
      <c r="D382" s="274" t="str">
        <f t="shared" si="179"/>
        <v/>
      </c>
      <c r="E382" s="275" t="str">
        <f t="shared" si="180"/>
        <v/>
      </c>
      <c r="G382" s="283"/>
      <c r="H382" s="283"/>
      <c r="I382" s="284"/>
      <c r="J382" s="159" t="str">
        <f t="shared" si="167"/>
        <v/>
      </c>
      <c r="K382" s="278" t="str">
        <f t="shared" si="168"/>
        <v/>
      </c>
      <c r="M382" s="284"/>
      <c r="N382" s="284"/>
      <c r="O382" s="284"/>
      <c r="P382" s="159" t="str">
        <f t="shared" si="156"/>
        <v/>
      </c>
      <c r="Q382" s="292" t="str">
        <f t="shared" si="155"/>
        <v/>
      </c>
      <c r="S382" s="284"/>
      <c r="T382" s="284"/>
      <c r="U382" s="159" t="str">
        <f t="shared" si="169"/>
        <v/>
      </c>
      <c r="V382" s="285" t="str">
        <f t="shared" si="170"/>
        <v/>
      </c>
      <c r="BM382" s="31" t="s">
        <v>198</v>
      </c>
      <c r="BN382" s="159">
        <f t="shared" si="174"/>
        <v>44743</v>
      </c>
      <c r="BO382" s="162">
        <f t="shared" si="175"/>
        <v>1.4840000000000001E-3</v>
      </c>
      <c r="BP382" s="278">
        <f t="shared" si="173"/>
        <v>1.4840000000000001E-3</v>
      </c>
      <c r="BQ382" s="312">
        <f t="shared" si="157"/>
        <v>1.0731931572794944</v>
      </c>
      <c r="BS382" s="31" t="s">
        <v>43</v>
      </c>
      <c r="BT382" s="159">
        <f t="shared" si="171"/>
        <v>44743</v>
      </c>
      <c r="BU382" s="162">
        <f t="shared" si="172"/>
        <v>1.03E-2</v>
      </c>
      <c r="BV382" s="311">
        <f t="shared" si="158"/>
        <v>0.51549999999999985</v>
      </c>
      <c r="BX382" s="358" t="s">
        <v>242</v>
      </c>
      <c r="BY382" s="294">
        <f t="shared" si="176"/>
        <v>44743</v>
      </c>
      <c r="BZ382" s="357">
        <f t="shared" si="177"/>
        <v>5.0000000000000001E-3</v>
      </c>
      <c r="CA382" s="162">
        <f t="shared" si="159"/>
        <v>0.25000000000000011</v>
      </c>
      <c r="CF382" s="31" t="s">
        <v>197</v>
      </c>
      <c r="CG382" s="168">
        <v>44743</v>
      </c>
      <c r="CH382" s="37">
        <v>0</v>
      </c>
      <c r="CI382" s="314">
        <f t="shared" si="178"/>
        <v>0</v>
      </c>
      <c r="CJ382" s="312">
        <f t="shared" si="160"/>
        <v>1</v>
      </c>
      <c r="CN382" s="315">
        <f t="shared" si="161"/>
        <v>44743</v>
      </c>
      <c r="CO382" s="312">
        <f t="shared" si="162"/>
        <v>1</v>
      </c>
      <c r="CQ382" s="315">
        <f t="shared" si="163"/>
        <v>44743</v>
      </c>
      <c r="CR382" s="316">
        <f t="shared" si="164"/>
        <v>0.51549999999999985</v>
      </c>
      <c r="CW382"/>
    </row>
    <row r="383" spans="2:101" ht="15" customHeight="1">
      <c r="B383" s="1"/>
      <c r="D383" s="274" t="str">
        <f t="shared" si="179"/>
        <v/>
      </c>
      <c r="E383" s="275" t="str">
        <f t="shared" si="180"/>
        <v/>
      </c>
      <c r="G383" s="283"/>
      <c r="H383" s="283"/>
      <c r="I383" s="284"/>
      <c r="J383" s="159" t="str">
        <f t="shared" si="167"/>
        <v/>
      </c>
      <c r="K383" s="278" t="str">
        <f t="shared" si="168"/>
        <v/>
      </c>
      <c r="M383" s="284"/>
      <c r="N383" s="284"/>
      <c r="O383" s="284"/>
      <c r="P383" s="159" t="str">
        <f t="shared" si="156"/>
        <v/>
      </c>
      <c r="Q383" s="292" t="str">
        <f t="shared" si="155"/>
        <v/>
      </c>
      <c r="S383" s="284"/>
      <c r="T383" s="284"/>
      <c r="U383" s="159" t="str">
        <f t="shared" si="169"/>
        <v/>
      </c>
      <c r="V383" s="285" t="str">
        <f t="shared" si="170"/>
        <v/>
      </c>
      <c r="BM383" s="31" t="s">
        <v>198</v>
      </c>
      <c r="BN383" s="159">
        <f t="shared" si="174"/>
        <v>44774</v>
      </c>
      <c r="BO383" s="162">
        <f t="shared" si="175"/>
        <v>1.6310000000000001E-3</v>
      </c>
      <c r="BP383" s="278">
        <f t="shared" si="173"/>
        <v>1.6310000000000001E-3</v>
      </c>
      <c r="BQ383" s="312">
        <f t="shared" si="157"/>
        <v>1.0716028985780046</v>
      </c>
      <c r="BS383" s="31" t="s">
        <v>43</v>
      </c>
      <c r="BT383" s="159">
        <f t="shared" si="171"/>
        <v>44774</v>
      </c>
      <c r="BU383" s="162">
        <f t="shared" si="172"/>
        <v>1.17E-2</v>
      </c>
      <c r="BV383" s="311">
        <f t="shared" si="158"/>
        <v>0.50519999999999987</v>
      </c>
      <c r="BX383" s="358" t="s">
        <v>242</v>
      </c>
      <c r="BY383" s="294">
        <f t="shared" si="176"/>
        <v>44774</v>
      </c>
      <c r="BZ383" s="357">
        <f t="shared" si="177"/>
        <v>5.0000000000000001E-3</v>
      </c>
      <c r="CA383" s="162">
        <f t="shared" si="159"/>
        <v>0.24500000000000013</v>
      </c>
      <c r="CF383" s="31" t="s">
        <v>197</v>
      </c>
      <c r="CG383" s="168">
        <v>44774</v>
      </c>
      <c r="CH383" s="37">
        <v>0</v>
      </c>
      <c r="CI383" s="314">
        <f t="shared" si="178"/>
        <v>0</v>
      </c>
      <c r="CJ383" s="312">
        <f t="shared" si="160"/>
        <v>1</v>
      </c>
      <c r="CN383" s="315">
        <f t="shared" si="161"/>
        <v>44774</v>
      </c>
      <c r="CO383" s="312">
        <f t="shared" si="162"/>
        <v>1</v>
      </c>
      <c r="CQ383" s="315">
        <f t="shared" si="163"/>
        <v>44774</v>
      </c>
      <c r="CR383" s="316">
        <f t="shared" si="164"/>
        <v>0.50519999999999987</v>
      </c>
      <c r="CW383" s="663" t="s">
        <v>524</v>
      </c>
    </row>
    <row r="384" spans="2:101" ht="15" customHeight="1">
      <c r="B384" s="1"/>
      <c r="D384" s="274" t="str">
        <f t="shared" si="179"/>
        <v/>
      </c>
      <c r="E384" s="275" t="str">
        <f t="shared" si="180"/>
        <v/>
      </c>
      <c r="G384" s="283"/>
      <c r="H384" s="283"/>
      <c r="I384" s="284"/>
      <c r="J384" s="159" t="str">
        <f t="shared" si="167"/>
        <v/>
      </c>
      <c r="K384" s="278" t="str">
        <f t="shared" si="168"/>
        <v/>
      </c>
      <c r="M384" s="284"/>
      <c r="N384" s="284"/>
      <c r="O384" s="284"/>
      <c r="P384" s="159" t="str">
        <f t="shared" si="156"/>
        <v/>
      </c>
      <c r="Q384" s="292" t="str">
        <f t="shared" si="155"/>
        <v/>
      </c>
      <c r="S384" s="284"/>
      <c r="T384" s="284"/>
      <c r="U384" s="159" t="str">
        <f t="shared" si="169"/>
        <v/>
      </c>
      <c r="V384" s="285" t="str">
        <f t="shared" si="170"/>
        <v/>
      </c>
      <c r="BM384" s="31" t="s">
        <v>198</v>
      </c>
      <c r="BN384" s="159">
        <f t="shared" si="174"/>
        <v>44805</v>
      </c>
      <c r="BO384" s="162">
        <f t="shared" si="175"/>
        <v>2.4090000000000001E-3</v>
      </c>
      <c r="BP384" s="278">
        <f t="shared" si="173"/>
        <v>2.4090000000000001E-3</v>
      </c>
      <c r="BQ384" s="312">
        <f t="shared" si="157"/>
        <v>1.0698579602448453</v>
      </c>
      <c r="BS384" s="31" t="s">
        <v>43</v>
      </c>
      <c r="BT384" s="159">
        <f t="shared" si="171"/>
        <v>44805</v>
      </c>
      <c r="BU384" s="162">
        <f t="shared" si="172"/>
        <v>1.0699999999999999E-2</v>
      </c>
      <c r="BV384" s="311">
        <f t="shared" si="158"/>
        <v>0.49349999999999983</v>
      </c>
      <c r="BX384" s="358" t="s">
        <v>242</v>
      </c>
      <c r="BY384" s="294">
        <f t="shared" si="176"/>
        <v>44805</v>
      </c>
      <c r="BZ384" s="357">
        <f t="shared" si="177"/>
        <v>5.0000000000000001E-3</v>
      </c>
      <c r="CA384" s="162">
        <f t="shared" si="159"/>
        <v>0.24000000000000013</v>
      </c>
      <c r="CF384" s="31" t="s">
        <v>197</v>
      </c>
      <c r="CG384" s="168">
        <v>44805</v>
      </c>
      <c r="CH384" s="37">
        <v>0</v>
      </c>
      <c r="CI384" s="314">
        <f t="shared" si="178"/>
        <v>0</v>
      </c>
      <c r="CJ384" s="312">
        <f t="shared" si="160"/>
        <v>1</v>
      </c>
      <c r="CN384" s="315">
        <f t="shared" si="161"/>
        <v>44805</v>
      </c>
      <c r="CO384" s="312">
        <f t="shared" si="162"/>
        <v>1</v>
      </c>
      <c r="CQ384" s="315">
        <f t="shared" si="163"/>
        <v>44805</v>
      </c>
      <c r="CR384" s="316">
        <f t="shared" si="164"/>
        <v>0.49349999999999983</v>
      </c>
      <c r="CW384" s="652" t="s">
        <v>525</v>
      </c>
    </row>
    <row r="385" spans="2:101" ht="15" customHeight="1">
      <c r="B385" s="1"/>
      <c r="D385" s="274" t="str">
        <f t="shared" si="179"/>
        <v/>
      </c>
      <c r="E385" s="275" t="str">
        <f t="shared" si="180"/>
        <v/>
      </c>
      <c r="G385" s="283"/>
      <c r="H385" s="283"/>
      <c r="I385" s="284"/>
      <c r="J385" s="159" t="str">
        <f t="shared" si="167"/>
        <v/>
      </c>
      <c r="K385" s="278" t="str">
        <f t="shared" si="168"/>
        <v/>
      </c>
      <c r="M385" s="284"/>
      <c r="N385" s="284"/>
      <c r="O385" s="284"/>
      <c r="P385" s="159" t="str">
        <f t="shared" si="156"/>
        <v/>
      </c>
      <c r="Q385" s="292" t="str">
        <f t="shared" si="155"/>
        <v/>
      </c>
      <c r="S385" s="284"/>
      <c r="T385" s="284"/>
      <c r="U385" s="159" t="str">
        <f t="shared" si="169"/>
        <v/>
      </c>
      <c r="V385" s="285" t="str">
        <f t="shared" si="170"/>
        <v/>
      </c>
      <c r="BM385" s="31" t="s">
        <v>198</v>
      </c>
      <c r="BN385" s="159">
        <f t="shared" si="174"/>
        <v>44835</v>
      </c>
      <c r="BO385" s="162">
        <f t="shared" si="175"/>
        <v>1.805E-3</v>
      </c>
      <c r="BP385" s="278">
        <f t="shared" si="173"/>
        <v>1.805E-3</v>
      </c>
      <c r="BQ385" s="312">
        <f t="shared" si="157"/>
        <v>1.0672868661842074</v>
      </c>
      <c r="BS385" s="31" t="s">
        <v>43</v>
      </c>
      <c r="BT385" s="159">
        <f t="shared" si="171"/>
        <v>44835</v>
      </c>
      <c r="BU385" s="162">
        <f t="shared" si="172"/>
        <v>1.0200000000000001E-2</v>
      </c>
      <c r="BV385" s="311">
        <f t="shared" si="158"/>
        <v>0.48279999999999984</v>
      </c>
      <c r="BX385" s="358" t="s">
        <v>242</v>
      </c>
      <c r="BY385" s="294">
        <f t="shared" si="176"/>
        <v>44835</v>
      </c>
      <c r="BZ385" s="357">
        <f t="shared" si="177"/>
        <v>5.0000000000000001E-3</v>
      </c>
      <c r="CA385" s="162">
        <f t="shared" si="159"/>
        <v>0.23500000000000013</v>
      </c>
      <c r="CF385" s="31" t="s">
        <v>197</v>
      </c>
      <c r="CG385" s="168">
        <v>44835</v>
      </c>
      <c r="CH385" s="37">
        <v>0</v>
      </c>
      <c r="CI385" s="314">
        <f t="shared" si="178"/>
        <v>0</v>
      </c>
      <c r="CJ385" s="312">
        <f t="shared" si="160"/>
        <v>1</v>
      </c>
      <c r="CN385" s="315">
        <f t="shared" si="161"/>
        <v>44835</v>
      </c>
      <c r="CO385" s="312">
        <f t="shared" si="162"/>
        <v>1</v>
      </c>
      <c r="CQ385" s="315">
        <f t="shared" si="163"/>
        <v>44835</v>
      </c>
      <c r="CR385" s="316">
        <f t="shared" si="164"/>
        <v>0.48279999999999984</v>
      </c>
      <c r="CW385" s="650" t="s">
        <v>526</v>
      </c>
    </row>
    <row r="386" spans="2:101" ht="15" customHeight="1" thickBot="1">
      <c r="B386" s="1"/>
      <c r="D386" s="274" t="str">
        <f t="shared" si="179"/>
        <v/>
      </c>
      <c r="E386" s="275" t="str">
        <f t="shared" si="180"/>
        <v/>
      </c>
      <c r="G386" s="283"/>
      <c r="H386" s="283"/>
      <c r="I386" s="284"/>
      <c r="J386" s="159" t="str">
        <f t="shared" si="167"/>
        <v/>
      </c>
      <c r="K386" s="278" t="str">
        <f t="shared" si="168"/>
        <v/>
      </c>
      <c r="M386" s="284"/>
      <c r="N386" s="284"/>
      <c r="O386" s="284"/>
      <c r="P386" s="159" t="str">
        <f t="shared" si="156"/>
        <v/>
      </c>
      <c r="Q386" s="292" t="str">
        <f t="shared" si="155"/>
        <v/>
      </c>
      <c r="S386" s="284"/>
      <c r="T386" s="284"/>
      <c r="U386" s="159" t="str">
        <f t="shared" si="169"/>
        <v/>
      </c>
      <c r="V386" s="285" t="str">
        <f t="shared" si="170"/>
        <v/>
      </c>
      <c r="BM386" s="31" t="s">
        <v>198</v>
      </c>
      <c r="BN386" s="159">
        <f t="shared" si="174"/>
        <v>44866</v>
      </c>
      <c r="BO386" s="162">
        <f t="shared" si="175"/>
        <v>1.4940000000000001E-3</v>
      </c>
      <c r="BP386" s="278">
        <f t="shared" si="173"/>
        <v>1.4940000000000001E-3</v>
      </c>
      <c r="BQ386" s="312">
        <f t="shared" si="157"/>
        <v>1.0653638843729143</v>
      </c>
      <c r="BS386" s="31" t="s">
        <v>43</v>
      </c>
      <c r="BT386" s="159">
        <f t="shared" si="171"/>
        <v>44866</v>
      </c>
      <c r="BU386" s="162">
        <f t="shared" si="172"/>
        <v>1.0200000000000001E-2</v>
      </c>
      <c r="BV386" s="311">
        <f t="shared" si="158"/>
        <v>0.47259999999999985</v>
      </c>
      <c r="BX386" s="358" t="s">
        <v>242</v>
      </c>
      <c r="BY386" s="294">
        <f t="shared" si="176"/>
        <v>44866</v>
      </c>
      <c r="BZ386" s="357">
        <f t="shared" si="177"/>
        <v>5.0000000000000001E-3</v>
      </c>
      <c r="CA386" s="162">
        <f t="shared" si="159"/>
        <v>0.23000000000000012</v>
      </c>
      <c r="CF386" s="31" t="s">
        <v>197</v>
      </c>
      <c r="CG386" s="168">
        <v>44866</v>
      </c>
      <c r="CH386" s="37">
        <v>0</v>
      </c>
      <c r="CI386" s="314">
        <f t="shared" si="178"/>
        <v>0</v>
      </c>
      <c r="CJ386" s="312">
        <f t="shared" si="160"/>
        <v>1</v>
      </c>
      <c r="CN386" s="315">
        <f t="shared" si="161"/>
        <v>44866</v>
      </c>
      <c r="CO386" s="312">
        <f t="shared" si="162"/>
        <v>1</v>
      </c>
      <c r="CQ386" s="315">
        <f t="shared" si="163"/>
        <v>44866</v>
      </c>
      <c r="CR386" s="316">
        <f t="shared" si="164"/>
        <v>0.47259999999999985</v>
      </c>
      <c r="CW386"/>
    </row>
    <row r="387" spans="2:101" ht="15" customHeight="1" thickBot="1">
      <c r="B387" s="1"/>
      <c r="D387" s="274" t="str">
        <f t="shared" si="179"/>
        <v/>
      </c>
      <c r="E387" s="275" t="str">
        <f t="shared" si="180"/>
        <v/>
      </c>
      <c r="G387" s="283"/>
      <c r="H387" s="283"/>
      <c r="I387" s="284"/>
      <c r="J387" s="279"/>
      <c r="K387" s="280"/>
      <c r="M387" s="284"/>
      <c r="N387" s="284"/>
      <c r="O387" s="284"/>
      <c r="P387" s="159" t="str">
        <f t="shared" si="156"/>
        <v/>
      </c>
      <c r="Q387" s="292" t="str">
        <f t="shared" ref="Q387:Q448" si="181">IF(AND(P387&lt;&gt;"",P388=""),0,IF(TRIM(O387)="","",IF(AND(P387&gt;=vdt_ec113,VOP_EC113="SIM"),0,O387)))</f>
        <v/>
      </c>
      <c r="S387" s="284"/>
      <c r="T387" s="284"/>
      <c r="U387" s="279"/>
      <c r="V387" s="286"/>
      <c r="BM387" s="31" t="s">
        <v>198</v>
      </c>
      <c r="BN387" s="159">
        <f t="shared" si="174"/>
        <v>44896</v>
      </c>
      <c r="BO387" s="162">
        <f t="shared" si="175"/>
        <v>1.5070000000000001E-3</v>
      </c>
      <c r="BP387" s="278">
        <f t="shared" si="173"/>
        <v>1.5070000000000001E-3</v>
      </c>
      <c r="BQ387" s="312">
        <f t="shared" si="157"/>
        <v>1.0637746051128756</v>
      </c>
      <c r="BS387" s="31" t="s">
        <v>43</v>
      </c>
      <c r="BT387" s="159">
        <f t="shared" si="171"/>
        <v>44896</v>
      </c>
      <c r="BU387" s="162">
        <f t="shared" si="172"/>
        <v>1.12E-2</v>
      </c>
      <c r="BV387" s="311">
        <f t="shared" si="158"/>
        <v>0.46239999999999987</v>
      </c>
      <c r="BX387" s="358" t="s">
        <v>242</v>
      </c>
      <c r="BY387" s="294">
        <f t="shared" si="176"/>
        <v>44896</v>
      </c>
      <c r="BZ387" s="357">
        <f t="shared" si="177"/>
        <v>5.0000000000000001E-3</v>
      </c>
      <c r="CA387" s="162">
        <f t="shared" si="159"/>
        <v>0.22500000000000012</v>
      </c>
      <c r="CF387" s="31" t="s">
        <v>197</v>
      </c>
      <c r="CG387" s="168">
        <v>44896</v>
      </c>
      <c r="CH387" s="37">
        <v>0</v>
      </c>
      <c r="CI387" s="314">
        <f t="shared" si="178"/>
        <v>0</v>
      </c>
      <c r="CJ387" s="312">
        <f t="shared" si="160"/>
        <v>1</v>
      </c>
      <c r="CN387" s="315">
        <f t="shared" si="161"/>
        <v>44896</v>
      </c>
      <c r="CO387" s="312">
        <f t="shared" si="162"/>
        <v>1</v>
      </c>
      <c r="CQ387" s="315">
        <f t="shared" si="163"/>
        <v>44896</v>
      </c>
      <c r="CR387" s="316">
        <f t="shared" si="164"/>
        <v>0.46239999999999987</v>
      </c>
      <c r="CW387"/>
    </row>
    <row r="388" spans="2:101" ht="15" customHeight="1">
      <c r="B388" s="1"/>
      <c r="D388" s="1"/>
      <c r="M388" s="284"/>
      <c r="N388" s="284"/>
      <c r="O388" s="284"/>
      <c r="P388" s="159" t="str">
        <f t="shared" ref="P388:P448" si="182">IF(AND(TRIM(M388)="",TRIM(M387)&lt;&gt;""),EDATE(P387,1),IF(TRIM(M388)="","",TRUNC(M388,0)))</f>
        <v/>
      </c>
      <c r="Q388" s="292" t="str">
        <f t="shared" si="181"/>
        <v/>
      </c>
      <c r="U388" s="7"/>
      <c r="BM388" s="31" t="s">
        <v>198</v>
      </c>
      <c r="BN388" s="159">
        <f t="shared" si="174"/>
        <v>44927</v>
      </c>
      <c r="BO388" s="162">
        <f t="shared" si="175"/>
        <v>2.0720000000000001E-3</v>
      </c>
      <c r="BP388" s="278">
        <f t="shared" si="173"/>
        <v>2.0720000000000001E-3</v>
      </c>
      <c r="BQ388" s="312">
        <f t="shared" si="157"/>
        <v>1.0621739090319644</v>
      </c>
      <c r="BS388" s="31" t="s">
        <v>43</v>
      </c>
      <c r="BT388" s="159">
        <f t="shared" si="171"/>
        <v>44927</v>
      </c>
      <c r="BU388" s="162">
        <f t="shared" si="172"/>
        <v>1.12E-2</v>
      </c>
      <c r="BV388" s="311">
        <f t="shared" si="158"/>
        <v>0.45119999999999988</v>
      </c>
      <c r="BX388" s="358" t="s">
        <v>242</v>
      </c>
      <c r="BY388" s="294">
        <f t="shared" si="176"/>
        <v>44927</v>
      </c>
      <c r="BZ388" s="357">
        <f t="shared" si="177"/>
        <v>5.0000000000000001E-3</v>
      </c>
      <c r="CA388" s="162">
        <f t="shared" si="159"/>
        <v>0.22000000000000011</v>
      </c>
      <c r="CF388" s="31" t="s">
        <v>197</v>
      </c>
      <c r="CG388" s="168">
        <v>44927</v>
      </c>
      <c r="CH388" s="37">
        <v>0</v>
      </c>
      <c r="CI388" s="314">
        <f t="shared" si="178"/>
        <v>0</v>
      </c>
      <c r="CJ388" s="312">
        <f t="shared" si="160"/>
        <v>1</v>
      </c>
      <c r="CN388" s="315">
        <f t="shared" si="161"/>
        <v>44927</v>
      </c>
      <c r="CO388" s="312">
        <f t="shared" si="162"/>
        <v>1</v>
      </c>
      <c r="CQ388" s="315">
        <f t="shared" si="163"/>
        <v>44927</v>
      </c>
      <c r="CR388" s="316">
        <f t="shared" si="164"/>
        <v>0.45119999999999988</v>
      </c>
      <c r="CW388" s="663" t="s">
        <v>527</v>
      </c>
    </row>
    <row r="389" spans="2:101" ht="15" customHeight="1">
      <c r="B389" s="1"/>
      <c r="D389" s="1"/>
      <c r="M389" s="284"/>
      <c r="N389" s="284"/>
      <c r="O389" s="284"/>
      <c r="P389" s="159" t="str">
        <f t="shared" si="182"/>
        <v/>
      </c>
      <c r="Q389" s="292" t="str">
        <f t="shared" si="181"/>
        <v/>
      </c>
      <c r="BM389" s="31" t="s">
        <v>198</v>
      </c>
      <c r="BN389" s="159">
        <f t="shared" si="174"/>
        <v>44958</v>
      </c>
      <c r="BO389" s="162">
        <f t="shared" si="175"/>
        <v>2.081E-3</v>
      </c>
      <c r="BP389" s="278">
        <f t="shared" si="173"/>
        <v>2.081E-3</v>
      </c>
      <c r="BQ389" s="312">
        <f t="shared" si="157"/>
        <v>1.0599776353714747</v>
      </c>
      <c r="BS389" s="31" t="s">
        <v>43</v>
      </c>
      <c r="BT389" s="159">
        <f t="shared" si="171"/>
        <v>44958</v>
      </c>
      <c r="BU389" s="162">
        <f t="shared" si="172"/>
        <v>9.1999999999999998E-3</v>
      </c>
      <c r="BV389" s="311">
        <f t="shared" si="158"/>
        <v>0.43999999999999989</v>
      </c>
      <c r="BX389" s="358" t="s">
        <v>242</v>
      </c>
      <c r="BY389" s="294">
        <f t="shared" si="176"/>
        <v>44958</v>
      </c>
      <c r="BZ389" s="357">
        <f t="shared" si="177"/>
        <v>5.0000000000000001E-3</v>
      </c>
      <c r="CA389" s="162">
        <f t="shared" si="159"/>
        <v>0.21500000000000011</v>
      </c>
      <c r="CF389" s="31" t="s">
        <v>197</v>
      </c>
      <c r="CG389" s="168">
        <v>44958</v>
      </c>
      <c r="CH389" s="37">
        <v>0</v>
      </c>
      <c r="CI389" s="314">
        <f t="shared" si="178"/>
        <v>0</v>
      </c>
      <c r="CJ389" s="312">
        <f t="shared" si="160"/>
        <v>1</v>
      </c>
      <c r="CN389" s="315">
        <f t="shared" si="161"/>
        <v>44958</v>
      </c>
      <c r="CO389" s="312">
        <f t="shared" si="162"/>
        <v>1</v>
      </c>
      <c r="CQ389" s="315">
        <f t="shared" si="163"/>
        <v>44958</v>
      </c>
      <c r="CR389" s="316">
        <f t="shared" si="164"/>
        <v>0.43999999999999989</v>
      </c>
      <c r="CW389" s="665" t="s">
        <v>528</v>
      </c>
    </row>
    <row r="390" spans="2:101" ht="15" customHeight="1">
      <c r="B390" s="1"/>
      <c r="D390" s="1"/>
      <c r="M390" s="284"/>
      <c r="N390" s="284"/>
      <c r="O390" s="284"/>
      <c r="P390" s="159" t="str">
        <f t="shared" si="182"/>
        <v/>
      </c>
      <c r="Q390" s="292" t="str">
        <f t="shared" si="181"/>
        <v/>
      </c>
      <c r="BM390" s="31" t="s">
        <v>198</v>
      </c>
      <c r="BN390" s="159">
        <f t="shared" si="174"/>
        <v>44986</v>
      </c>
      <c r="BO390" s="162">
        <f t="shared" si="175"/>
        <v>8.3000000000000001E-4</v>
      </c>
      <c r="BP390" s="278">
        <f t="shared" si="173"/>
        <v>8.3000000000000001E-4</v>
      </c>
      <c r="BQ390" s="312">
        <f t="shared" ref="BQ390:BQ453" si="183">+IF(BN390="","",IF(BQ391="",1,BQ391)*(1+BP390))</f>
        <v>1.0577764026775027</v>
      </c>
      <c r="BS390" s="31" t="s">
        <v>43</v>
      </c>
      <c r="BT390" s="159">
        <f t="shared" si="171"/>
        <v>44986</v>
      </c>
      <c r="BU390" s="162">
        <f t="shared" si="172"/>
        <v>1.17E-2</v>
      </c>
      <c r="BV390" s="311">
        <f t="shared" ref="BV390:BV444" si="184">+IF(BU390="","",IF(AND(BU390&lt;&gt;"",BU391=""),BU390,BU390+BV391))</f>
        <v>0.43079999999999991</v>
      </c>
      <c r="BX390" s="358" t="s">
        <v>242</v>
      </c>
      <c r="BY390" s="294">
        <f t="shared" si="176"/>
        <v>44986</v>
      </c>
      <c r="BZ390" s="357">
        <f t="shared" si="177"/>
        <v>5.0000000000000001E-3</v>
      </c>
      <c r="CA390" s="162">
        <f t="shared" ref="CA390:CA453" si="185">+IF(BZ390="","",BZ390+IF(CA391="",0,CA391))</f>
        <v>0.2100000000000001</v>
      </c>
      <c r="CF390" s="31" t="s">
        <v>197</v>
      </c>
      <c r="CG390" s="168">
        <v>44986</v>
      </c>
      <c r="CH390" s="37">
        <v>0</v>
      </c>
      <c r="CI390" s="314">
        <f t="shared" si="178"/>
        <v>0</v>
      </c>
      <c r="CJ390" s="312">
        <f t="shared" ref="CJ390:CJ453" si="186">+IF(BQ390="","",IF(CJ391="",1,CJ391)*(1+CI390))</f>
        <v>1</v>
      </c>
      <c r="CN390" s="315">
        <f t="shared" ref="CN390:CN453" si="187">+IF(BN390="","",BN390)</f>
        <v>44986</v>
      </c>
      <c r="CO390" s="312">
        <f t="shared" ref="CO390:CO453" si="188">+IF(CN390="","",IF(COD_JCM=3,1,IF(COD_JCM=1,CJ390,BQ390)))</f>
        <v>1</v>
      </c>
      <c r="CQ390" s="315">
        <f t="shared" ref="CQ390:CQ439" si="189">+IF(BT390="","",BT390)</f>
        <v>44986</v>
      </c>
      <c r="CR390" s="316">
        <f t="shared" ref="CR390:CR453" si="190">+IF(CQ390="","",IF(COD_JCM=3,0,IF(COD_JCM=1,BV390,CA390)))</f>
        <v>0.43079999999999991</v>
      </c>
      <c r="CW390"/>
    </row>
    <row r="391" spans="2:101" ht="15" customHeight="1">
      <c r="B391" s="1"/>
      <c r="D391" s="1"/>
      <c r="M391" s="284"/>
      <c r="N391" s="284"/>
      <c r="O391" s="284"/>
      <c r="P391" s="159" t="str">
        <f t="shared" si="182"/>
        <v/>
      </c>
      <c r="Q391" s="292" t="str">
        <f t="shared" si="181"/>
        <v/>
      </c>
      <c r="BM391" s="31" t="s">
        <v>198</v>
      </c>
      <c r="BN391" s="159">
        <f t="shared" si="174"/>
        <v>45017</v>
      </c>
      <c r="BO391" s="162">
        <f t="shared" si="175"/>
        <v>2.392E-3</v>
      </c>
      <c r="BP391" s="278">
        <f t="shared" si="173"/>
        <v>2.392E-3</v>
      </c>
      <c r="BQ391" s="312">
        <f t="shared" si="183"/>
        <v>1.0568991763611228</v>
      </c>
      <c r="BS391" s="31" t="s">
        <v>43</v>
      </c>
      <c r="BT391" s="159">
        <f t="shared" si="171"/>
        <v>45017</v>
      </c>
      <c r="BU391" s="162">
        <f t="shared" si="172"/>
        <v>9.1999999999999998E-3</v>
      </c>
      <c r="BV391" s="311">
        <f t="shared" si="184"/>
        <v>0.41909999999999992</v>
      </c>
      <c r="BX391" s="358" t="s">
        <v>242</v>
      </c>
      <c r="BY391" s="294">
        <f t="shared" si="176"/>
        <v>45017</v>
      </c>
      <c r="BZ391" s="357">
        <f t="shared" si="177"/>
        <v>5.0000000000000001E-3</v>
      </c>
      <c r="CA391" s="162">
        <f t="shared" si="185"/>
        <v>0.2050000000000001</v>
      </c>
      <c r="CF391" s="31" t="s">
        <v>197</v>
      </c>
      <c r="CG391" s="168">
        <v>45017</v>
      </c>
      <c r="CH391" s="37">
        <v>0</v>
      </c>
      <c r="CI391" s="314">
        <f t="shared" si="178"/>
        <v>0</v>
      </c>
      <c r="CJ391" s="312">
        <f t="shared" si="186"/>
        <v>1</v>
      </c>
      <c r="CN391" s="315">
        <f t="shared" si="187"/>
        <v>45017</v>
      </c>
      <c r="CO391" s="312">
        <f t="shared" si="188"/>
        <v>1</v>
      </c>
      <c r="CQ391" s="315">
        <f t="shared" si="189"/>
        <v>45017</v>
      </c>
      <c r="CR391" s="316">
        <f t="shared" si="190"/>
        <v>0.41909999999999992</v>
      </c>
      <c r="CW391" s="664"/>
    </row>
    <row r="392" spans="2:101" ht="15" customHeight="1">
      <c r="B392" s="1"/>
      <c r="D392" s="1"/>
      <c r="M392" s="284"/>
      <c r="N392" s="284"/>
      <c r="O392" s="284"/>
      <c r="P392" s="159" t="str">
        <f t="shared" si="182"/>
        <v/>
      </c>
      <c r="Q392" s="292" t="str">
        <f t="shared" si="181"/>
        <v/>
      </c>
      <c r="BM392" s="31" t="s">
        <v>198</v>
      </c>
      <c r="BN392" s="159">
        <f t="shared" si="174"/>
        <v>45047</v>
      </c>
      <c r="BO392" s="162">
        <f t="shared" si="175"/>
        <v>8.2100000000000001E-4</v>
      </c>
      <c r="BP392" s="278">
        <f t="shared" si="173"/>
        <v>8.2100000000000001E-4</v>
      </c>
      <c r="BQ392" s="312">
        <f t="shared" si="183"/>
        <v>1.0543771063227987</v>
      </c>
      <c r="BS392" s="31" t="s">
        <v>43</v>
      </c>
      <c r="BT392" s="159">
        <f t="shared" si="171"/>
        <v>45047</v>
      </c>
      <c r="BU392" s="162">
        <f t="shared" si="172"/>
        <v>1.12E-2</v>
      </c>
      <c r="BV392" s="311">
        <f t="shared" si="184"/>
        <v>0.40989999999999993</v>
      </c>
      <c r="BX392" s="358" t="s">
        <v>242</v>
      </c>
      <c r="BY392" s="294">
        <f t="shared" si="176"/>
        <v>45047</v>
      </c>
      <c r="BZ392" s="357">
        <f t="shared" si="177"/>
        <v>5.0000000000000001E-3</v>
      </c>
      <c r="CA392" s="162">
        <f t="shared" si="185"/>
        <v>0.20000000000000009</v>
      </c>
      <c r="CF392" s="31" t="s">
        <v>197</v>
      </c>
      <c r="CG392" s="168">
        <v>45047</v>
      </c>
      <c r="CH392" s="37">
        <v>0</v>
      </c>
      <c r="CI392" s="314">
        <f t="shared" si="178"/>
        <v>0</v>
      </c>
      <c r="CJ392" s="312">
        <f t="shared" si="186"/>
        <v>1</v>
      </c>
      <c r="CN392" s="315">
        <f t="shared" si="187"/>
        <v>45047</v>
      </c>
      <c r="CO392" s="312">
        <f t="shared" si="188"/>
        <v>1</v>
      </c>
      <c r="CQ392" s="315">
        <f t="shared" si="189"/>
        <v>45047</v>
      </c>
      <c r="CR392" s="316">
        <f t="shared" si="190"/>
        <v>0.40989999999999993</v>
      </c>
      <c r="CW392"/>
    </row>
    <row r="393" spans="2:101" ht="15" customHeight="1">
      <c r="B393" s="1"/>
      <c r="D393" s="1"/>
      <c r="M393" s="284"/>
      <c r="N393" s="284"/>
      <c r="O393" s="284"/>
      <c r="P393" s="159" t="str">
        <f t="shared" si="182"/>
        <v/>
      </c>
      <c r="Q393" s="292" t="str">
        <f t="shared" si="181"/>
        <v/>
      </c>
      <c r="BM393" s="31" t="s">
        <v>198</v>
      </c>
      <c r="BN393" s="159">
        <f t="shared" si="174"/>
        <v>45078</v>
      </c>
      <c r="BO393" s="162">
        <f t="shared" si="175"/>
        <v>2.147E-3</v>
      </c>
      <c r="BP393" s="278">
        <f t="shared" si="173"/>
        <v>2.147E-3</v>
      </c>
      <c r="BQ393" s="312">
        <f t="shared" si="183"/>
        <v>1.0535121728289063</v>
      </c>
      <c r="BS393" s="31" t="s">
        <v>43</v>
      </c>
      <c r="BT393" s="159">
        <f t="shared" si="171"/>
        <v>45078</v>
      </c>
      <c r="BU393" s="162">
        <f t="shared" si="172"/>
        <v>1.0699999999999999E-2</v>
      </c>
      <c r="BV393" s="311">
        <f t="shared" si="184"/>
        <v>0.39869999999999994</v>
      </c>
      <c r="BX393" s="358" t="s">
        <v>242</v>
      </c>
      <c r="BY393" s="294">
        <f t="shared" si="176"/>
        <v>45078</v>
      </c>
      <c r="BZ393" s="357">
        <f t="shared" si="177"/>
        <v>5.0000000000000001E-3</v>
      </c>
      <c r="CA393" s="162">
        <f t="shared" si="185"/>
        <v>0.19500000000000009</v>
      </c>
      <c r="CF393" s="31" t="s">
        <v>197</v>
      </c>
      <c r="CG393" s="168">
        <v>45078</v>
      </c>
      <c r="CH393" s="37">
        <v>0</v>
      </c>
      <c r="CI393" s="314">
        <f t="shared" si="178"/>
        <v>0</v>
      </c>
      <c r="CJ393" s="312">
        <f t="shared" si="186"/>
        <v>1</v>
      </c>
      <c r="CN393" s="315">
        <f t="shared" si="187"/>
        <v>45078</v>
      </c>
      <c r="CO393" s="312">
        <f t="shared" si="188"/>
        <v>1</v>
      </c>
      <c r="CQ393" s="315">
        <f t="shared" si="189"/>
        <v>45078</v>
      </c>
      <c r="CR393" s="316">
        <f t="shared" si="190"/>
        <v>0.39869999999999994</v>
      </c>
      <c r="CW393" s="664" t="s">
        <v>529</v>
      </c>
    </row>
    <row r="394" spans="2:101" ht="15" customHeight="1">
      <c r="B394" s="1"/>
      <c r="D394" s="1"/>
      <c r="M394" s="284"/>
      <c r="N394" s="284"/>
      <c r="O394" s="284"/>
      <c r="P394" s="159" t="str">
        <f t="shared" si="182"/>
        <v/>
      </c>
      <c r="Q394" s="292" t="str">
        <f t="shared" si="181"/>
        <v/>
      </c>
      <c r="BM394" s="31" t="s">
        <v>198</v>
      </c>
      <c r="BN394" s="159">
        <f t="shared" si="174"/>
        <v>45108</v>
      </c>
      <c r="BO394" s="162">
        <f t="shared" si="175"/>
        <v>1.799E-3</v>
      </c>
      <c r="BP394" s="278">
        <f t="shared" si="173"/>
        <v>1.799E-3</v>
      </c>
      <c r="BQ394" s="312">
        <f t="shared" si="183"/>
        <v>1.0512551280689424</v>
      </c>
      <c r="BS394" s="31" t="s">
        <v>43</v>
      </c>
      <c r="BT394" s="159">
        <f t="shared" si="171"/>
        <v>45108</v>
      </c>
      <c r="BU394" s="162">
        <f t="shared" si="172"/>
        <v>1.0699999999999999E-2</v>
      </c>
      <c r="BV394" s="311">
        <f t="shared" si="184"/>
        <v>0.38799999999999996</v>
      </c>
      <c r="BX394" s="358" t="s">
        <v>242</v>
      </c>
      <c r="BY394" s="294">
        <f t="shared" si="176"/>
        <v>45108</v>
      </c>
      <c r="BZ394" s="357">
        <f t="shared" si="177"/>
        <v>5.0000000000000001E-3</v>
      </c>
      <c r="CA394" s="162">
        <f t="shared" si="185"/>
        <v>0.19000000000000009</v>
      </c>
      <c r="CF394" s="31" t="s">
        <v>197</v>
      </c>
      <c r="CG394" s="168">
        <v>45108</v>
      </c>
      <c r="CH394" s="37">
        <v>0</v>
      </c>
      <c r="CI394" s="314">
        <f t="shared" si="178"/>
        <v>0</v>
      </c>
      <c r="CJ394" s="312">
        <f t="shared" si="186"/>
        <v>1</v>
      </c>
      <c r="CN394" s="315">
        <f t="shared" si="187"/>
        <v>45108</v>
      </c>
      <c r="CO394" s="312">
        <f t="shared" si="188"/>
        <v>1</v>
      </c>
      <c r="CQ394" s="315">
        <f t="shared" si="189"/>
        <v>45108</v>
      </c>
      <c r="CR394" s="316">
        <f t="shared" si="190"/>
        <v>0.38799999999999996</v>
      </c>
      <c r="CW394"/>
    </row>
    <row r="395" spans="2:101" ht="15" customHeight="1">
      <c r="B395" s="1"/>
      <c r="D395" s="1"/>
      <c r="M395" s="284"/>
      <c r="N395" s="284"/>
      <c r="O395" s="284"/>
      <c r="P395" s="159" t="str">
        <f t="shared" si="182"/>
        <v/>
      </c>
      <c r="Q395" s="292" t="str">
        <f t="shared" si="181"/>
        <v/>
      </c>
      <c r="BM395" s="31" t="s">
        <v>198</v>
      </c>
      <c r="BN395" s="159">
        <f t="shared" si="174"/>
        <v>45139</v>
      </c>
      <c r="BO395" s="162">
        <f t="shared" si="175"/>
        <v>1.5809999999999999E-3</v>
      </c>
      <c r="BP395" s="278">
        <f t="shared" si="173"/>
        <v>1.5809999999999999E-3</v>
      </c>
      <c r="BQ395" s="312">
        <f t="shared" si="183"/>
        <v>1.0493673162669779</v>
      </c>
      <c r="BS395" s="31" t="s">
        <v>43</v>
      </c>
      <c r="BT395" s="159">
        <f t="shared" si="171"/>
        <v>45139</v>
      </c>
      <c r="BU395" s="162">
        <f t="shared" si="172"/>
        <v>1.14E-2</v>
      </c>
      <c r="BV395" s="311">
        <f t="shared" si="184"/>
        <v>0.37729999999999997</v>
      </c>
      <c r="BX395" s="358" t="s">
        <v>242</v>
      </c>
      <c r="BY395" s="294">
        <f t="shared" si="176"/>
        <v>45139</v>
      </c>
      <c r="BZ395" s="357">
        <f t="shared" si="177"/>
        <v>5.0000000000000001E-3</v>
      </c>
      <c r="CA395" s="162">
        <f t="shared" si="185"/>
        <v>0.18500000000000008</v>
      </c>
      <c r="CF395" s="31" t="s">
        <v>197</v>
      </c>
      <c r="CG395" s="168">
        <v>45139</v>
      </c>
      <c r="CH395" s="37">
        <v>0</v>
      </c>
      <c r="CI395" s="314">
        <f t="shared" si="178"/>
        <v>0</v>
      </c>
      <c r="CJ395" s="312">
        <f t="shared" si="186"/>
        <v>1</v>
      </c>
      <c r="CN395" s="315">
        <f t="shared" si="187"/>
        <v>45139</v>
      </c>
      <c r="CO395" s="312">
        <f t="shared" si="188"/>
        <v>1</v>
      </c>
      <c r="CQ395" s="315">
        <f t="shared" si="189"/>
        <v>45139</v>
      </c>
      <c r="CR395" s="316">
        <f t="shared" si="190"/>
        <v>0.37729999999999997</v>
      </c>
      <c r="CW395" s="665" t="s">
        <v>530</v>
      </c>
    </row>
    <row r="396" spans="2:101" ht="15" customHeight="1">
      <c r="B396" s="1"/>
      <c r="D396" s="1"/>
      <c r="M396" s="284"/>
      <c r="N396" s="284"/>
      <c r="O396" s="284"/>
      <c r="P396" s="159" t="str">
        <f t="shared" si="182"/>
        <v/>
      </c>
      <c r="Q396" s="292" t="str">
        <f t="shared" si="181"/>
        <v/>
      </c>
      <c r="BM396" s="31" t="s">
        <v>198</v>
      </c>
      <c r="BN396" s="159">
        <f t="shared" si="174"/>
        <v>45170</v>
      </c>
      <c r="BO396" s="162">
        <f t="shared" si="175"/>
        <v>2.16E-3</v>
      </c>
      <c r="BP396" s="278">
        <f t="shared" si="173"/>
        <v>2.16E-3</v>
      </c>
      <c r="BQ396" s="312">
        <f t="shared" si="183"/>
        <v>1.0477108853572281</v>
      </c>
      <c r="BS396" s="31" t="s">
        <v>43</v>
      </c>
      <c r="BT396" s="159">
        <f t="shared" si="171"/>
        <v>45170</v>
      </c>
      <c r="BU396" s="162">
        <f t="shared" si="172"/>
        <v>9.7000000000000003E-3</v>
      </c>
      <c r="BV396" s="311">
        <f t="shared" si="184"/>
        <v>0.36589999999999995</v>
      </c>
      <c r="BX396" s="358" t="s">
        <v>242</v>
      </c>
      <c r="BY396" s="294">
        <f t="shared" si="176"/>
        <v>45170</v>
      </c>
      <c r="BZ396" s="357">
        <f t="shared" si="177"/>
        <v>5.0000000000000001E-3</v>
      </c>
      <c r="CA396" s="162">
        <f t="shared" si="185"/>
        <v>0.18000000000000008</v>
      </c>
      <c r="CF396" s="31" t="s">
        <v>197</v>
      </c>
      <c r="CG396" s="168">
        <v>45170</v>
      </c>
      <c r="CH396" s="37">
        <v>0</v>
      </c>
      <c r="CI396" s="314">
        <f t="shared" si="178"/>
        <v>0</v>
      </c>
      <c r="CJ396" s="312">
        <f t="shared" si="186"/>
        <v>1</v>
      </c>
      <c r="CN396" s="315">
        <f t="shared" si="187"/>
        <v>45170</v>
      </c>
      <c r="CO396" s="312">
        <f t="shared" si="188"/>
        <v>1</v>
      </c>
      <c r="CQ396" s="315">
        <f t="shared" si="189"/>
        <v>45170</v>
      </c>
      <c r="CR396" s="316">
        <f t="shared" si="190"/>
        <v>0.36589999999999995</v>
      </c>
      <c r="CW396"/>
    </row>
    <row r="397" spans="2:101" ht="15" customHeight="1">
      <c r="B397" s="1"/>
      <c r="D397" s="1"/>
      <c r="M397" s="284"/>
      <c r="N397" s="284"/>
      <c r="O397" s="284"/>
      <c r="P397" s="159" t="str">
        <f t="shared" si="182"/>
        <v/>
      </c>
      <c r="Q397" s="292" t="str">
        <f t="shared" si="181"/>
        <v/>
      </c>
      <c r="BM397" s="31" t="s">
        <v>198</v>
      </c>
      <c r="BN397" s="159">
        <f t="shared" si="174"/>
        <v>45200</v>
      </c>
      <c r="BO397" s="162">
        <f t="shared" si="175"/>
        <v>1.1299999999999999E-3</v>
      </c>
      <c r="BP397" s="278">
        <f t="shared" ref="BP397:BP460" si="191">+IF(BO397="","",BO397)</f>
        <v>1.1299999999999999E-3</v>
      </c>
      <c r="BQ397" s="312">
        <f t="shared" si="183"/>
        <v>1.0454527075090088</v>
      </c>
      <c r="BS397" s="31" t="s">
        <v>43</v>
      </c>
      <c r="BT397" s="159">
        <f t="shared" si="171"/>
        <v>45200</v>
      </c>
      <c r="BU397" s="162">
        <f t="shared" si="172"/>
        <v>0.01</v>
      </c>
      <c r="BV397" s="311">
        <f t="shared" si="184"/>
        <v>0.35619999999999996</v>
      </c>
      <c r="BX397" s="358" t="s">
        <v>242</v>
      </c>
      <c r="BY397" s="294">
        <f t="shared" si="176"/>
        <v>45200</v>
      </c>
      <c r="BZ397" s="357">
        <f t="shared" si="177"/>
        <v>5.0000000000000001E-3</v>
      </c>
      <c r="CA397" s="162">
        <f t="shared" si="185"/>
        <v>0.17500000000000007</v>
      </c>
      <c r="CF397" s="31" t="s">
        <v>197</v>
      </c>
      <c r="CG397" s="168">
        <v>45200</v>
      </c>
      <c r="CH397" s="37">
        <v>0</v>
      </c>
      <c r="CI397" s="314">
        <f t="shared" ref="CI397:CI402" si="192">+IF(CH397="","",CH397)</f>
        <v>0</v>
      </c>
      <c r="CJ397" s="312">
        <f t="shared" si="186"/>
        <v>1</v>
      </c>
      <c r="CN397" s="315">
        <f t="shared" si="187"/>
        <v>45200</v>
      </c>
      <c r="CO397" s="312">
        <f t="shared" si="188"/>
        <v>1</v>
      </c>
      <c r="CQ397" s="315">
        <f t="shared" si="189"/>
        <v>45200</v>
      </c>
      <c r="CR397" s="316">
        <f t="shared" si="190"/>
        <v>0.35619999999999996</v>
      </c>
      <c r="CW397" s="652"/>
    </row>
    <row r="398" spans="2:101" ht="15" customHeight="1">
      <c r="B398" s="1"/>
      <c r="D398" s="1"/>
      <c r="M398" s="284"/>
      <c r="N398" s="284"/>
      <c r="O398" s="284"/>
      <c r="P398" s="159" t="str">
        <f t="shared" si="182"/>
        <v/>
      </c>
      <c r="Q398" s="292" t="str">
        <f t="shared" si="181"/>
        <v/>
      </c>
      <c r="BM398" s="31" t="s">
        <v>198</v>
      </c>
      <c r="BN398" s="159">
        <f t="shared" si="174"/>
        <v>45231</v>
      </c>
      <c r="BO398" s="162">
        <f t="shared" si="175"/>
        <v>1.0560000000000001E-3</v>
      </c>
      <c r="BP398" s="278">
        <f t="shared" si="191"/>
        <v>1.0560000000000001E-3</v>
      </c>
      <c r="BQ398" s="312">
        <f t="shared" si="183"/>
        <v>1.0442726793813077</v>
      </c>
      <c r="BS398" s="31" t="s">
        <v>43</v>
      </c>
      <c r="BT398" s="159">
        <f t="shared" si="171"/>
        <v>45231</v>
      </c>
      <c r="BU398" s="162">
        <f t="shared" si="172"/>
        <v>9.1999999999999998E-3</v>
      </c>
      <c r="BV398" s="311">
        <f t="shared" si="184"/>
        <v>0.34619999999999995</v>
      </c>
      <c r="BX398" s="358" t="s">
        <v>242</v>
      </c>
      <c r="BY398" s="294">
        <f t="shared" si="176"/>
        <v>45231</v>
      </c>
      <c r="BZ398" s="357">
        <f t="shared" si="177"/>
        <v>5.0000000000000001E-3</v>
      </c>
      <c r="CA398" s="162">
        <f t="shared" si="185"/>
        <v>0.17000000000000007</v>
      </c>
      <c r="CF398" s="31" t="s">
        <v>197</v>
      </c>
      <c r="CG398" s="168">
        <v>45231</v>
      </c>
      <c r="CH398" s="37">
        <v>0</v>
      </c>
      <c r="CI398" s="314">
        <f t="shared" si="192"/>
        <v>0</v>
      </c>
      <c r="CJ398" s="312">
        <f t="shared" si="186"/>
        <v>1</v>
      </c>
      <c r="CN398" s="315">
        <f t="shared" si="187"/>
        <v>45231</v>
      </c>
      <c r="CO398" s="312">
        <f t="shared" si="188"/>
        <v>1</v>
      </c>
      <c r="CQ398" s="315">
        <f t="shared" si="189"/>
        <v>45231</v>
      </c>
      <c r="CR398" s="316">
        <f t="shared" si="190"/>
        <v>0.34619999999999995</v>
      </c>
      <c r="CW398"/>
    </row>
    <row r="399" spans="2:101" ht="15" customHeight="1">
      <c r="B399" s="1"/>
      <c r="D399" s="1"/>
      <c r="M399" s="284"/>
      <c r="N399" s="284"/>
      <c r="O399" s="284"/>
      <c r="P399" s="159" t="str">
        <f t="shared" si="182"/>
        <v/>
      </c>
      <c r="Q399" s="292" t="str">
        <f t="shared" si="181"/>
        <v/>
      </c>
      <c r="BM399" s="31" t="s">
        <v>198</v>
      </c>
      <c r="BN399" s="159">
        <f t="shared" si="174"/>
        <v>45261</v>
      </c>
      <c r="BO399" s="162">
        <f t="shared" si="175"/>
        <v>7.7499999999999997E-4</v>
      </c>
      <c r="BP399" s="278">
        <f t="shared" si="191"/>
        <v>7.7499999999999997E-4</v>
      </c>
      <c r="BQ399" s="312">
        <f t="shared" si="183"/>
        <v>1.0431710907095186</v>
      </c>
      <c r="BS399" s="31" t="s">
        <v>43</v>
      </c>
      <c r="BT399" s="159">
        <f t="shared" si="171"/>
        <v>45261</v>
      </c>
      <c r="BU399" s="162">
        <f t="shared" si="172"/>
        <v>8.8999999999999999E-3</v>
      </c>
      <c r="BV399" s="311">
        <f t="shared" si="184"/>
        <v>0.33699999999999997</v>
      </c>
      <c r="BX399" s="358" t="s">
        <v>242</v>
      </c>
      <c r="BY399" s="294">
        <f t="shared" si="176"/>
        <v>45261</v>
      </c>
      <c r="BZ399" s="357">
        <f t="shared" si="177"/>
        <v>5.0000000000000001E-3</v>
      </c>
      <c r="CA399" s="162">
        <f t="shared" si="185"/>
        <v>0.16500000000000006</v>
      </c>
      <c r="CF399" s="31" t="s">
        <v>197</v>
      </c>
      <c r="CG399" s="168">
        <v>45261</v>
      </c>
      <c r="CH399" s="37">
        <v>0</v>
      </c>
      <c r="CI399" s="314">
        <f t="shared" si="192"/>
        <v>0</v>
      </c>
      <c r="CJ399" s="312">
        <f t="shared" si="186"/>
        <v>1</v>
      </c>
      <c r="CN399" s="315">
        <f t="shared" si="187"/>
        <v>45261</v>
      </c>
      <c r="CO399" s="312">
        <f t="shared" si="188"/>
        <v>1</v>
      </c>
      <c r="CQ399" s="315">
        <f t="shared" si="189"/>
        <v>45261</v>
      </c>
      <c r="CR399" s="316">
        <f t="shared" si="190"/>
        <v>0.33699999999999997</v>
      </c>
      <c r="CW399" s="662" t="s">
        <v>531</v>
      </c>
    </row>
    <row r="400" spans="2:101" ht="15" customHeight="1">
      <c r="B400" s="1"/>
      <c r="D400" s="1"/>
      <c r="M400" s="284"/>
      <c r="N400" s="284"/>
      <c r="O400" s="284"/>
      <c r="P400" s="159" t="str">
        <f t="shared" si="182"/>
        <v/>
      </c>
      <c r="Q400" s="292" t="str">
        <f t="shared" si="181"/>
        <v/>
      </c>
      <c r="BM400" s="31" t="s">
        <v>198</v>
      </c>
      <c r="BN400" s="159">
        <f t="shared" si="174"/>
        <v>45292</v>
      </c>
      <c r="BO400" s="162">
        <f t="shared" si="175"/>
        <v>6.8999999999999997E-4</v>
      </c>
      <c r="BP400" s="278">
        <f t="shared" si="191"/>
        <v>6.8999999999999997E-4</v>
      </c>
      <c r="BQ400" s="312">
        <f t="shared" si="183"/>
        <v>1.0423632591836514</v>
      </c>
      <c r="BS400" s="31" t="s">
        <v>43</v>
      </c>
      <c r="BT400" s="159">
        <f t="shared" ref="BT400:BT444" si="193">U342</f>
        <v>45292</v>
      </c>
      <c r="BU400" s="162">
        <f t="shared" ref="BU400:BU444" si="194">V342</f>
        <v>9.7000000000000003E-3</v>
      </c>
      <c r="BV400" s="311">
        <f t="shared" si="184"/>
        <v>0.32809999999999995</v>
      </c>
      <c r="BX400" s="358" t="s">
        <v>242</v>
      </c>
      <c r="BY400" s="294">
        <f t="shared" si="176"/>
        <v>45292</v>
      </c>
      <c r="BZ400" s="357">
        <f t="shared" si="177"/>
        <v>5.0000000000000001E-3</v>
      </c>
      <c r="CA400" s="162">
        <f t="shared" si="185"/>
        <v>0.16000000000000006</v>
      </c>
      <c r="CF400" s="31" t="s">
        <v>197</v>
      </c>
      <c r="CG400" s="168">
        <v>45292</v>
      </c>
      <c r="CH400" s="37">
        <v>0</v>
      </c>
      <c r="CI400" s="314">
        <f t="shared" si="192"/>
        <v>0</v>
      </c>
      <c r="CJ400" s="312">
        <f t="shared" si="186"/>
        <v>1</v>
      </c>
      <c r="CN400" s="315">
        <f t="shared" si="187"/>
        <v>45292</v>
      </c>
      <c r="CO400" s="312">
        <f t="shared" si="188"/>
        <v>1</v>
      </c>
      <c r="CQ400" s="315">
        <f t="shared" si="189"/>
        <v>45292</v>
      </c>
      <c r="CR400" s="316">
        <f t="shared" si="190"/>
        <v>0.32809999999999995</v>
      </c>
      <c r="CW400"/>
    </row>
    <row r="401" spans="2:101" ht="15" customHeight="1">
      <c r="B401" s="1"/>
      <c r="D401" s="1"/>
      <c r="M401" s="284"/>
      <c r="N401" s="284"/>
      <c r="O401" s="284"/>
      <c r="P401" s="159" t="str">
        <f t="shared" si="182"/>
        <v/>
      </c>
      <c r="Q401" s="292" t="str">
        <f t="shared" si="181"/>
        <v/>
      </c>
      <c r="BM401" s="31" t="s">
        <v>198</v>
      </c>
      <c r="BN401" s="159">
        <f t="shared" si="174"/>
        <v>45323</v>
      </c>
      <c r="BO401" s="162">
        <f t="shared" si="175"/>
        <v>8.7500000000000002E-4</v>
      </c>
      <c r="BP401" s="278">
        <f t="shared" si="191"/>
        <v>8.7500000000000002E-4</v>
      </c>
      <c r="BQ401" s="312">
        <f t="shared" si="183"/>
        <v>1.0416445244617727</v>
      </c>
      <c r="BS401" s="31" t="s">
        <v>43</v>
      </c>
      <c r="BT401" s="159">
        <f t="shared" si="193"/>
        <v>45323</v>
      </c>
      <c r="BU401" s="162">
        <f t="shared" si="194"/>
        <v>8.0000000000000002E-3</v>
      </c>
      <c r="BV401" s="311">
        <f t="shared" si="184"/>
        <v>0.31839999999999996</v>
      </c>
      <c r="BX401" s="358" t="s">
        <v>242</v>
      </c>
      <c r="BY401" s="294">
        <f t="shared" si="176"/>
        <v>45323</v>
      </c>
      <c r="BZ401" s="357">
        <f t="shared" si="177"/>
        <v>5.0000000000000001E-3</v>
      </c>
      <c r="CA401" s="162">
        <f t="shared" si="185"/>
        <v>0.15500000000000005</v>
      </c>
      <c r="CF401" s="31" t="s">
        <v>197</v>
      </c>
      <c r="CG401" s="168">
        <v>45323</v>
      </c>
      <c r="CH401" s="37">
        <v>0</v>
      </c>
      <c r="CI401" s="314">
        <f t="shared" si="192"/>
        <v>0</v>
      </c>
      <c r="CJ401" s="312">
        <f t="shared" si="186"/>
        <v>1</v>
      </c>
      <c r="CN401" s="315">
        <f t="shared" si="187"/>
        <v>45323</v>
      </c>
      <c r="CO401" s="312">
        <f t="shared" si="188"/>
        <v>1</v>
      </c>
      <c r="CQ401" s="315">
        <f t="shared" si="189"/>
        <v>45323</v>
      </c>
      <c r="CR401" s="316">
        <f t="shared" si="190"/>
        <v>0.31839999999999996</v>
      </c>
      <c r="CW401" s="663" t="s">
        <v>532</v>
      </c>
    </row>
    <row r="402" spans="2:101" ht="15" customHeight="1">
      <c r="B402" s="1"/>
      <c r="D402" s="1"/>
      <c r="M402" s="284"/>
      <c r="N402" s="284"/>
      <c r="O402" s="284"/>
      <c r="P402" s="159" t="str">
        <f t="shared" si="182"/>
        <v/>
      </c>
      <c r="Q402" s="292" t="str">
        <f t="shared" si="181"/>
        <v/>
      </c>
      <c r="BM402" s="31" t="s">
        <v>198</v>
      </c>
      <c r="BN402" s="159">
        <f t="shared" si="174"/>
        <v>45352</v>
      </c>
      <c r="BO402" s="162">
        <f t="shared" si="175"/>
        <v>7.8999999999999996E-5</v>
      </c>
      <c r="BP402" s="278">
        <f t="shared" si="191"/>
        <v>7.8999999999999996E-5</v>
      </c>
      <c r="BQ402" s="312">
        <f t="shared" si="183"/>
        <v>1.0407338823147474</v>
      </c>
      <c r="BS402" s="31" t="s">
        <v>43</v>
      </c>
      <c r="BT402" s="159">
        <f t="shared" si="193"/>
        <v>45352</v>
      </c>
      <c r="BU402" s="162">
        <f t="shared" si="194"/>
        <v>8.3000000000000001E-3</v>
      </c>
      <c r="BV402" s="311">
        <f t="shared" si="184"/>
        <v>0.31039999999999995</v>
      </c>
      <c r="BX402" s="358" t="s">
        <v>242</v>
      </c>
      <c r="BY402" s="294">
        <f t="shared" si="176"/>
        <v>45352</v>
      </c>
      <c r="BZ402" s="357">
        <f t="shared" si="177"/>
        <v>5.0000000000000001E-3</v>
      </c>
      <c r="CA402" s="162">
        <f t="shared" si="185"/>
        <v>0.15000000000000005</v>
      </c>
      <c r="CF402" s="31" t="s">
        <v>197</v>
      </c>
      <c r="CG402" s="168">
        <v>45352</v>
      </c>
      <c r="CH402" s="37">
        <v>0</v>
      </c>
      <c r="CI402" s="314">
        <f t="shared" si="192"/>
        <v>0</v>
      </c>
      <c r="CJ402" s="312">
        <f t="shared" si="186"/>
        <v>1</v>
      </c>
      <c r="CN402" s="315">
        <f t="shared" si="187"/>
        <v>45352</v>
      </c>
      <c r="CO402" s="312">
        <f t="shared" si="188"/>
        <v>1</v>
      </c>
      <c r="CQ402" s="315">
        <f t="shared" si="189"/>
        <v>45352</v>
      </c>
      <c r="CR402" s="316">
        <f t="shared" si="190"/>
        <v>0.31039999999999995</v>
      </c>
      <c r="CW402"/>
    </row>
    <row r="403" spans="2:101" ht="15" customHeight="1">
      <c r="B403" s="1"/>
      <c r="D403" s="1"/>
      <c r="M403" s="284"/>
      <c r="N403" s="284"/>
      <c r="O403" s="284"/>
      <c r="P403" s="159" t="str">
        <f t="shared" si="182"/>
        <v/>
      </c>
      <c r="Q403" s="292" t="str">
        <f t="shared" si="181"/>
        <v/>
      </c>
      <c r="BM403" s="31" t="s">
        <v>198</v>
      </c>
      <c r="BN403" s="159">
        <f t="shared" si="174"/>
        <v>45383</v>
      </c>
      <c r="BO403" s="162">
        <f t="shared" si="175"/>
        <v>3.3100000000000002E-4</v>
      </c>
      <c r="BP403" s="278">
        <f t="shared" si="191"/>
        <v>3.3100000000000002E-4</v>
      </c>
      <c r="BQ403" s="312">
        <f t="shared" si="183"/>
        <v>1.0406516708327516</v>
      </c>
      <c r="BS403" s="31" t="s">
        <v>43</v>
      </c>
      <c r="BT403" s="159">
        <f t="shared" si="193"/>
        <v>45383</v>
      </c>
      <c r="BU403" s="162">
        <f t="shared" si="194"/>
        <v>8.8999999999999999E-3</v>
      </c>
      <c r="BV403" s="311">
        <f t="shared" si="184"/>
        <v>0.30209999999999998</v>
      </c>
      <c r="BX403" s="358" t="s">
        <v>242</v>
      </c>
      <c r="BY403" s="294">
        <f t="shared" si="176"/>
        <v>45383</v>
      </c>
      <c r="BZ403" s="357">
        <f t="shared" si="177"/>
        <v>5.0000000000000001E-3</v>
      </c>
      <c r="CA403" s="162">
        <f t="shared" si="185"/>
        <v>0.14500000000000005</v>
      </c>
      <c r="CF403" s="31" t="s">
        <v>197</v>
      </c>
      <c r="CG403" s="168">
        <v>45383</v>
      </c>
      <c r="CH403" s="37">
        <v>0</v>
      </c>
      <c r="CI403" s="314">
        <f t="shared" ref="CI403:CI424" si="195">+IF(CH403="","",CH403)</f>
        <v>0</v>
      </c>
      <c r="CJ403" s="312">
        <f t="shared" si="186"/>
        <v>1</v>
      </c>
      <c r="CN403" s="315">
        <f t="shared" si="187"/>
        <v>45383</v>
      </c>
      <c r="CO403" s="312">
        <f t="shared" si="188"/>
        <v>1</v>
      </c>
      <c r="CQ403" s="315">
        <f t="shared" si="189"/>
        <v>45383</v>
      </c>
      <c r="CR403" s="316">
        <f t="shared" si="190"/>
        <v>0.30209999999999998</v>
      </c>
      <c r="CW403" s="652" t="s">
        <v>533</v>
      </c>
    </row>
    <row r="404" spans="2:101" ht="15" customHeight="1">
      <c r="B404" s="1"/>
      <c r="D404" s="1"/>
      <c r="M404" s="284"/>
      <c r="N404" s="284"/>
      <c r="O404" s="284"/>
      <c r="P404" s="159" t="str">
        <f t="shared" si="182"/>
        <v/>
      </c>
      <c r="Q404" s="292" t="str">
        <f t="shared" si="181"/>
        <v/>
      </c>
      <c r="BM404" s="31" t="s">
        <v>198</v>
      </c>
      <c r="BN404" s="159">
        <f t="shared" si="174"/>
        <v>45413</v>
      </c>
      <c r="BO404" s="162">
        <f t="shared" si="175"/>
        <v>1.023E-3</v>
      </c>
      <c r="BP404" s="278">
        <f t="shared" si="191"/>
        <v>1.023E-3</v>
      </c>
      <c r="BQ404" s="312">
        <f t="shared" si="183"/>
        <v>1.0403073291068172</v>
      </c>
      <c r="BS404" s="31" t="s">
        <v>43</v>
      </c>
      <c r="BT404" s="159">
        <f t="shared" si="193"/>
        <v>45413</v>
      </c>
      <c r="BU404" s="162">
        <f t="shared" si="194"/>
        <v>8.3000000000000001E-3</v>
      </c>
      <c r="BV404" s="311">
        <f t="shared" si="184"/>
        <v>0.29319999999999996</v>
      </c>
      <c r="BX404" s="358" t="s">
        <v>242</v>
      </c>
      <c r="BY404" s="294">
        <f t="shared" si="176"/>
        <v>45413</v>
      </c>
      <c r="BZ404" s="357">
        <f t="shared" si="177"/>
        <v>5.0000000000000001E-3</v>
      </c>
      <c r="CA404" s="162">
        <f t="shared" si="185"/>
        <v>0.14000000000000004</v>
      </c>
      <c r="CF404" s="31" t="s">
        <v>197</v>
      </c>
      <c r="CG404" s="168">
        <v>45413</v>
      </c>
      <c r="CH404" s="37">
        <v>0</v>
      </c>
      <c r="CI404" s="314">
        <f t="shared" si="195"/>
        <v>0</v>
      </c>
      <c r="CJ404" s="312">
        <f t="shared" si="186"/>
        <v>1</v>
      </c>
      <c r="CN404" s="315">
        <f t="shared" si="187"/>
        <v>45413</v>
      </c>
      <c r="CO404" s="312">
        <f t="shared" si="188"/>
        <v>1</v>
      </c>
      <c r="CQ404" s="315">
        <f t="shared" si="189"/>
        <v>45413</v>
      </c>
      <c r="CR404" s="316">
        <f t="shared" si="190"/>
        <v>0.29319999999999996</v>
      </c>
      <c r="CW404" s="652" t="s">
        <v>534</v>
      </c>
    </row>
    <row r="405" spans="2:101">
      <c r="B405" s="1"/>
      <c r="D405" s="1"/>
      <c r="M405" s="284"/>
      <c r="N405" s="284"/>
      <c r="O405" s="284"/>
      <c r="P405" s="159" t="str">
        <f t="shared" si="182"/>
        <v/>
      </c>
      <c r="Q405" s="292" t="str">
        <f t="shared" si="181"/>
        <v/>
      </c>
      <c r="BM405" s="31" t="s">
        <v>198</v>
      </c>
      <c r="BN405" s="159">
        <f t="shared" si="174"/>
        <v>45444</v>
      </c>
      <c r="BO405" s="162">
        <f t="shared" si="175"/>
        <v>8.7000000000000001E-4</v>
      </c>
      <c r="BP405" s="278">
        <f t="shared" si="191"/>
        <v>8.7000000000000001E-4</v>
      </c>
      <c r="BQ405" s="312">
        <f t="shared" si="183"/>
        <v>1.0392441823083158</v>
      </c>
      <c r="BS405" s="31" t="s">
        <v>43</v>
      </c>
      <c r="BT405" s="159">
        <f t="shared" si="193"/>
        <v>45444</v>
      </c>
      <c r="BU405" s="162">
        <f t="shared" si="194"/>
        <v>7.9000000000000008E-3</v>
      </c>
      <c r="BV405" s="311">
        <f t="shared" si="184"/>
        <v>0.28489999999999999</v>
      </c>
      <c r="BX405" s="358" t="s">
        <v>242</v>
      </c>
      <c r="BY405" s="294">
        <f t="shared" si="176"/>
        <v>45444</v>
      </c>
      <c r="BZ405" s="357">
        <f t="shared" si="177"/>
        <v>5.0000000000000001E-3</v>
      </c>
      <c r="CA405" s="162">
        <f t="shared" si="185"/>
        <v>0.13500000000000004</v>
      </c>
      <c r="CF405" s="31" t="s">
        <v>197</v>
      </c>
      <c r="CG405" s="168">
        <v>45444</v>
      </c>
      <c r="CH405" s="37">
        <v>0</v>
      </c>
      <c r="CI405" s="314">
        <f t="shared" si="195"/>
        <v>0</v>
      </c>
      <c r="CJ405" s="312">
        <f t="shared" si="186"/>
        <v>1</v>
      </c>
      <c r="CN405" s="315">
        <f t="shared" si="187"/>
        <v>45444</v>
      </c>
      <c r="CO405" s="312">
        <f t="shared" si="188"/>
        <v>1</v>
      </c>
      <c r="CQ405" s="315">
        <f t="shared" si="189"/>
        <v>45444</v>
      </c>
      <c r="CR405" s="316">
        <f t="shared" si="190"/>
        <v>0.28489999999999999</v>
      </c>
      <c r="CW405"/>
    </row>
    <row r="406" spans="2:101">
      <c r="B406" s="1"/>
      <c r="D406" s="1"/>
      <c r="M406" s="284"/>
      <c r="N406" s="284"/>
      <c r="O406" s="284"/>
      <c r="P406" s="159" t="str">
        <f t="shared" si="182"/>
        <v/>
      </c>
      <c r="Q406" s="292" t="str">
        <f t="shared" si="181"/>
        <v/>
      </c>
      <c r="BM406" s="31" t="s">
        <v>198</v>
      </c>
      <c r="BN406" s="159">
        <f t="shared" si="174"/>
        <v>45474</v>
      </c>
      <c r="BO406" s="162">
        <f t="shared" si="175"/>
        <v>3.6499999999999998E-4</v>
      </c>
      <c r="BP406" s="278">
        <f t="shared" si="191"/>
        <v>3.6499999999999998E-4</v>
      </c>
      <c r="BQ406" s="312">
        <f t="shared" si="183"/>
        <v>1.0383408257898787</v>
      </c>
      <c r="BS406" s="31" t="s">
        <v>43</v>
      </c>
      <c r="BT406" s="159">
        <f t="shared" si="193"/>
        <v>45474</v>
      </c>
      <c r="BU406" s="162">
        <f t="shared" si="194"/>
        <v>9.1000000000000004E-3</v>
      </c>
      <c r="BV406" s="311">
        <f t="shared" si="184"/>
        <v>0.27699999999999997</v>
      </c>
      <c r="BX406" s="358" t="s">
        <v>242</v>
      </c>
      <c r="BY406" s="294">
        <f t="shared" si="176"/>
        <v>45474</v>
      </c>
      <c r="BZ406" s="357">
        <f t="shared" si="177"/>
        <v>5.0000000000000001E-3</v>
      </c>
      <c r="CA406" s="162">
        <f t="shared" si="185"/>
        <v>0.13000000000000003</v>
      </c>
      <c r="CF406" s="31" t="s">
        <v>197</v>
      </c>
      <c r="CG406" s="168">
        <v>45474</v>
      </c>
      <c r="CH406" s="37">
        <v>0</v>
      </c>
      <c r="CI406" s="314">
        <f t="shared" si="195"/>
        <v>0</v>
      </c>
      <c r="CJ406" s="312">
        <f t="shared" si="186"/>
        <v>1</v>
      </c>
      <c r="CN406" s="315">
        <f t="shared" si="187"/>
        <v>45474</v>
      </c>
      <c r="CO406" s="312">
        <f t="shared" si="188"/>
        <v>1</v>
      </c>
      <c r="CQ406" s="315">
        <f t="shared" si="189"/>
        <v>45474</v>
      </c>
      <c r="CR406" s="316">
        <f t="shared" si="190"/>
        <v>0.27699999999999997</v>
      </c>
      <c r="CW406" s="663" t="s">
        <v>535</v>
      </c>
    </row>
    <row r="407" spans="2:101">
      <c r="B407" s="1"/>
      <c r="D407" s="1"/>
      <c r="M407" s="284"/>
      <c r="N407" s="284"/>
      <c r="O407" s="284"/>
      <c r="P407" s="159" t="str">
        <f t="shared" si="182"/>
        <v/>
      </c>
      <c r="Q407" s="292" t="str">
        <f t="shared" si="181"/>
        <v/>
      </c>
      <c r="BM407" s="31" t="s">
        <v>198</v>
      </c>
      <c r="BN407" s="159">
        <f t="shared" si="174"/>
        <v>45505</v>
      </c>
      <c r="BO407" s="162">
        <f t="shared" si="175"/>
        <v>7.3899999999999997E-4</v>
      </c>
      <c r="BP407" s="278">
        <f t="shared" si="191"/>
        <v>7.3899999999999997E-4</v>
      </c>
      <c r="BQ407" s="312">
        <f t="shared" si="183"/>
        <v>1.037961969670949</v>
      </c>
      <c r="BS407" s="31" t="s">
        <v>43</v>
      </c>
      <c r="BT407" s="159">
        <f t="shared" si="193"/>
        <v>45505</v>
      </c>
      <c r="BU407" s="162">
        <f t="shared" si="194"/>
        <v>8.6999999999999994E-3</v>
      </c>
      <c r="BV407" s="311">
        <f t="shared" si="184"/>
        <v>0.26789999999999997</v>
      </c>
      <c r="BX407" s="358" t="s">
        <v>242</v>
      </c>
      <c r="BY407" s="294">
        <f t="shared" si="176"/>
        <v>45505</v>
      </c>
      <c r="BZ407" s="357">
        <f t="shared" si="177"/>
        <v>5.0000000000000001E-3</v>
      </c>
      <c r="CA407" s="162">
        <f t="shared" si="185"/>
        <v>0.12500000000000003</v>
      </c>
      <c r="CF407" s="31" t="s">
        <v>197</v>
      </c>
      <c r="CG407" s="168">
        <v>45505</v>
      </c>
      <c r="CH407" s="37">
        <v>0</v>
      </c>
      <c r="CI407" s="314">
        <f t="shared" si="195"/>
        <v>0</v>
      </c>
      <c r="CJ407" s="312">
        <f t="shared" si="186"/>
        <v>1</v>
      </c>
      <c r="CN407" s="315">
        <f t="shared" si="187"/>
        <v>45505</v>
      </c>
      <c r="CO407" s="312">
        <f t="shared" si="188"/>
        <v>1</v>
      </c>
      <c r="CQ407" s="315">
        <f t="shared" si="189"/>
        <v>45505</v>
      </c>
      <c r="CR407" s="316">
        <f t="shared" si="190"/>
        <v>0.26789999999999997</v>
      </c>
      <c r="CW407"/>
    </row>
    <row r="408" spans="2:101">
      <c r="B408" s="1"/>
      <c r="D408" s="1"/>
      <c r="M408" s="284"/>
      <c r="N408" s="284"/>
      <c r="O408" s="284"/>
      <c r="P408" s="159" t="str">
        <f t="shared" si="182"/>
        <v/>
      </c>
      <c r="Q408" s="292" t="str">
        <f t="shared" si="181"/>
        <v/>
      </c>
      <c r="BM408" s="31" t="s">
        <v>198</v>
      </c>
      <c r="BN408" s="159">
        <f t="shared" si="174"/>
        <v>45536</v>
      </c>
      <c r="BO408" s="162">
        <f t="shared" si="175"/>
        <v>7.0699999999999995E-4</v>
      </c>
      <c r="BP408" s="278">
        <f t="shared" si="191"/>
        <v>7.0699999999999995E-4</v>
      </c>
      <c r="BQ408" s="312">
        <f t="shared" si="183"/>
        <v>1.0371954822095961</v>
      </c>
      <c r="BS408" s="31" t="s">
        <v>43</v>
      </c>
      <c r="BT408" s="159">
        <f t="shared" si="193"/>
        <v>45536</v>
      </c>
      <c r="BU408" s="162">
        <f t="shared" si="194"/>
        <v>8.3999999999999995E-3</v>
      </c>
      <c r="BV408" s="311">
        <f t="shared" si="184"/>
        <v>0.25919999999999999</v>
      </c>
      <c r="BX408" s="358" t="s">
        <v>242</v>
      </c>
      <c r="BY408" s="294">
        <f t="shared" si="176"/>
        <v>45536</v>
      </c>
      <c r="BZ408" s="357">
        <f t="shared" si="177"/>
        <v>5.0000000000000001E-3</v>
      </c>
      <c r="CA408" s="162">
        <f t="shared" si="185"/>
        <v>0.12000000000000004</v>
      </c>
      <c r="CF408" s="31" t="s">
        <v>197</v>
      </c>
      <c r="CG408" s="168">
        <v>45536</v>
      </c>
      <c r="CH408" s="37">
        <v>0</v>
      </c>
      <c r="CI408" s="314">
        <f t="shared" si="195"/>
        <v>0</v>
      </c>
      <c r="CJ408" s="312">
        <f t="shared" si="186"/>
        <v>1</v>
      </c>
      <c r="CN408" s="315">
        <f t="shared" si="187"/>
        <v>45536</v>
      </c>
      <c r="CO408" s="312">
        <f t="shared" si="188"/>
        <v>1</v>
      </c>
      <c r="CQ408" s="315">
        <f t="shared" si="189"/>
        <v>45536</v>
      </c>
      <c r="CR408" s="316">
        <f t="shared" si="190"/>
        <v>0.25919999999999999</v>
      </c>
      <c r="CW408" s="652" t="s">
        <v>536</v>
      </c>
    </row>
    <row r="409" spans="2:101">
      <c r="B409" s="1"/>
      <c r="D409" s="1"/>
      <c r="M409" s="284"/>
      <c r="N409" s="284"/>
      <c r="O409" s="284"/>
      <c r="P409" s="159" t="str">
        <f t="shared" si="182"/>
        <v/>
      </c>
      <c r="Q409" s="292" t="str">
        <f t="shared" si="181"/>
        <v/>
      </c>
      <c r="BM409" s="31" t="s">
        <v>198</v>
      </c>
      <c r="BN409" s="159">
        <f t="shared" si="174"/>
        <v>45566</v>
      </c>
      <c r="BO409" s="162">
        <f t="shared" si="175"/>
        <v>6.7500000000000004E-4</v>
      </c>
      <c r="BP409" s="278">
        <f t="shared" si="191"/>
        <v>6.7500000000000004E-4</v>
      </c>
      <c r="BQ409" s="312">
        <f t="shared" si="183"/>
        <v>1.0364627030785196</v>
      </c>
      <c r="BS409" s="31" t="s">
        <v>43</v>
      </c>
      <c r="BT409" s="159">
        <f t="shared" si="193"/>
        <v>45566</v>
      </c>
      <c r="BU409" s="162">
        <f t="shared" si="194"/>
        <v>9.2999999999999992E-3</v>
      </c>
      <c r="BV409" s="311">
        <f t="shared" si="184"/>
        <v>0.25079999999999997</v>
      </c>
      <c r="BX409" s="358" t="s">
        <v>242</v>
      </c>
      <c r="BY409" s="294">
        <f t="shared" si="176"/>
        <v>45566</v>
      </c>
      <c r="BZ409" s="357">
        <f t="shared" si="177"/>
        <v>5.0000000000000001E-3</v>
      </c>
      <c r="CA409" s="162">
        <f t="shared" si="185"/>
        <v>0.11500000000000003</v>
      </c>
      <c r="CF409" s="31" t="s">
        <v>197</v>
      </c>
      <c r="CG409" s="168">
        <v>45566</v>
      </c>
      <c r="CH409" s="37">
        <v>0</v>
      </c>
      <c r="CI409" s="314">
        <f t="shared" si="195"/>
        <v>0</v>
      </c>
      <c r="CJ409" s="312">
        <f t="shared" si="186"/>
        <v>1</v>
      </c>
      <c r="CN409" s="315">
        <f t="shared" si="187"/>
        <v>45566</v>
      </c>
      <c r="CO409" s="312">
        <f t="shared" si="188"/>
        <v>1</v>
      </c>
      <c r="CQ409" s="315">
        <f t="shared" si="189"/>
        <v>45566</v>
      </c>
      <c r="CR409" s="316">
        <f t="shared" si="190"/>
        <v>0.25079999999999997</v>
      </c>
      <c r="CW409"/>
    </row>
    <row r="410" spans="2:101">
      <c r="B410" s="1"/>
      <c r="D410" s="1"/>
      <c r="M410" s="284"/>
      <c r="N410" s="284"/>
      <c r="O410" s="284"/>
      <c r="P410" s="159" t="str">
        <f t="shared" si="182"/>
        <v/>
      </c>
      <c r="Q410" s="292" t="str">
        <f t="shared" si="181"/>
        <v/>
      </c>
      <c r="BM410" s="31" t="s">
        <v>198</v>
      </c>
      <c r="BN410" s="159">
        <f t="shared" si="174"/>
        <v>45597</v>
      </c>
      <c r="BO410" s="162">
        <f t="shared" si="175"/>
        <v>9.77E-4</v>
      </c>
      <c r="BP410" s="278">
        <f t="shared" si="191"/>
        <v>9.77E-4</v>
      </c>
      <c r="BQ410" s="312">
        <f t="shared" si="183"/>
        <v>1.0357635626737149</v>
      </c>
      <c r="BS410" s="31" t="s">
        <v>43</v>
      </c>
      <c r="BT410" s="159">
        <f t="shared" si="193"/>
        <v>45597</v>
      </c>
      <c r="BU410" s="162">
        <f t="shared" si="194"/>
        <v>7.9000000000000008E-3</v>
      </c>
      <c r="BV410" s="311">
        <f t="shared" si="184"/>
        <v>0.24149999999999996</v>
      </c>
      <c r="BX410" s="358" t="s">
        <v>242</v>
      </c>
      <c r="BY410" s="294">
        <f t="shared" si="176"/>
        <v>45597</v>
      </c>
      <c r="BZ410" s="357">
        <f t="shared" si="177"/>
        <v>5.0000000000000001E-3</v>
      </c>
      <c r="CA410" s="162">
        <f t="shared" si="185"/>
        <v>0.11000000000000003</v>
      </c>
      <c r="CF410" s="31" t="s">
        <v>197</v>
      </c>
      <c r="CG410" s="168">
        <v>45597</v>
      </c>
      <c r="CH410" s="37">
        <v>0</v>
      </c>
      <c r="CI410" s="314">
        <f t="shared" si="195"/>
        <v>0</v>
      </c>
      <c r="CJ410" s="312">
        <f t="shared" si="186"/>
        <v>1</v>
      </c>
      <c r="CN410" s="315">
        <f t="shared" si="187"/>
        <v>45597</v>
      </c>
      <c r="CO410" s="312">
        <f t="shared" si="188"/>
        <v>1</v>
      </c>
      <c r="CQ410" s="315">
        <f t="shared" si="189"/>
        <v>45597</v>
      </c>
      <c r="CR410" s="316">
        <f t="shared" si="190"/>
        <v>0.24149999999999996</v>
      </c>
      <c r="CW410" s="665" t="s">
        <v>537</v>
      </c>
    </row>
    <row r="411" spans="2:101">
      <c r="B411" s="1"/>
      <c r="D411" s="1"/>
      <c r="M411" s="284"/>
      <c r="N411" s="284"/>
      <c r="O411" s="284"/>
      <c r="P411" s="159" t="str">
        <f t="shared" si="182"/>
        <v/>
      </c>
      <c r="Q411" s="292" t="str">
        <f t="shared" si="181"/>
        <v/>
      </c>
      <c r="BM411" s="31" t="s">
        <v>198</v>
      </c>
      <c r="BN411" s="159">
        <f t="shared" si="174"/>
        <v>45627</v>
      </c>
      <c r="BO411" s="162">
        <f t="shared" si="175"/>
        <v>6.4899999999999995E-4</v>
      </c>
      <c r="BP411" s="278">
        <f t="shared" si="191"/>
        <v>6.4899999999999995E-4</v>
      </c>
      <c r="BQ411" s="312">
        <f t="shared" si="183"/>
        <v>1.0347526093743562</v>
      </c>
      <c r="BS411" s="31" t="s">
        <v>43</v>
      </c>
      <c r="BT411" s="159">
        <f t="shared" si="193"/>
        <v>45627</v>
      </c>
      <c r="BU411" s="162">
        <f t="shared" si="194"/>
        <v>9.2999999999999992E-3</v>
      </c>
      <c r="BV411" s="311">
        <f t="shared" si="184"/>
        <v>0.23359999999999997</v>
      </c>
      <c r="BX411" s="358" t="s">
        <v>242</v>
      </c>
      <c r="BY411" s="294">
        <f t="shared" si="176"/>
        <v>45627</v>
      </c>
      <c r="BZ411" s="357">
        <f t="shared" si="177"/>
        <v>5.0000000000000001E-3</v>
      </c>
      <c r="CA411" s="162">
        <f t="shared" si="185"/>
        <v>0.10500000000000002</v>
      </c>
      <c r="CF411" s="31" t="s">
        <v>197</v>
      </c>
      <c r="CG411" s="168">
        <v>45627</v>
      </c>
      <c r="CH411" s="37">
        <v>0</v>
      </c>
      <c r="CI411" s="314">
        <f t="shared" si="195"/>
        <v>0</v>
      </c>
      <c r="CJ411" s="312">
        <f t="shared" si="186"/>
        <v>1</v>
      </c>
      <c r="CN411" s="315">
        <f t="shared" si="187"/>
        <v>45627</v>
      </c>
      <c r="CO411" s="312">
        <f t="shared" si="188"/>
        <v>1</v>
      </c>
      <c r="CQ411" s="315">
        <f t="shared" si="189"/>
        <v>45627</v>
      </c>
      <c r="CR411" s="316">
        <f t="shared" si="190"/>
        <v>0.23359999999999997</v>
      </c>
      <c r="CW411"/>
    </row>
    <row r="412" spans="2:101" ht="20.25">
      <c r="B412" s="1"/>
      <c r="D412" s="1"/>
      <c r="M412" s="284"/>
      <c r="N412" s="284"/>
      <c r="O412" s="284"/>
      <c r="P412" s="159" t="str">
        <f t="shared" si="182"/>
        <v/>
      </c>
      <c r="Q412" s="292" t="str">
        <f t="shared" si="181"/>
        <v/>
      </c>
      <c r="BM412" s="31" t="s">
        <v>198</v>
      </c>
      <c r="BN412" s="159">
        <f t="shared" si="174"/>
        <v>45658</v>
      </c>
      <c r="BO412" s="162">
        <f t="shared" si="175"/>
        <v>8.2200000000000003E-4</v>
      </c>
      <c r="BP412" s="278">
        <f t="shared" si="191"/>
        <v>8.2200000000000003E-4</v>
      </c>
      <c r="BQ412" s="312">
        <f t="shared" si="183"/>
        <v>1.0340814904870301</v>
      </c>
      <c r="BS412" s="31" t="s">
        <v>43</v>
      </c>
      <c r="BT412" s="159">
        <f t="shared" si="193"/>
        <v>45658</v>
      </c>
      <c r="BU412" s="162">
        <f t="shared" si="194"/>
        <v>1.01E-2</v>
      </c>
      <c r="BV412" s="311">
        <f t="shared" si="184"/>
        <v>0.22429999999999997</v>
      </c>
      <c r="BX412" s="358" t="s">
        <v>242</v>
      </c>
      <c r="BY412" s="294">
        <f t="shared" si="176"/>
        <v>45658</v>
      </c>
      <c r="BZ412" s="357">
        <f t="shared" si="177"/>
        <v>5.0000000000000001E-3</v>
      </c>
      <c r="CA412" s="162">
        <f t="shared" si="185"/>
        <v>0.10000000000000002</v>
      </c>
      <c r="CF412" s="31" t="s">
        <v>197</v>
      </c>
      <c r="CG412" s="168">
        <v>45658</v>
      </c>
      <c r="CH412" s="37">
        <v>0</v>
      </c>
      <c r="CI412" s="314">
        <f t="shared" si="195"/>
        <v>0</v>
      </c>
      <c r="CJ412" s="312">
        <f t="shared" si="186"/>
        <v>1</v>
      </c>
      <c r="CN412" s="315">
        <f t="shared" si="187"/>
        <v>45658</v>
      </c>
      <c r="CO412" s="312">
        <f t="shared" si="188"/>
        <v>1</v>
      </c>
      <c r="CQ412" s="315">
        <f t="shared" si="189"/>
        <v>45658</v>
      </c>
      <c r="CR412" s="316">
        <f t="shared" si="190"/>
        <v>0.22429999999999997</v>
      </c>
      <c r="CW412" s="662" t="s">
        <v>538</v>
      </c>
    </row>
    <row r="413" spans="2:101">
      <c r="B413" s="1"/>
      <c r="D413" s="1"/>
      <c r="M413" s="284"/>
      <c r="N413" s="284"/>
      <c r="O413" s="284"/>
      <c r="P413" s="159" t="str">
        <f t="shared" si="182"/>
        <v/>
      </c>
      <c r="Q413" s="292" t="str">
        <f t="shared" si="181"/>
        <v/>
      </c>
      <c r="BM413" s="31" t="s">
        <v>198</v>
      </c>
      <c r="BN413" s="159">
        <f t="shared" si="174"/>
        <v>45689</v>
      </c>
      <c r="BO413" s="162">
        <f t="shared" si="175"/>
        <v>1.6900000000000001E-3</v>
      </c>
      <c r="BP413" s="278">
        <f t="shared" si="191"/>
        <v>1.6900000000000001E-3</v>
      </c>
      <c r="BQ413" s="312">
        <f t="shared" si="183"/>
        <v>1.0332321736402976</v>
      </c>
      <c r="BS413" s="31" t="s">
        <v>43</v>
      </c>
      <c r="BT413" s="159">
        <f t="shared" si="193"/>
        <v>45689</v>
      </c>
      <c r="BU413" s="162">
        <f t="shared" si="194"/>
        <v>9.9000000000000008E-3</v>
      </c>
      <c r="BV413" s="311">
        <f t="shared" si="184"/>
        <v>0.21419999999999997</v>
      </c>
      <c r="BX413" s="358" t="s">
        <v>242</v>
      </c>
      <c r="BY413" s="294">
        <f t="shared" si="176"/>
        <v>45689</v>
      </c>
      <c r="BZ413" s="357">
        <f t="shared" si="177"/>
        <v>5.0000000000000001E-3</v>
      </c>
      <c r="CA413" s="162">
        <f t="shared" si="185"/>
        <v>9.5000000000000015E-2</v>
      </c>
      <c r="CF413" s="31" t="s">
        <v>197</v>
      </c>
      <c r="CG413" s="168">
        <v>45689</v>
      </c>
      <c r="CH413" s="37">
        <v>0</v>
      </c>
      <c r="CI413" s="314">
        <f t="shared" si="195"/>
        <v>0</v>
      </c>
      <c r="CJ413" s="312">
        <f t="shared" si="186"/>
        <v>1</v>
      </c>
      <c r="CN413" s="315">
        <f t="shared" si="187"/>
        <v>45689</v>
      </c>
      <c r="CO413" s="312">
        <f t="shared" si="188"/>
        <v>1</v>
      </c>
      <c r="CQ413" s="315">
        <f t="shared" si="189"/>
        <v>45689</v>
      </c>
      <c r="CR413" s="316">
        <f t="shared" si="190"/>
        <v>0.21419999999999997</v>
      </c>
      <c r="CW413"/>
    </row>
    <row r="414" spans="2:101">
      <c r="B414" s="1"/>
      <c r="D414" s="1"/>
      <c r="M414" s="284"/>
      <c r="N414" s="284"/>
      <c r="O414" s="284"/>
      <c r="P414" s="159" t="str">
        <f t="shared" si="182"/>
        <v/>
      </c>
      <c r="Q414" s="292" t="str">
        <f t="shared" si="181"/>
        <v/>
      </c>
      <c r="BM414" s="31" t="s">
        <v>198</v>
      </c>
      <c r="BN414" s="159">
        <f t="shared" si="174"/>
        <v>45717</v>
      </c>
      <c r="BO414" s="162">
        <f t="shared" si="175"/>
        <v>1.3240000000000001E-3</v>
      </c>
      <c r="BP414" s="278">
        <f t="shared" si="191"/>
        <v>1.3240000000000001E-3</v>
      </c>
      <c r="BQ414" s="312">
        <f t="shared" si="183"/>
        <v>1.0314889573024566</v>
      </c>
      <c r="BS414" s="31" t="s">
        <v>43</v>
      </c>
      <c r="BT414" s="159">
        <f t="shared" si="193"/>
        <v>45717</v>
      </c>
      <c r="BU414" s="162">
        <f t="shared" si="194"/>
        <v>9.5999999999999992E-3</v>
      </c>
      <c r="BV414" s="311">
        <f t="shared" si="184"/>
        <v>0.20429999999999998</v>
      </c>
      <c r="BX414" s="358" t="s">
        <v>242</v>
      </c>
      <c r="BY414" s="294">
        <f t="shared" si="176"/>
        <v>45717</v>
      </c>
      <c r="BZ414" s="357">
        <f t="shared" si="177"/>
        <v>5.0000000000000001E-3</v>
      </c>
      <c r="CA414" s="162">
        <f t="shared" si="185"/>
        <v>9.0000000000000011E-2</v>
      </c>
      <c r="CF414" s="31" t="s">
        <v>197</v>
      </c>
      <c r="CG414" s="168">
        <v>45717</v>
      </c>
      <c r="CH414" s="37">
        <v>0</v>
      </c>
      <c r="CI414" s="314">
        <f t="shared" si="195"/>
        <v>0</v>
      </c>
      <c r="CJ414" s="312">
        <f t="shared" si="186"/>
        <v>1</v>
      </c>
      <c r="CN414" s="315">
        <f t="shared" si="187"/>
        <v>45717</v>
      </c>
      <c r="CO414" s="312">
        <f t="shared" si="188"/>
        <v>1</v>
      </c>
      <c r="CQ414" s="315">
        <f t="shared" si="189"/>
        <v>45717</v>
      </c>
      <c r="CR414" s="316">
        <f t="shared" si="190"/>
        <v>0.20429999999999998</v>
      </c>
      <c r="CW414" s="663" t="s">
        <v>539</v>
      </c>
    </row>
    <row r="415" spans="2:101">
      <c r="B415" s="1"/>
      <c r="D415" s="1"/>
      <c r="M415" s="284"/>
      <c r="N415" s="284"/>
      <c r="O415" s="284"/>
      <c r="P415" s="159" t="str">
        <f t="shared" si="182"/>
        <v/>
      </c>
      <c r="Q415" s="292" t="str">
        <f t="shared" si="181"/>
        <v/>
      </c>
      <c r="BM415" s="31" t="s">
        <v>198</v>
      </c>
      <c r="BN415" s="159">
        <f t="shared" si="174"/>
        <v>45748</v>
      </c>
      <c r="BO415" s="162">
        <f t="shared" si="175"/>
        <v>1.0920000000000001E-3</v>
      </c>
      <c r="BP415" s="278">
        <f t="shared" si="191"/>
        <v>1.0920000000000001E-3</v>
      </c>
      <c r="BQ415" s="312">
        <f t="shared" si="183"/>
        <v>1.0301250717075157</v>
      </c>
      <c r="BS415" s="31" t="s">
        <v>43</v>
      </c>
      <c r="BT415" s="159">
        <f t="shared" si="193"/>
        <v>45748</v>
      </c>
      <c r="BU415" s="162">
        <f t="shared" si="194"/>
        <v>1.06E-2</v>
      </c>
      <c r="BV415" s="311">
        <f t="shared" si="184"/>
        <v>0.19469999999999998</v>
      </c>
      <c r="BX415" s="358" t="s">
        <v>242</v>
      </c>
      <c r="BY415" s="294">
        <f t="shared" si="176"/>
        <v>45748</v>
      </c>
      <c r="BZ415" s="357">
        <f t="shared" si="177"/>
        <v>5.0000000000000001E-3</v>
      </c>
      <c r="CA415" s="162">
        <f t="shared" si="185"/>
        <v>8.5000000000000006E-2</v>
      </c>
      <c r="CF415" s="31" t="s">
        <v>197</v>
      </c>
      <c r="CG415" s="168">
        <v>45748</v>
      </c>
      <c r="CH415" s="37">
        <v>0</v>
      </c>
      <c r="CI415" s="314">
        <f t="shared" si="195"/>
        <v>0</v>
      </c>
      <c r="CJ415" s="312">
        <f t="shared" si="186"/>
        <v>1</v>
      </c>
      <c r="CN415" s="315">
        <f t="shared" si="187"/>
        <v>45748</v>
      </c>
      <c r="CO415" s="312">
        <f t="shared" si="188"/>
        <v>1</v>
      </c>
      <c r="CQ415" s="315">
        <f t="shared" si="189"/>
        <v>45748</v>
      </c>
      <c r="CR415" s="316">
        <f t="shared" si="190"/>
        <v>0.19469999999999998</v>
      </c>
      <c r="CW415" s="652" t="s">
        <v>540</v>
      </c>
    </row>
    <row r="416" spans="2:101">
      <c r="B416" s="1"/>
      <c r="D416" s="1"/>
      <c r="M416" s="284"/>
      <c r="N416" s="284"/>
      <c r="O416" s="284"/>
      <c r="P416" s="159" t="str">
        <f t="shared" si="182"/>
        <v/>
      </c>
      <c r="Q416" s="292" t="str">
        <f t="shared" si="181"/>
        <v/>
      </c>
      <c r="BM416" s="31" t="s">
        <v>198</v>
      </c>
      <c r="BN416" s="159">
        <f t="shared" si="174"/>
        <v>45778</v>
      </c>
      <c r="BO416" s="162">
        <f t="shared" si="175"/>
        <v>1.689E-3</v>
      </c>
      <c r="BP416" s="278">
        <f t="shared" si="191"/>
        <v>1.689E-3</v>
      </c>
      <c r="BQ416" s="312">
        <f t="shared" si="183"/>
        <v>1.029001402176339</v>
      </c>
      <c r="BS416" s="31" t="s">
        <v>43</v>
      </c>
      <c r="BT416" s="159">
        <f t="shared" si="193"/>
        <v>45778</v>
      </c>
      <c r="BU416" s="162">
        <f t="shared" si="194"/>
        <v>1.14E-2</v>
      </c>
      <c r="BV416" s="311">
        <f t="shared" si="184"/>
        <v>0.18409999999999999</v>
      </c>
      <c r="BX416" s="358" t="s">
        <v>242</v>
      </c>
      <c r="BY416" s="294">
        <f t="shared" si="176"/>
        <v>45778</v>
      </c>
      <c r="BZ416" s="357">
        <f t="shared" si="177"/>
        <v>5.0000000000000001E-3</v>
      </c>
      <c r="CA416" s="162">
        <f t="shared" si="185"/>
        <v>0.08</v>
      </c>
      <c r="CF416" s="31" t="s">
        <v>197</v>
      </c>
      <c r="CG416" s="168">
        <v>45778</v>
      </c>
      <c r="CH416" s="37">
        <v>0</v>
      </c>
      <c r="CI416" s="314">
        <f t="shared" si="195"/>
        <v>0</v>
      </c>
      <c r="CJ416" s="312">
        <f t="shared" si="186"/>
        <v>1</v>
      </c>
      <c r="CN416" s="315">
        <f t="shared" si="187"/>
        <v>45778</v>
      </c>
      <c r="CO416" s="312">
        <f t="shared" si="188"/>
        <v>1</v>
      </c>
      <c r="CQ416" s="315">
        <f t="shared" si="189"/>
        <v>45778</v>
      </c>
      <c r="CR416" s="316">
        <f t="shared" si="190"/>
        <v>0.18409999999999999</v>
      </c>
      <c r="CW416"/>
    </row>
    <row r="417" spans="2:101">
      <c r="B417" s="1"/>
      <c r="D417" s="1"/>
      <c r="M417" s="284"/>
      <c r="N417" s="284"/>
      <c r="O417" s="284"/>
      <c r="P417" s="159" t="str">
        <f t="shared" si="182"/>
        <v/>
      </c>
      <c r="Q417" s="292" t="str">
        <f t="shared" si="181"/>
        <v/>
      </c>
      <c r="BM417" s="31" t="s">
        <v>198</v>
      </c>
      <c r="BN417" s="159">
        <f t="shared" si="174"/>
        <v>45809</v>
      </c>
      <c r="BO417" s="162">
        <f t="shared" si="175"/>
        <v>1.712E-3</v>
      </c>
      <c r="BP417" s="278">
        <f t="shared" si="191"/>
        <v>1.712E-3</v>
      </c>
      <c r="BQ417" s="312">
        <f t="shared" si="183"/>
        <v>1.0272663493123504</v>
      </c>
      <c r="BS417" s="31" t="s">
        <v>43</v>
      </c>
      <c r="BT417" s="159">
        <f t="shared" si="193"/>
        <v>45809</v>
      </c>
      <c r="BU417" s="162">
        <f t="shared" si="194"/>
        <v>1.0999999999999999E-2</v>
      </c>
      <c r="BV417" s="311">
        <f t="shared" si="184"/>
        <v>0.17269999999999999</v>
      </c>
      <c r="BX417" s="358" t="s">
        <v>242</v>
      </c>
      <c r="BY417" s="294">
        <f t="shared" si="176"/>
        <v>45809</v>
      </c>
      <c r="BZ417" s="357">
        <f t="shared" si="177"/>
        <v>5.0000000000000001E-3</v>
      </c>
      <c r="CA417" s="162">
        <f t="shared" si="185"/>
        <v>7.4999999999999997E-2</v>
      </c>
      <c r="CF417" s="31" t="s">
        <v>197</v>
      </c>
      <c r="CG417" s="168">
        <v>45809</v>
      </c>
      <c r="CH417" s="37">
        <v>0</v>
      </c>
      <c r="CI417" s="314">
        <f t="shared" si="195"/>
        <v>0</v>
      </c>
      <c r="CJ417" s="312">
        <f t="shared" si="186"/>
        <v>1</v>
      </c>
      <c r="CN417" s="315">
        <f t="shared" si="187"/>
        <v>45809</v>
      </c>
      <c r="CO417" s="312">
        <f t="shared" si="188"/>
        <v>1</v>
      </c>
      <c r="CQ417" s="315">
        <f t="shared" si="189"/>
        <v>45809</v>
      </c>
      <c r="CR417" s="316">
        <f t="shared" si="190"/>
        <v>0.17269999999999999</v>
      </c>
      <c r="CW417" s="663" t="s">
        <v>541</v>
      </c>
    </row>
    <row r="418" spans="2:101">
      <c r="B418" s="1"/>
      <c r="D418" s="1"/>
      <c r="M418" s="284"/>
      <c r="N418" s="284"/>
      <c r="O418" s="284"/>
      <c r="P418" s="159" t="str">
        <f t="shared" si="182"/>
        <v/>
      </c>
      <c r="Q418" s="292" t="str">
        <f t="shared" si="181"/>
        <v/>
      </c>
      <c r="BM418" s="31" t="s">
        <v>198</v>
      </c>
      <c r="BN418" s="159">
        <f t="shared" ref="BN418:BN481" si="196">J299</f>
        <v>45839</v>
      </c>
      <c r="BO418" s="162">
        <f t="shared" ref="BO418:BO481" si="197">K299</f>
        <v>1.699E-3</v>
      </c>
      <c r="BP418" s="278">
        <f t="shared" si="191"/>
        <v>1.699E-3</v>
      </c>
      <c r="BQ418" s="312">
        <f t="shared" si="183"/>
        <v>1.0255106750366876</v>
      </c>
      <c r="BS418" s="31" t="s">
        <v>43</v>
      </c>
      <c r="BT418" s="159">
        <f t="shared" si="193"/>
        <v>45839</v>
      </c>
      <c r="BU418" s="162">
        <f t="shared" si="194"/>
        <v>1.2800000000000001E-2</v>
      </c>
      <c r="BV418" s="311">
        <f t="shared" si="184"/>
        <v>0.16169999999999998</v>
      </c>
      <c r="BX418" s="358" t="s">
        <v>242</v>
      </c>
      <c r="BY418" s="294">
        <f t="shared" si="176"/>
        <v>45839</v>
      </c>
      <c r="BZ418" s="357">
        <f t="shared" si="177"/>
        <v>5.0000000000000001E-3</v>
      </c>
      <c r="CA418" s="162">
        <f t="shared" si="185"/>
        <v>6.9999999999999993E-2</v>
      </c>
      <c r="CF418" s="31" t="s">
        <v>197</v>
      </c>
      <c r="CG418" s="168">
        <v>45839</v>
      </c>
      <c r="CH418" s="37">
        <v>0</v>
      </c>
      <c r="CI418" s="314">
        <f t="shared" si="195"/>
        <v>0</v>
      </c>
      <c r="CJ418" s="312">
        <f t="shared" si="186"/>
        <v>1</v>
      </c>
      <c r="CN418" s="315">
        <f t="shared" si="187"/>
        <v>45839</v>
      </c>
      <c r="CO418" s="312">
        <f t="shared" si="188"/>
        <v>1</v>
      </c>
      <c r="CQ418" s="315">
        <f t="shared" si="189"/>
        <v>45839</v>
      </c>
      <c r="CR418" s="316">
        <f t="shared" si="190"/>
        <v>0.16169999999999998</v>
      </c>
      <c r="CW418" s="652" t="s">
        <v>542</v>
      </c>
    </row>
    <row r="419" spans="2:101">
      <c r="B419" s="1"/>
      <c r="D419" s="1"/>
      <c r="M419" s="284"/>
      <c r="N419" s="284"/>
      <c r="O419" s="284"/>
      <c r="P419" s="159" t="str">
        <f t="shared" si="182"/>
        <v/>
      </c>
      <c r="Q419" s="292" t="str">
        <f t="shared" si="181"/>
        <v/>
      </c>
      <c r="BM419" s="31" t="s">
        <v>198</v>
      </c>
      <c r="BN419" s="159">
        <f t="shared" si="196"/>
        <v>45870</v>
      </c>
      <c r="BO419" s="162">
        <f t="shared" si="197"/>
        <v>1.758E-3</v>
      </c>
      <c r="BP419" s="278">
        <f t="shared" si="191"/>
        <v>1.758E-3</v>
      </c>
      <c r="BQ419" s="312">
        <f t="shared" si="183"/>
        <v>1.023771287619023</v>
      </c>
      <c r="BS419" s="31" t="s">
        <v>43</v>
      </c>
      <c r="BT419" s="159">
        <f t="shared" si="193"/>
        <v>45870</v>
      </c>
      <c r="BU419" s="162">
        <f t="shared" si="194"/>
        <v>1.1599999999999999E-2</v>
      </c>
      <c r="BV419" s="311">
        <f t="shared" si="184"/>
        <v>0.14889999999999998</v>
      </c>
      <c r="BX419" s="358" t="s">
        <v>242</v>
      </c>
      <c r="BY419" s="294">
        <f t="shared" ref="BY419:BY482" si="198">P362</f>
        <v>45870</v>
      </c>
      <c r="BZ419" s="357">
        <f t="shared" ref="BZ419:BZ482" si="199">Q362</f>
        <v>5.0000000000000001E-3</v>
      </c>
      <c r="CA419" s="162">
        <f t="shared" si="185"/>
        <v>6.4999999999999988E-2</v>
      </c>
      <c r="CF419" s="31" t="s">
        <v>197</v>
      </c>
      <c r="CG419" s="168">
        <v>45870</v>
      </c>
      <c r="CH419" s="37">
        <v>0</v>
      </c>
      <c r="CI419" s="314">
        <f t="shared" si="195"/>
        <v>0</v>
      </c>
      <c r="CJ419" s="312">
        <f t="shared" si="186"/>
        <v>1</v>
      </c>
      <c r="CN419" s="315">
        <f t="shared" si="187"/>
        <v>45870</v>
      </c>
      <c r="CO419" s="312">
        <f t="shared" si="188"/>
        <v>1</v>
      </c>
      <c r="CQ419" s="315">
        <f t="shared" si="189"/>
        <v>45870</v>
      </c>
      <c r="CR419" s="316">
        <f t="shared" si="190"/>
        <v>0.14889999999999998</v>
      </c>
      <c r="CW419"/>
    </row>
    <row r="420" spans="2:101">
      <c r="B420" s="1"/>
      <c r="D420" s="1"/>
      <c r="M420" s="284"/>
      <c r="N420" s="284"/>
      <c r="O420" s="284"/>
      <c r="P420" s="159" t="str">
        <f t="shared" si="182"/>
        <v/>
      </c>
      <c r="Q420" s="292" t="str">
        <f t="shared" si="181"/>
        <v/>
      </c>
      <c r="BM420" s="31" t="s">
        <v>198</v>
      </c>
      <c r="BN420" s="159">
        <f t="shared" si="196"/>
        <v>45901</v>
      </c>
      <c r="BO420" s="162">
        <f t="shared" si="197"/>
        <v>1.722E-3</v>
      </c>
      <c r="BP420" s="278">
        <f t="shared" si="191"/>
        <v>1.722E-3</v>
      </c>
      <c r="BQ420" s="312">
        <f t="shared" si="183"/>
        <v>1.0219746561734702</v>
      </c>
      <c r="BS420" s="31" t="s">
        <v>43</v>
      </c>
      <c r="BT420" s="159">
        <f t="shared" si="193"/>
        <v>45901</v>
      </c>
      <c r="BU420" s="162">
        <f t="shared" si="194"/>
        <v>1.2200000000000001E-2</v>
      </c>
      <c r="BV420" s="311">
        <f t="shared" si="184"/>
        <v>0.13729999999999998</v>
      </c>
      <c r="BX420" s="358" t="s">
        <v>242</v>
      </c>
      <c r="BY420" s="294">
        <f t="shared" si="198"/>
        <v>45901</v>
      </c>
      <c r="BZ420" s="357">
        <f t="shared" si="199"/>
        <v>5.0000000000000001E-3</v>
      </c>
      <c r="CA420" s="162">
        <f t="shared" si="185"/>
        <v>5.9999999999999991E-2</v>
      </c>
      <c r="CF420" s="31" t="s">
        <v>197</v>
      </c>
      <c r="CG420" s="168">
        <v>45901</v>
      </c>
      <c r="CH420" s="37">
        <v>0</v>
      </c>
      <c r="CI420" s="314">
        <f t="shared" si="195"/>
        <v>0</v>
      </c>
      <c r="CJ420" s="312">
        <f t="shared" si="186"/>
        <v>1</v>
      </c>
      <c r="CN420" s="315">
        <f t="shared" si="187"/>
        <v>45901</v>
      </c>
      <c r="CO420" s="312">
        <f t="shared" si="188"/>
        <v>1</v>
      </c>
      <c r="CQ420" s="315">
        <f t="shared" si="189"/>
        <v>45901</v>
      </c>
      <c r="CR420" s="316">
        <f t="shared" si="190"/>
        <v>0.13729999999999998</v>
      </c>
      <c r="CW420" s="663" t="s">
        <v>543</v>
      </c>
    </row>
    <row r="421" spans="2:101">
      <c r="B421" s="1"/>
      <c r="D421" s="1"/>
      <c r="M421" s="284"/>
      <c r="N421" s="284"/>
      <c r="O421" s="284"/>
      <c r="P421" s="159" t="str">
        <f t="shared" si="182"/>
        <v/>
      </c>
      <c r="Q421" s="292" t="str">
        <f t="shared" si="181"/>
        <v/>
      </c>
      <c r="BM421" s="31" t="s">
        <v>198</v>
      </c>
      <c r="BN421" s="159">
        <f t="shared" si="196"/>
        <v>45931</v>
      </c>
      <c r="BO421" s="162">
        <f t="shared" si="197"/>
        <v>1.7420000000000001E-3</v>
      </c>
      <c r="BP421" s="278">
        <f t="shared" si="191"/>
        <v>1.7420000000000001E-3</v>
      </c>
      <c r="BQ421" s="312">
        <f t="shared" si="183"/>
        <v>1.02021784105118</v>
      </c>
      <c r="BS421" s="31" t="s">
        <v>43</v>
      </c>
      <c r="BT421" s="159">
        <f t="shared" si="193"/>
        <v>45931</v>
      </c>
      <c r="BU421" s="162">
        <f t="shared" si="194"/>
        <v>1.2800000000000001E-2</v>
      </c>
      <c r="BV421" s="311">
        <f t="shared" si="184"/>
        <v>0.12509999999999999</v>
      </c>
      <c r="BX421" s="358" t="s">
        <v>242</v>
      </c>
      <c r="BY421" s="294">
        <f t="shared" si="198"/>
        <v>45931</v>
      </c>
      <c r="BZ421" s="357">
        <f t="shared" si="199"/>
        <v>5.0000000000000001E-3</v>
      </c>
      <c r="CA421" s="162">
        <f t="shared" si="185"/>
        <v>5.4999999999999993E-2</v>
      </c>
      <c r="CF421" s="31" t="s">
        <v>197</v>
      </c>
      <c r="CG421" s="168">
        <v>45931</v>
      </c>
      <c r="CH421" s="37">
        <v>0</v>
      </c>
      <c r="CI421" s="314">
        <f t="shared" si="195"/>
        <v>0</v>
      </c>
      <c r="CJ421" s="312">
        <f t="shared" si="186"/>
        <v>1</v>
      </c>
      <c r="CN421" s="315">
        <f t="shared" si="187"/>
        <v>45931</v>
      </c>
      <c r="CO421" s="312">
        <f t="shared" si="188"/>
        <v>1</v>
      </c>
      <c r="CQ421" s="315">
        <f t="shared" si="189"/>
        <v>45931</v>
      </c>
      <c r="CR421" s="316">
        <f t="shared" si="190"/>
        <v>0.12509999999999999</v>
      </c>
      <c r="CW421"/>
    </row>
    <row r="422" spans="2:101">
      <c r="B422" s="1"/>
      <c r="D422" s="1"/>
      <c r="M422" s="284"/>
      <c r="N422" s="284"/>
      <c r="O422" s="284"/>
      <c r="P422" s="159" t="str">
        <f t="shared" si="182"/>
        <v/>
      </c>
      <c r="Q422" s="292" t="str">
        <f t="shared" si="181"/>
        <v/>
      </c>
      <c r="BM422" s="31" t="s">
        <v>198</v>
      </c>
      <c r="BN422" s="159">
        <f t="shared" si="196"/>
        <v>45962</v>
      </c>
      <c r="BO422" s="162">
        <f t="shared" si="197"/>
        <v>1.758E-3</v>
      </c>
      <c r="BP422" s="278">
        <f t="shared" si="191"/>
        <v>1.758E-3</v>
      </c>
      <c r="BQ422" s="312">
        <f t="shared" si="183"/>
        <v>1.0184437121046936</v>
      </c>
      <c r="BS422" s="31" t="s">
        <v>43</v>
      </c>
      <c r="BT422" s="159">
        <f t="shared" si="193"/>
        <v>45962</v>
      </c>
      <c r="BU422" s="162">
        <f t="shared" si="194"/>
        <v>1.0500000000000001E-2</v>
      </c>
      <c r="BV422" s="311">
        <f t="shared" si="184"/>
        <v>0.1123</v>
      </c>
      <c r="BX422" s="358" t="s">
        <v>242</v>
      </c>
      <c r="BY422" s="294">
        <f t="shared" si="198"/>
        <v>45962</v>
      </c>
      <c r="BZ422" s="357">
        <f t="shared" si="199"/>
        <v>5.0000000000000001E-3</v>
      </c>
      <c r="CA422" s="162">
        <f t="shared" si="185"/>
        <v>4.9999999999999996E-2</v>
      </c>
      <c r="CF422" s="31" t="s">
        <v>197</v>
      </c>
      <c r="CG422" s="168">
        <v>45962</v>
      </c>
      <c r="CH422" s="37">
        <v>0</v>
      </c>
      <c r="CI422" s="314">
        <f t="shared" si="195"/>
        <v>0</v>
      </c>
      <c r="CJ422" s="312">
        <f t="shared" si="186"/>
        <v>1</v>
      </c>
      <c r="CN422" s="315">
        <f t="shared" si="187"/>
        <v>45962</v>
      </c>
      <c r="CO422" s="312">
        <f t="shared" si="188"/>
        <v>1</v>
      </c>
      <c r="CQ422" s="315">
        <f t="shared" si="189"/>
        <v>45962</v>
      </c>
      <c r="CR422" s="316">
        <f t="shared" si="190"/>
        <v>0.1123</v>
      </c>
      <c r="CW422" s="652" t="s">
        <v>544</v>
      </c>
    </row>
    <row r="423" spans="2:101">
      <c r="B423" s="1"/>
      <c r="D423" s="1"/>
      <c r="M423" s="284"/>
      <c r="N423" s="284"/>
      <c r="O423" s="284"/>
      <c r="P423" s="159" t="str">
        <f t="shared" si="182"/>
        <v/>
      </c>
      <c r="Q423" s="292" t="str">
        <f t="shared" si="181"/>
        <v/>
      </c>
      <c r="BM423" s="31" t="s">
        <v>198</v>
      </c>
      <c r="BN423" s="159">
        <f t="shared" si="196"/>
        <v>45992</v>
      </c>
      <c r="BO423" s="162">
        <f t="shared" si="197"/>
        <v>1.634E-3</v>
      </c>
      <c r="BP423" s="278">
        <f t="shared" si="191"/>
        <v>1.634E-3</v>
      </c>
      <c r="BQ423" s="312">
        <f t="shared" si="183"/>
        <v>1.0166564301005769</v>
      </c>
      <c r="BS423" s="31" t="s">
        <v>43</v>
      </c>
      <c r="BT423" s="159">
        <f t="shared" si="193"/>
        <v>45992</v>
      </c>
      <c r="BU423" s="162">
        <f t="shared" si="194"/>
        <v>1.2200000000000001E-2</v>
      </c>
      <c r="BV423" s="311">
        <f t="shared" si="184"/>
        <v>0.1018</v>
      </c>
      <c r="BX423" s="358" t="s">
        <v>242</v>
      </c>
      <c r="BY423" s="294">
        <f t="shared" si="198"/>
        <v>45992</v>
      </c>
      <c r="BZ423" s="357">
        <f t="shared" si="199"/>
        <v>5.0000000000000001E-3</v>
      </c>
      <c r="CA423" s="162">
        <f t="shared" si="185"/>
        <v>4.4999999999999998E-2</v>
      </c>
      <c r="CF423" s="31" t="s">
        <v>197</v>
      </c>
      <c r="CG423" s="168">
        <v>45992</v>
      </c>
      <c r="CH423" s="37">
        <v>0</v>
      </c>
      <c r="CI423" s="314">
        <f t="shared" si="195"/>
        <v>0</v>
      </c>
      <c r="CJ423" s="312">
        <f t="shared" si="186"/>
        <v>1</v>
      </c>
      <c r="CN423" s="315">
        <f t="shared" si="187"/>
        <v>45992</v>
      </c>
      <c r="CO423" s="312">
        <f t="shared" si="188"/>
        <v>1</v>
      </c>
      <c r="CQ423" s="315">
        <f t="shared" si="189"/>
        <v>45992</v>
      </c>
      <c r="CR423" s="316">
        <f t="shared" si="190"/>
        <v>0.1018</v>
      </c>
      <c r="CW423"/>
    </row>
    <row r="424" spans="2:101">
      <c r="B424" s="1"/>
      <c r="D424" s="1"/>
      <c r="M424" s="284"/>
      <c r="N424" s="284"/>
      <c r="O424" s="284"/>
      <c r="P424" s="159" t="str">
        <f t="shared" si="182"/>
        <v/>
      </c>
      <c r="Q424" s="292" t="str">
        <f t="shared" si="181"/>
        <v/>
      </c>
      <c r="BM424" s="31" t="s">
        <v>198</v>
      </c>
      <c r="BN424" s="159">
        <f t="shared" si="196"/>
        <v>46023</v>
      </c>
      <c r="BO424" s="162">
        <f t="shared" si="197"/>
        <v>1.7420000000000001E-3</v>
      </c>
      <c r="BP424" s="278">
        <f t="shared" si="191"/>
        <v>1.7420000000000001E-3</v>
      </c>
      <c r="BQ424" s="312">
        <f t="shared" si="183"/>
        <v>1.0149979234935884</v>
      </c>
      <c r="BS424" s="31" t="s">
        <v>43</v>
      </c>
      <c r="BT424" s="159">
        <f t="shared" si="193"/>
        <v>46023</v>
      </c>
      <c r="BU424" s="162">
        <f t="shared" si="194"/>
        <v>1.1599999999999999E-2</v>
      </c>
      <c r="BV424" s="311">
        <f t="shared" si="184"/>
        <v>8.9599999999999999E-2</v>
      </c>
      <c r="BX424" s="358" t="s">
        <v>242</v>
      </c>
      <c r="BY424" s="294">
        <f t="shared" si="198"/>
        <v>46023</v>
      </c>
      <c r="BZ424" s="357">
        <f t="shared" si="199"/>
        <v>5.0000000000000001E-3</v>
      </c>
      <c r="CA424" s="162">
        <f t="shared" si="185"/>
        <v>0.04</v>
      </c>
      <c r="CF424" s="31" t="s">
        <v>197</v>
      </c>
      <c r="CG424" s="168">
        <v>46023</v>
      </c>
      <c r="CH424" s="37">
        <v>0</v>
      </c>
      <c r="CI424" s="314">
        <f t="shared" si="195"/>
        <v>0</v>
      </c>
      <c r="CJ424" s="312">
        <f t="shared" si="186"/>
        <v>1</v>
      </c>
      <c r="CN424" s="315">
        <f t="shared" si="187"/>
        <v>46023</v>
      </c>
      <c r="CO424" s="312">
        <f t="shared" si="188"/>
        <v>1</v>
      </c>
      <c r="CQ424" s="315">
        <f t="shared" si="189"/>
        <v>46023</v>
      </c>
      <c r="CR424" s="316">
        <f t="shared" si="190"/>
        <v>8.9599999999999999E-2</v>
      </c>
      <c r="CW424" s="665" t="s">
        <v>545</v>
      </c>
    </row>
    <row r="425" spans="2:101">
      <c r="B425" s="1"/>
      <c r="D425" s="1"/>
      <c r="M425" s="284"/>
      <c r="N425" s="284"/>
      <c r="O425" s="284"/>
      <c r="P425" s="159" t="str">
        <f t="shared" si="182"/>
        <v/>
      </c>
      <c r="Q425" s="292" t="str">
        <f t="shared" si="181"/>
        <v/>
      </c>
      <c r="BM425" s="31" t="s">
        <v>198</v>
      </c>
      <c r="BN425" s="159">
        <f t="shared" si="196"/>
        <v>46054</v>
      </c>
      <c r="BO425" s="162">
        <f t="shared" si="197"/>
        <v>1.7179999999999999E-3</v>
      </c>
      <c r="BP425" s="278">
        <f t="shared" si="191"/>
        <v>1.7179999999999999E-3</v>
      </c>
      <c r="BQ425" s="312">
        <f t="shared" si="183"/>
        <v>1.0132328718308592</v>
      </c>
      <c r="BS425" s="31" t="s">
        <v>43</v>
      </c>
      <c r="BT425" s="159">
        <f t="shared" si="193"/>
        <v>46054</v>
      </c>
      <c r="BU425" s="162">
        <f t="shared" si="194"/>
        <v>0.01</v>
      </c>
      <c r="BV425" s="311">
        <f t="shared" si="184"/>
        <v>7.8E-2</v>
      </c>
      <c r="BX425" s="358" t="s">
        <v>242</v>
      </c>
      <c r="BY425" s="294">
        <f t="shared" si="198"/>
        <v>46054</v>
      </c>
      <c r="BZ425" s="357">
        <f t="shared" si="199"/>
        <v>5.0000000000000001E-3</v>
      </c>
      <c r="CA425" s="162">
        <f t="shared" si="185"/>
        <v>3.5000000000000003E-2</v>
      </c>
      <c r="CF425" s="31" t="s">
        <v>197</v>
      </c>
      <c r="CG425" s="168">
        <v>46054</v>
      </c>
      <c r="CH425" s="37">
        <v>0</v>
      </c>
      <c r="CI425" s="314">
        <f t="shared" ref="CI425:CI485" si="200">+IF(CH425="","",CH425)</f>
        <v>0</v>
      </c>
      <c r="CJ425" s="312">
        <f t="shared" si="186"/>
        <v>1</v>
      </c>
      <c r="CN425" s="315">
        <f t="shared" si="187"/>
        <v>46054</v>
      </c>
      <c r="CO425" s="312">
        <f t="shared" si="188"/>
        <v>1</v>
      </c>
      <c r="CQ425" s="315">
        <f t="shared" si="189"/>
        <v>46054</v>
      </c>
      <c r="CR425" s="316">
        <f t="shared" si="190"/>
        <v>7.8E-2</v>
      </c>
      <c r="CW425"/>
    </row>
    <row r="426" spans="2:101" ht="20.25">
      <c r="B426" s="1"/>
      <c r="D426" s="1"/>
      <c r="M426" s="284"/>
      <c r="N426" s="284"/>
      <c r="O426" s="284"/>
      <c r="P426" s="159" t="str">
        <f t="shared" si="182"/>
        <v/>
      </c>
      <c r="Q426" s="292" t="str">
        <f t="shared" si="181"/>
        <v/>
      </c>
      <c r="BM426" s="31" t="s">
        <v>198</v>
      </c>
      <c r="BN426" s="159">
        <f t="shared" si="196"/>
        <v>46082</v>
      </c>
      <c r="BO426" s="162">
        <f t="shared" si="197"/>
        <v>1.207E-3</v>
      </c>
      <c r="BP426" s="278">
        <f t="shared" si="191"/>
        <v>1.207E-3</v>
      </c>
      <c r="BQ426" s="312">
        <f t="shared" si="183"/>
        <v>1.0114951232091858</v>
      </c>
      <c r="BS426" s="31" t="s">
        <v>43</v>
      </c>
      <c r="BT426" s="159">
        <f t="shared" si="193"/>
        <v>46082</v>
      </c>
      <c r="BU426" s="162">
        <f t="shared" si="194"/>
        <v>1.21E-2</v>
      </c>
      <c r="BV426" s="311">
        <f t="shared" si="184"/>
        <v>6.8000000000000005E-2</v>
      </c>
      <c r="BX426" s="358" t="s">
        <v>242</v>
      </c>
      <c r="BY426" s="294">
        <f t="shared" si="198"/>
        <v>46082</v>
      </c>
      <c r="BZ426" s="357">
        <f t="shared" si="199"/>
        <v>5.0000000000000001E-3</v>
      </c>
      <c r="CA426" s="162">
        <f t="shared" si="185"/>
        <v>3.0000000000000002E-2</v>
      </c>
      <c r="CF426" s="31" t="s">
        <v>197</v>
      </c>
      <c r="CG426" s="168">
        <v>46082</v>
      </c>
      <c r="CH426" s="37">
        <v>0</v>
      </c>
      <c r="CI426" s="314">
        <f t="shared" si="200"/>
        <v>0</v>
      </c>
      <c r="CJ426" s="312">
        <f t="shared" si="186"/>
        <v>1</v>
      </c>
      <c r="CN426" s="315">
        <f t="shared" si="187"/>
        <v>46082</v>
      </c>
      <c r="CO426" s="312">
        <f t="shared" si="188"/>
        <v>1</v>
      </c>
      <c r="CQ426" s="315">
        <f t="shared" si="189"/>
        <v>46082</v>
      </c>
      <c r="CR426" s="316">
        <f t="shared" si="190"/>
        <v>6.8000000000000005E-2</v>
      </c>
      <c r="CW426" s="662" t="s">
        <v>368</v>
      </c>
    </row>
    <row r="427" spans="2:101">
      <c r="B427" s="1"/>
      <c r="D427" s="1"/>
      <c r="M427" s="284"/>
      <c r="N427" s="284"/>
      <c r="O427" s="284"/>
      <c r="P427" s="159" t="str">
        <f t="shared" si="182"/>
        <v/>
      </c>
      <c r="Q427" s="292" t="str">
        <f t="shared" si="181"/>
        <v/>
      </c>
      <c r="BM427" s="31" t="s">
        <v>198</v>
      </c>
      <c r="BN427" s="159">
        <f t="shared" si="196"/>
        <v>46113</v>
      </c>
      <c r="BO427" s="162">
        <f t="shared" si="197"/>
        <v>1.735E-3</v>
      </c>
      <c r="BP427" s="278">
        <f t="shared" si="191"/>
        <v>1.735E-3</v>
      </c>
      <c r="BQ427" s="312">
        <f t="shared" si="183"/>
        <v>1.0102757204146453</v>
      </c>
      <c r="BS427" s="31" t="s">
        <v>43</v>
      </c>
      <c r="BT427" s="159">
        <f t="shared" si="193"/>
        <v>46113</v>
      </c>
      <c r="BU427" s="162">
        <f t="shared" si="194"/>
        <v>1.09E-2</v>
      </c>
      <c r="BV427" s="311">
        <f t="shared" si="184"/>
        <v>5.5900000000000005E-2</v>
      </c>
      <c r="BX427" s="358" t="s">
        <v>242</v>
      </c>
      <c r="BY427" s="294">
        <f t="shared" si="198"/>
        <v>46113</v>
      </c>
      <c r="BZ427" s="357">
        <f t="shared" si="199"/>
        <v>5.0000000000000001E-3</v>
      </c>
      <c r="CA427" s="162">
        <f t="shared" si="185"/>
        <v>2.5000000000000001E-2</v>
      </c>
      <c r="CF427" s="31" t="s">
        <v>197</v>
      </c>
      <c r="CG427" s="168">
        <v>46113</v>
      </c>
      <c r="CH427" s="37">
        <v>0</v>
      </c>
      <c r="CI427" s="314">
        <f t="shared" si="200"/>
        <v>0</v>
      </c>
      <c r="CJ427" s="312">
        <f t="shared" si="186"/>
        <v>1</v>
      </c>
      <c r="CN427" s="315">
        <f t="shared" si="187"/>
        <v>46113</v>
      </c>
      <c r="CO427" s="312">
        <f t="shared" si="188"/>
        <v>1</v>
      </c>
      <c r="CQ427" s="315">
        <f t="shared" si="189"/>
        <v>46113</v>
      </c>
      <c r="CR427" s="316">
        <f t="shared" si="190"/>
        <v>5.5900000000000005E-2</v>
      </c>
      <c r="CW427"/>
    </row>
    <row r="428" spans="2:101">
      <c r="B428" s="1"/>
      <c r="D428" s="1"/>
      <c r="M428" s="284"/>
      <c r="N428" s="284"/>
      <c r="O428" s="284"/>
      <c r="P428" s="159" t="str">
        <f t="shared" si="182"/>
        <v/>
      </c>
      <c r="Q428" s="292" t="str">
        <f t="shared" si="181"/>
        <v/>
      </c>
      <c r="BM428" s="31" t="s">
        <v>198</v>
      </c>
      <c r="BN428" s="159">
        <f t="shared" si="196"/>
        <v>46143</v>
      </c>
      <c r="BO428" s="162">
        <f t="shared" si="197"/>
        <v>1.6789999999999999E-3</v>
      </c>
      <c r="BP428" s="278">
        <f t="shared" si="191"/>
        <v>1.6789999999999999E-3</v>
      </c>
      <c r="BQ428" s="312">
        <f t="shared" si="183"/>
        <v>1.0085259279296872</v>
      </c>
      <c r="BS428" s="31" t="s">
        <v>43</v>
      </c>
      <c r="BT428" s="159">
        <f t="shared" si="193"/>
        <v>46143</v>
      </c>
      <c r="BU428" s="162">
        <f t="shared" si="194"/>
        <v>1.0699999999999999E-2</v>
      </c>
      <c r="BV428" s="311">
        <f t="shared" si="184"/>
        <v>4.5000000000000005E-2</v>
      </c>
      <c r="BX428" s="358" t="s">
        <v>242</v>
      </c>
      <c r="BY428" s="294">
        <f t="shared" si="198"/>
        <v>46143</v>
      </c>
      <c r="BZ428" s="357">
        <f t="shared" si="199"/>
        <v>5.0000000000000001E-3</v>
      </c>
      <c r="CA428" s="162">
        <f t="shared" si="185"/>
        <v>0.02</v>
      </c>
      <c r="CF428" s="31" t="s">
        <v>197</v>
      </c>
      <c r="CG428" s="168">
        <v>46143</v>
      </c>
      <c r="CH428" s="37">
        <v>0</v>
      </c>
      <c r="CI428" s="314">
        <f t="shared" si="200"/>
        <v>0</v>
      </c>
      <c r="CJ428" s="312">
        <f t="shared" si="186"/>
        <v>1</v>
      </c>
      <c r="CN428" s="315">
        <f t="shared" si="187"/>
        <v>46143</v>
      </c>
      <c r="CO428" s="312">
        <f t="shared" si="188"/>
        <v>1</v>
      </c>
      <c r="CQ428" s="315">
        <f t="shared" si="189"/>
        <v>46143</v>
      </c>
      <c r="CR428" s="316">
        <f t="shared" si="190"/>
        <v>4.5000000000000005E-2</v>
      </c>
      <c r="CW428" s="665" t="s">
        <v>546</v>
      </c>
    </row>
    <row r="429" spans="2:101">
      <c r="B429" s="1"/>
      <c r="D429" s="1"/>
      <c r="M429" s="284"/>
      <c r="N429" s="284"/>
      <c r="O429" s="284"/>
      <c r="P429" s="159" t="str">
        <f t="shared" si="182"/>
        <v/>
      </c>
      <c r="Q429" s="292" t="str">
        <f t="shared" si="181"/>
        <v/>
      </c>
      <c r="BM429" s="31" t="s">
        <v>198</v>
      </c>
      <c r="BN429" s="159">
        <f t="shared" si="196"/>
        <v>46174</v>
      </c>
      <c r="BO429" s="162">
        <f t="shared" si="197"/>
        <v>1.6869999999999999E-3</v>
      </c>
      <c r="BP429" s="278">
        <f t="shared" si="191"/>
        <v>1.6869999999999999E-3</v>
      </c>
      <c r="BQ429" s="312">
        <f t="shared" si="183"/>
        <v>1.0068354512071105</v>
      </c>
      <c r="BS429" s="31" t="s">
        <v>43</v>
      </c>
      <c r="BT429" s="159">
        <f t="shared" si="193"/>
        <v>46174</v>
      </c>
      <c r="BU429" s="162">
        <f t="shared" si="194"/>
        <v>1.12E-2</v>
      </c>
      <c r="BV429" s="311">
        <f t="shared" si="184"/>
        <v>3.4300000000000004E-2</v>
      </c>
      <c r="BX429" s="358" t="s">
        <v>242</v>
      </c>
      <c r="BY429" s="294">
        <f t="shared" si="198"/>
        <v>46174</v>
      </c>
      <c r="BZ429" s="357">
        <f t="shared" si="199"/>
        <v>5.0000000000000001E-3</v>
      </c>
      <c r="CA429" s="162">
        <f t="shared" si="185"/>
        <v>1.4999999999999999E-2</v>
      </c>
      <c r="CF429" s="31" t="s">
        <v>197</v>
      </c>
      <c r="CG429" s="168">
        <v>46174</v>
      </c>
      <c r="CH429" s="37">
        <v>0</v>
      </c>
      <c r="CI429" s="314">
        <f t="shared" si="200"/>
        <v>0</v>
      </c>
      <c r="CJ429" s="312">
        <f t="shared" si="186"/>
        <v>1</v>
      </c>
      <c r="CN429" s="315">
        <f t="shared" si="187"/>
        <v>46174</v>
      </c>
      <c r="CO429" s="312">
        <f t="shared" si="188"/>
        <v>1</v>
      </c>
      <c r="CQ429" s="315">
        <f t="shared" si="189"/>
        <v>46174</v>
      </c>
      <c r="CR429" s="316">
        <f t="shared" si="190"/>
        <v>3.4300000000000004E-2</v>
      </c>
      <c r="CW429"/>
    </row>
    <row r="430" spans="2:101" ht="20.25">
      <c r="B430" s="1"/>
      <c r="D430" s="1"/>
      <c r="M430" s="284"/>
      <c r="N430" s="284"/>
      <c r="O430" s="284"/>
      <c r="P430" s="159" t="str">
        <f t="shared" si="182"/>
        <v/>
      </c>
      <c r="Q430" s="292" t="str">
        <f t="shared" si="181"/>
        <v/>
      </c>
      <c r="BM430" s="31" t="s">
        <v>198</v>
      </c>
      <c r="BN430" s="159">
        <f t="shared" si="196"/>
        <v>46204</v>
      </c>
      <c r="BO430" s="162">
        <f t="shared" si="197"/>
        <v>1.709E-3</v>
      </c>
      <c r="BP430" s="278">
        <f t="shared" si="191"/>
        <v>1.709E-3</v>
      </c>
      <c r="BQ430" s="312">
        <f t="shared" si="183"/>
        <v>1.0051397803975797</v>
      </c>
      <c r="BS430" s="31" t="s">
        <v>43</v>
      </c>
      <c r="BT430" s="159">
        <f t="shared" si="193"/>
        <v>46204</v>
      </c>
      <c r="BU430" s="162">
        <f t="shared" si="194"/>
        <v>1.2200000000000001E-2</v>
      </c>
      <c r="BV430" s="311">
        <f t="shared" si="184"/>
        <v>2.3100000000000002E-2</v>
      </c>
      <c r="BX430" s="358" t="s">
        <v>242</v>
      </c>
      <c r="BY430" s="294">
        <f t="shared" si="198"/>
        <v>46204</v>
      </c>
      <c r="BZ430" s="357">
        <f t="shared" si="199"/>
        <v>5.0000000000000001E-3</v>
      </c>
      <c r="CA430" s="162">
        <f t="shared" si="185"/>
        <v>0.01</v>
      </c>
      <c r="CF430" s="31" t="s">
        <v>197</v>
      </c>
      <c r="CG430" s="168">
        <v>46204</v>
      </c>
      <c r="CH430" s="37">
        <v>0</v>
      </c>
      <c r="CI430" s="314">
        <f t="shared" si="200"/>
        <v>0</v>
      </c>
      <c r="CJ430" s="312">
        <f t="shared" si="186"/>
        <v>1</v>
      </c>
      <c r="CN430" s="315">
        <f t="shared" si="187"/>
        <v>46204</v>
      </c>
      <c r="CO430" s="312">
        <f t="shared" si="188"/>
        <v>1</v>
      </c>
      <c r="CQ430" s="315">
        <f t="shared" si="189"/>
        <v>46204</v>
      </c>
      <c r="CR430" s="316">
        <f t="shared" si="190"/>
        <v>2.3100000000000002E-2</v>
      </c>
      <c r="CW430" s="662" t="s">
        <v>547</v>
      </c>
    </row>
    <row r="431" spans="2:101">
      <c r="B431" s="1"/>
      <c r="D431" s="1"/>
      <c r="M431" s="284"/>
      <c r="N431" s="284"/>
      <c r="O431" s="284"/>
      <c r="P431" s="159" t="str">
        <f t="shared" si="182"/>
        <v/>
      </c>
      <c r="Q431" s="292" t="str">
        <f t="shared" si="181"/>
        <v/>
      </c>
      <c r="BM431" s="31" t="s">
        <v>198</v>
      </c>
      <c r="BN431" s="159">
        <f t="shared" si="196"/>
        <v>46235</v>
      </c>
      <c r="BO431" s="162">
        <f t="shared" si="197"/>
        <v>1.7290000000000001E-3</v>
      </c>
      <c r="BP431" s="278">
        <f t="shared" si="191"/>
        <v>1.7290000000000001E-3</v>
      </c>
      <c r="BQ431" s="312">
        <f t="shared" si="183"/>
        <v>1.0034249271969999</v>
      </c>
      <c r="BS431" s="31" t="s">
        <v>43</v>
      </c>
      <c r="BT431" s="159">
        <f t="shared" si="193"/>
        <v>46235</v>
      </c>
      <c r="BU431" s="162">
        <f t="shared" si="194"/>
        <v>1.09E-2</v>
      </c>
      <c r="BV431" s="311">
        <f t="shared" si="184"/>
        <v>1.09E-2</v>
      </c>
      <c r="BX431" s="358" t="s">
        <v>242</v>
      </c>
      <c r="BY431" s="294">
        <f t="shared" si="198"/>
        <v>46235</v>
      </c>
      <c r="BZ431" s="357">
        <f t="shared" si="199"/>
        <v>5.0000000000000001E-3</v>
      </c>
      <c r="CA431" s="162">
        <f t="shared" si="185"/>
        <v>5.0000000000000001E-3</v>
      </c>
      <c r="CF431" s="31" t="s">
        <v>197</v>
      </c>
      <c r="CG431" s="168">
        <v>46235</v>
      </c>
      <c r="CH431" s="37">
        <v>0</v>
      </c>
      <c r="CI431" s="314">
        <f t="shared" si="200"/>
        <v>0</v>
      </c>
      <c r="CJ431" s="312">
        <f t="shared" si="186"/>
        <v>1</v>
      </c>
      <c r="CN431" s="315">
        <f t="shared" si="187"/>
        <v>46235</v>
      </c>
      <c r="CO431" s="312">
        <f t="shared" si="188"/>
        <v>1</v>
      </c>
      <c r="CQ431" s="315">
        <f t="shared" si="189"/>
        <v>46235</v>
      </c>
      <c r="CR431" s="316">
        <f t="shared" si="190"/>
        <v>1.09E-2</v>
      </c>
      <c r="CW431"/>
    </row>
    <row r="432" spans="2:101">
      <c r="B432" s="1"/>
      <c r="D432" s="1"/>
      <c r="M432" s="284"/>
      <c r="N432" s="284"/>
      <c r="O432" s="284"/>
      <c r="P432" s="159" t="str">
        <f t="shared" si="182"/>
        <v/>
      </c>
      <c r="Q432" s="292" t="str">
        <f t="shared" si="181"/>
        <v/>
      </c>
      <c r="BM432" s="31" t="s">
        <v>198</v>
      </c>
      <c r="BN432" s="159">
        <f t="shared" si="196"/>
        <v>46266</v>
      </c>
      <c r="BO432" s="162">
        <f t="shared" si="197"/>
        <v>1.6930000000000001E-3</v>
      </c>
      <c r="BP432" s="278">
        <f t="shared" si="191"/>
        <v>1.6930000000000001E-3</v>
      </c>
      <c r="BQ432" s="312">
        <f t="shared" si="183"/>
        <v>1.0016929999999999</v>
      </c>
      <c r="BS432" s="31" t="s">
        <v>43</v>
      </c>
      <c r="BT432" s="159">
        <f t="shared" si="193"/>
        <v>46266</v>
      </c>
      <c r="BU432" s="162">
        <f t="shared" si="194"/>
        <v>0</v>
      </c>
      <c r="BV432" s="311">
        <f t="shared" si="184"/>
        <v>0</v>
      </c>
      <c r="BX432" s="358" t="s">
        <v>242</v>
      </c>
      <c r="BY432" s="294">
        <f t="shared" si="198"/>
        <v>46266</v>
      </c>
      <c r="BZ432" s="357">
        <f t="shared" si="199"/>
        <v>0</v>
      </c>
      <c r="CA432" s="162">
        <f t="shared" si="185"/>
        <v>0</v>
      </c>
      <c r="CF432" s="31" t="s">
        <v>197</v>
      </c>
      <c r="CG432" s="168">
        <v>46266</v>
      </c>
      <c r="CH432" s="37">
        <v>0</v>
      </c>
      <c r="CI432" s="314">
        <f t="shared" si="200"/>
        <v>0</v>
      </c>
      <c r="CJ432" s="312">
        <f t="shared" si="186"/>
        <v>1</v>
      </c>
      <c r="CN432" s="315">
        <f t="shared" si="187"/>
        <v>46266</v>
      </c>
      <c r="CO432" s="312">
        <f t="shared" si="188"/>
        <v>1</v>
      </c>
      <c r="CQ432" s="315">
        <f t="shared" si="189"/>
        <v>46266</v>
      </c>
      <c r="CR432" s="316">
        <f t="shared" si="190"/>
        <v>0</v>
      </c>
      <c r="CW432" s="663" t="s">
        <v>548</v>
      </c>
    </row>
    <row r="433" spans="2:101">
      <c r="B433" s="1"/>
      <c r="D433" s="1"/>
      <c r="M433" s="284"/>
      <c r="N433" s="284"/>
      <c r="O433" s="284"/>
      <c r="P433" s="159" t="str">
        <f t="shared" si="182"/>
        <v/>
      </c>
      <c r="Q433" s="292" t="str">
        <f t="shared" si="181"/>
        <v/>
      </c>
      <c r="BM433" s="31" t="s">
        <v>198</v>
      </c>
      <c r="BN433" s="159">
        <f t="shared" si="196"/>
        <v>46296</v>
      </c>
      <c r="BO433" s="162">
        <f t="shared" si="197"/>
        <v>0</v>
      </c>
      <c r="BP433" s="278">
        <f t="shared" si="191"/>
        <v>0</v>
      </c>
      <c r="BQ433" s="312">
        <f t="shared" si="183"/>
        <v>1</v>
      </c>
      <c r="BS433" s="31" t="s">
        <v>43</v>
      </c>
      <c r="BT433" s="159" t="str">
        <f t="shared" si="193"/>
        <v/>
      </c>
      <c r="BU433" s="162" t="str">
        <f t="shared" si="194"/>
        <v/>
      </c>
      <c r="BV433" s="311" t="str">
        <f t="shared" si="184"/>
        <v/>
      </c>
      <c r="BX433" s="358" t="s">
        <v>242</v>
      </c>
      <c r="BY433" s="294" t="str">
        <f t="shared" si="198"/>
        <v/>
      </c>
      <c r="BZ433" s="357" t="str">
        <f t="shared" si="199"/>
        <v/>
      </c>
      <c r="CA433" s="162" t="str">
        <f t="shared" si="185"/>
        <v/>
      </c>
      <c r="CF433" s="31" t="s">
        <v>197</v>
      </c>
      <c r="CG433" s="168">
        <v>46296</v>
      </c>
      <c r="CH433" s="37">
        <v>0</v>
      </c>
      <c r="CI433" s="314">
        <f t="shared" si="200"/>
        <v>0</v>
      </c>
      <c r="CJ433" s="312">
        <f t="shared" si="186"/>
        <v>1</v>
      </c>
      <c r="CN433" s="315">
        <f t="shared" si="187"/>
        <v>46296</v>
      </c>
      <c r="CO433" s="312">
        <f t="shared" si="188"/>
        <v>1</v>
      </c>
      <c r="CQ433" s="315" t="str">
        <f t="shared" si="189"/>
        <v/>
      </c>
      <c r="CR433" s="316" t="str">
        <f t="shared" si="190"/>
        <v/>
      </c>
      <c r="CW433" s="652" t="s">
        <v>549</v>
      </c>
    </row>
    <row r="434" spans="2:101">
      <c r="B434" s="1"/>
      <c r="D434" s="1"/>
      <c r="M434" s="284"/>
      <c r="N434" s="284"/>
      <c r="O434" s="284"/>
      <c r="P434" s="159" t="str">
        <f t="shared" si="182"/>
        <v/>
      </c>
      <c r="Q434" s="292" t="str">
        <f t="shared" si="181"/>
        <v/>
      </c>
      <c r="BM434" s="31" t="s">
        <v>198</v>
      </c>
      <c r="BN434" s="159" t="str">
        <f t="shared" si="196"/>
        <v/>
      </c>
      <c r="BO434" s="162" t="str">
        <f t="shared" si="197"/>
        <v/>
      </c>
      <c r="BP434" s="278" t="str">
        <f t="shared" si="191"/>
        <v/>
      </c>
      <c r="BQ434" s="312" t="str">
        <f t="shared" si="183"/>
        <v/>
      </c>
      <c r="BS434" s="31" t="s">
        <v>43</v>
      </c>
      <c r="BT434" s="159" t="str">
        <f t="shared" si="193"/>
        <v/>
      </c>
      <c r="BU434" s="162" t="str">
        <f t="shared" si="194"/>
        <v/>
      </c>
      <c r="BV434" s="311" t="str">
        <f t="shared" si="184"/>
        <v/>
      </c>
      <c r="BX434" s="358" t="s">
        <v>242</v>
      </c>
      <c r="BY434" s="294" t="str">
        <f t="shared" si="198"/>
        <v/>
      </c>
      <c r="BZ434" s="357" t="str">
        <f t="shared" si="199"/>
        <v/>
      </c>
      <c r="CA434" s="162" t="str">
        <f t="shared" si="185"/>
        <v/>
      </c>
      <c r="CF434" s="31" t="s">
        <v>197</v>
      </c>
      <c r="CG434" s="168">
        <v>46327</v>
      </c>
      <c r="CH434" s="37">
        <v>0</v>
      </c>
      <c r="CI434" s="314">
        <f t="shared" si="200"/>
        <v>0</v>
      </c>
      <c r="CJ434" s="312" t="str">
        <f t="shared" si="186"/>
        <v/>
      </c>
      <c r="CN434" s="315" t="str">
        <f t="shared" si="187"/>
        <v/>
      </c>
      <c r="CO434" s="312" t="str">
        <f t="shared" si="188"/>
        <v/>
      </c>
      <c r="CQ434" s="315" t="str">
        <f t="shared" si="189"/>
        <v/>
      </c>
      <c r="CR434" s="316" t="str">
        <f t="shared" si="190"/>
        <v/>
      </c>
      <c r="CW434"/>
    </row>
    <row r="435" spans="2:101" ht="23.25">
      <c r="B435" s="1"/>
      <c r="D435" s="1"/>
      <c r="M435" s="284"/>
      <c r="N435" s="284"/>
      <c r="O435" s="284"/>
      <c r="P435" s="159" t="str">
        <f t="shared" si="182"/>
        <v/>
      </c>
      <c r="Q435" s="292" t="str">
        <f t="shared" si="181"/>
        <v/>
      </c>
      <c r="BM435" s="31" t="s">
        <v>198</v>
      </c>
      <c r="BN435" s="159" t="str">
        <f t="shared" si="196"/>
        <v/>
      </c>
      <c r="BO435" s="162" t="str">
        <f t="shared" si="197"/>
        <v/>
      </c>
      <c r="BP435" s="278" t="str">
        <f t="shared" si="191"/>
        <v/>
      </c>
      <c r="BQ435" s="312" t="str">
        <f t="shared" si="183"/>
        <v/>
      </c>
      <c r="BS435" s="31" t="s">
        <v>43</v>
      </c>
      <c r="BT435" s="159" t="str">
        <f t="shared" si="193"/>
        <v/>
      </c>
      <c r="BU435" s="162" t="str">
        <f t="shared" si="194"/>
        <v/>
      </c>
      <c r="BV435" s="311" t="str">
        <f t="shared" si="184"/>
        <v/>
      </c>
      <c r="BX435" s="358" t="s">
        <v>242</v>
      </c>
      <c r="BY435" s="294" t="str">
        <f t="shared" si="198"/>
        <v/>
      </c>
      <c r="BZ435" s="357" t="str">
        <f t="shared" si="199"/>
        <v/>
      </c>
      <c r="CA435" s="162" t="str">
        <f t="shared" si="185"/>
        <v/>
      </c>
      <c r="CF435" s="31" t="s">
        <v>197</v>
      </c>
      <c r="CG435" s="168">
        <v>46357</v>
      </c>
      <c r="CH435" s="37">
        <v>0</v>
      </c>
      <c r="CI435" s="314">
        <f t="shared" si="200"/>
        <v>0</v>
      </c>
      <c r="CJ435" s="312" t="str">
        <f t="shared" si="186"/>
        <v/>
      </c>
      <c r="CN435" s="315" t="str">
        <f t="shared" si="187"/>
        <v/>
      </c>
      <c r="CO435" s="312" t="str">
        <f t="shared" si="188"/>
        <v/>
      </c>
      <c r="CQ435" s="315" t="str">
        <f t="shared" si="189"/>
        <v/>
      </c>
      <c r="CR435" s="316" t="str">
        <f t="shared" si="190"/>
        <v/>
      </c>
      <c r="CW435" s="654" t="s">
        <v>550</v>
      </c>
    </row>
    <row r="436" spans="2:101">
      <c r="B436" s="1"/>
      <c r="D436" s="1"/>
      <c r="M436" s="284"/>
      <c r="N436" s="284"/>
      <c r="O436" s="284"/>
      <c r="P436" s="159" t="str">
        <f t="shared" si="182"/>
        <v/>
      </c>
      <c r="Q436" s="292" t="str">
        <f t="shared" si="181"/>
        <v/>
      </c>
      <c r="BM436" s="31" t="s">
        <v>198</v>
      </c>
      <c r="BN436" s="159" t="str">
        <f t="shared" si="196"/>
        <v/>
      </c>
      <c r="BO436" s="162" t="str">
        <f t="shared" si="197"/>
        <v/>
      </c>
      <c r="BP436" s="278" t="str">
        <f t="shared" si="191"/>
        <v/>
      </c>
      <c r="BQ436" s="312" t="str">
        <f t="shared" si="183"/>
        <v/>
      </c>
      <c r="BS436" s="31" t="s">
        <v>43</v>
      </c>
      <c r="BT436" s="159" t="str">
        <f t="shared" si="193"/>
        <v/>
      </c>
      <c r="BU436" s="162" t="str">
        <f t="shared" si="194"/>
        <v/>
      </c>
      <c r="BV436" s="311" t="str">
        <f t="shared" si="184"/>
        <v/>
      </c>
      <c r="BX436" s="358" t="s">
        <v>242</v>
      </c>
      <c r="BY436" s="294" t="str">
        <f t="shared" si="198"/>
        <v/>
      </c>
      <c r="BZ436" s="357" t="str">
        <f t="shared" si="199"/>
        <v/>
      </c>
      <c r="CA436" s="162" t="str">
        <f t="shared" si="185"/>
        <v/>
      </c>
      <c r="CF436" s="31" t="s">
        <v>197</v>
      </c>
      <c r="CG436" s="168">
        <v>46388</v>
      </c>
      <c r="CH436" s="37">
        <v>0</v>
      </c>
      <c r="CI436" s="314">
        <f t="shared" si="200"/>
        <v>0</v>
      </c>
      <c r="CJ436" s="312" t="str">
        <f t="shared" si="186"/>
        <v/>
      </c>
      <c r="CN436" s="315" t="str">
        <f t="shared" si="187"/>
        <v/>
      </c>
      <c r="CO436" s="312" t="str">
        <f t="shared" si="188"/>
        <v/>
      </c>
      <c r="CQ436" s="315" t="str">
        <f t="shared" si="189"/>
        <v/>
      </c>
      <c r="CR436" s="316" t="str">
        <f t="shared" si="190"/>
        <v/>
      </c>
      <c r="CW436"/>
    </row>
    <row r="437" spans="2:101">
      <c r="B437" s="1"/>
      <c r="D437" s="1"/>
      <c r="M437" s="284"/>
      <c r="N437" s="284"/>
      <c r="O437" s="284"/>
      <c r="P437" s="159" t="str">
        <f t="shared" si="182"/>
        <v/>
      </c>
      <c r="Q437" s="292" t="str">
        <f t="shared" si="181"/>
        <v/>
      </c>
      <c r="BM437" s="31" t="s">
        <v>198</v>
      </c>
      <c r="BN437" s="159" t="str">
        <f t="shared" si="196"/>
        <v/>
      </c>
      <c r="BO437" s="162" t="str">
        <f t="shared" si="197"/>
        <v/>
      </c>
      <c r="BP437" s="278" t="str">
        <f t="shared" si="191"/>
        <v/>
      </c>
      <c r="BQ437" s="312" t="str">
        <f t="shared" si="183"/>
        <v/>
      </c>
      <c r="BS437" s="31" t="s">
        <v>43</v>
      </c>
      <c r="BT437" s="159" t="str">
        <f t="shared" si="193"/>
        <v/>
      </c>
      <c r="BU437" s="162" t="str">
        <f t="shared" si="194"/>
        <v/>
      </c>
      <c r="BV437" s="311" t="str">
        <f t="shared" si="184"/>
        <v/>
      </c>
      <c r="BX437" s="358" t="s">
        <v>242</v>
      </c>
      <c r="BY437" s="294" t="str">
        <f t="shared" si="198"/>
        <v/>
      </c>
      <c r="BZ437" s="357" t="str">
        <f t="shared" si="199"/>
        <v/>
      </c>
      <c r="CA437" s="162" t="str">
        <f t="shared" si="185"/>
        <v/>
      </c>
      <c r="CF437" s="31" t="s">
        <v>197</v>
      </c>
      <c r="CG437" s="168">
        <v>46419</v>
      </c>
      <c r="CH437" s="37">
        <v>0</v>
      </c>
      <c r="CI437" s="314">
        <f t="shared" si="200"/>
        <v>0</v>
      </c>
      <c r="CJ437" s="312" t="str">
        <f t="shared" si="186"/>
        <v/>
      </c>
      <c r="CN437" s="315" t="str">
        <f t="shared" si="187"/>
        <v/>
      </c>
      <c r="CO437" s="312" t="str">
        <f t="shared" si="188"/>
        <v/>
      </c>
      <c r="CQ437" s="315" t="str">
        <f t="shared" si="189"/>
        <v/>
      </c>
      <c r="CR437" s="316" t="str">
        <f t="shared" si="190"/>
        <v/>
      </c>
      <c r="CW437" s="650" t="s">
        <v>501</v>
      </c>
    </row>
    <row r="438" spans="2:101">
      <c r="B438" s="1"/>
      <c r="D438" s="1"/>
      <c r="M438" s="284"/>
      <c r="N438" s="284"/>
      <c r="O438" s="284"/>
      <c r="P438" s="159" t="str">
        <f t="shared" si="182"/>
        <v/>
      </c>
      <c r="Q438" s="292" t="str">
        <f t="shared" si="181"/>
        <v/>
      </c>
      <c r="BM438" s="31" t="s">
        <v>198</v>
      </c>
      <c r="BN438" s="159" t="str">
        <f t="shared" si="196"/>
        <v/>
      </c>
      <c r="BO438" s="162" t="str">
        <f t="shared" si="197"/>
        <v/>
      </c>
      <c r="BP438" s="278" t="str">
        <f t="shared" si="191"/>
        <v/>
      </c>
      <c r="BQ438" s="312" t="str">
        <f t="shared" si="183"/>
        <v/>
      </c>
      <c r="BS438" s="31" t="s">
        <v>43</v>
      </c>
      <c r="BT438" s="159" t="str">
        <f t="shared" si="193"/>
        <v/>
      </c>
      <c r="BU438" s="162" t="str">
        <f t="shared" si="194"/>
        <v/>
      </c>
      <c r="BV438" s="311" t="str">
        <f t="shared" si="184"/>
        <v/>
      </c>
      <c r="BX438" s="358" t="s">
        <v>242</v>
      </c>
      <c r="BY438" s="294" t="str">
        <f t="shared" si="198"/>
        <v/>
      </c>
      <c r="BZ438" s="357" t="str">
        <f t="shared" si="199"/>
        <v/>
      </c>
      <c r="CA438" s="162" t="str">
        <f t="shared" si="185"/>
        <v/>
      </c>
      <c r="CF438" s="31" t="s">
        <v>197</v>
      </c>
      <c r="CG438" s="168">
        <v>46447</v>
      </c>
      <c r="CH438" s="37">
        <v>0</v>
      </c>
      <c r="CI438" s="314">
        <f t="shared" si="200"/>
        <v>0</v>
      </c>
      <c r="CJ438" s="312" t="str">
        <f t="shared" si="186"/>
        <v/>
      </c>
      <c r="CN438" s="315" t="str">
        <f t="shared" si="187"/>
        <v/>
      </c>
      <c r="CO438" s="312" t="str">
        <f t="shared" si="188"/>
        <v/>
      </c>
      <c r="CQ438" s="315" t="str">
        <f t="shared" si="189"/>
        <v/>
      </c>
      <c r="CR438" s="316" t="str">
        <f t="shared" si="190"/>
        <v/>
      </c>
      <c r="CW438"/>
    </row>
    <row r="439" spans="2:101" ht="20.25">
      <c r="B439" s="1"/>
      <c r="D439" s="1"/>
      <c r="M439" s="284"/>
      <c r="N439" s="284"/>
      <c r="O439" s="284"/>
      <c r="P439" s="159" t="str">
        <f t="shared" si="182"/>
        <v/>
      </c>
      <c r="Q439" s="292" t="str">
        <f t="shared" si="181"/>
        <v/>
      </c>
      <c r="BM439" s="31" t="s">
        <v>198</v>
      </c>
      <c r="BN439" s="159" t="str">
        <f t="shared" si="196"/>
        <v/>
      </c>
      <c r="BO439" s="162" t="str">
        <f t="shared" si="197"/>
        <v/>
      </c>
      <c r="BP439" s="278" t="str">
        <f t="shared" si="191"/>
        <v/>
      </c>
      <c r="BQ439" s="312" t="str">
        <f t="shared" si="183"/>
        <v/>
      </c>
      <c r="BS439" s="31" t="s">
        <v>43</v>
      </c>
      <c r="BT439" s="159" t="str">
        <f t="shared" si="193"/>
        <v/>
      </c>
      <c r="BU439" s="162" t="str">
        <f t="shared" si="194"/>
        <v/>
      </c>
      <c r="BV439" s="311" t="str">
        <f t="shared" si="184"/>
        <v/>
      </c>
      <c r="BX439" s="358" t="s">
        <v>242</v>
      </c>
      <c r="BY439" s="294" t="str">
        <f t="shared" si="198"/>
        <v/>
      </c>
      <c r="BZ439" s="357" t="str">
        <f t="shared" si="199"/>
        <v/>
      </c>
      <c r="CA439" s="162" t="str">
        <f t="shared" si="185"/>
        <v/>
      </c>
      <c r="CF439" s="31" t="s">
        <v>197</v>
      </c>
      <c r="CG439" s="168">
        <v>46478</v>
      </c>
      <c r="CH439" s="37">
        <v>0</v>
      </c>
      <c r="CI439" s="314">
        <f t="shared" si="200"/>
        <v>0</v>
      </c>
      <c r="CJ439" s="312" t="str">
        <f t="shared" si="186"/>
        <v/>
      </c>
      <c r="CN439" s="315" t="str">
        <f t="shared" si="187"/>
        <v/>
      </c>
      <c r="CO439" s="312" t="str">
        <f t="shared" si="188"/>
        <v/>
      </c>
      <c r="CQ439" s="315" t="str">
        <f t="shared" si="189"/>
        <v/>
      </c>
      <c r="CR439" s="316" t="str">
        <f t="shared" si="190"/>
        <v/>
      </c>
      <c r="CW439" s="662" t="s">
        <v>504</v>
      </c>
    </row>
    <row r="440" spans="2:101">
      <c r="B440" s="1"/>
      <c r="D440" s="1"/>
      <c r="M440" s="284"/>
      <c r="N440" s="284"/>
      <c r="O440" s="284"/>
      <c r="P440" s="159" t="str">
        <f t="shared" si="182"/>
        <v/>
      </c>
      <c r="Q440" s="292" t="str">
        <f t="shared" si="181"/>
        <v/>
      </c>
      <c r="BM440" s="31" t="s">
        <v>198</v>
      </c>
      <c r="BN440" s="159" t="str">
        <f t="shared" si="196"/>
        <v/>
      </c>
      <c r="BO440" s="162" t="str">
        <f t="shared" si="197"/>
        <v/>
      </c>
      <c r="BP440" s="278" t="str">
        <f t="shared" si="191"/>
        <v/>
      </c>
      <c r="BQ440" s="312" t="str">
        <f t="shared" si="183"/>
        <v/>
      </c>
      <c r="BS440" s="31" t="s">
        <v>43</v>
      </c>
      <c r="BT440" s="159" t="str">
        <f t="shared" si="193"/>
        <v/>
      </c>
      <c r="BU440" s="162" t="str">
        <f t="shared" si="194"/>
        <v/>
      </c>
      <c r="BV440" s="311" t="str">
        <f t="shared" si="184"/>
        <v/>
      </c>
      <c r="BX440" s="358" t="s">
        <v>242</v>
      </c>
      <c r="BY440" s="294" t="str">
        <f t="shared" si="198"/>
        <v/>
      </c>
      <c r="BZ440" s="357" t="str">
        <f t="shared" si="199"/>
        <v/>
      </c>
      <c r="CA440" s="162" t="str">
        <f t="shared" si="185"/>
        <v/>
      </c>
      <c r="CF440" s="31" t="s">
        <v>197</v>
      </c>
      <c r="CG440" s="168">
        <v>46508</v>
      </c>
      <c r="CH440" s="37">
        <v>0</v>
      </c>
      <c r="CI440" s="314">
        <f t="shared" si="200"/>
        <v>0</v>
      </c>
      <c r="CJ440" s="312" t="str">
        <f t="shared" si="186"/>
        <v/>
      </c>
      <c r="CN440" s="315" t="str">
        <f t="shared" si="187"/>
        <v/>
      </c>
      <c r="CO440" s="312" t="str">
        <f t="shared" si="188"/>
        <v/>
      </c>
      <c r="CQ440" s="315" t="str">
        <f t="shared" ref="CQ440:CQ485" si="201">+IF(BT440="","",BT440)</f>
        <v/>
      </c>
      <c r="CR440" s="316" t="str">
        <f t="shared" si="190"/>
        <v/>
      </c>
      <c r="CW440"/>
    </row>
    <row r="441" spans="2:101">
      <c r="B441" s="1"/>
      <c r="D441" s="1"/>
      <c r="M441" s="284"/>
      <c r="N441" s="284"/>
      <c r="O441" s="284"/>
      <c r="P441" s="159" t="str">
        <f t="shared" si="182"/>
        <v/>
      </c>
      <c r="Q441" s="292" t="str">
        <f t="shared" si="181"/>
        <v/>
      </c>
      <c r="BM441" s="31" t="s">
        <v>198</v>
      </c>
      <c r="BN441" s="159" t="str">
        <f t="shared" si="196"/>
        <v/>
      </c>
      <c r="BO441" s="162" t="str">
        <f t="shared" si="197"/>
        <v/>
      </c>
      <c r="BP441" s="278" t="str">
        <f t="shared" si="191"/>
        <v/>
      </c>
      <c r="BQ441" s="312" t="str">
        <f t="shared" si="183"/>
        <v/>
      </c>
      <c r="BS441" s="31" t="s">
        <v>43</v>
      </c>
      <c r="BT441" s="159" t="str">
        <f t="shared" si="193"/>
        <v/>
      </c>
      <c r="BU441" s="162" t="str">
        <f t="shared" si="194"/>
        <v/>
      </c>
      <c r="BV441" s="311" t="str">
        <f t="shared" si="184"/>
        <v/>
      </c>
      <c r="BX441" s="358" t="s">
        <v>242</v>
      </c>
      <c r="BY441" s="294" t="str">
        <f t="shared" si="198"/>
        <v/>
      </c>
      <c r="BZ441" s="357" t="str">
        <f t="shared" si="199"/>
        <v/>
      </c>
      <c r="CA441" s="162" t="str">
        <f t="shared" si="185"/>
        <v/>
      </c>
      <c r="CF441" s="31" t="s">
        <v>197</v>
      </c>
      <c r="CG441" s="168">
        <v>46539</v>
      </c>
      <c r="CH441" s="37">
        <v>0</v>
      </c>
      <c r="CI441" s="314">
        <f t="shared" si="200"/>
        <v>0</v>
      </c>
      <c r="CJ441" s="312" t="str">
        <f t="shared" si="186"/>
        <v/>
      </c>
      <c r="CN441" s="315" t="str">
        <f t="shared" si="187"/>
        <v/>
      </c>
      <c r="CO441" s="312" t="str">
        <f t="shared" si="188"/>
        <v/>
      </c>
      <c r="CQ441" s="315" t="str">
        <f t="shared" si="201"/>
        <v/>
      </c>
      <c r="CR441" s="316" t="str">
        <f t="shared" si="190"/>
        <v/>
      </c>
      <c r="CW441" s="652" t="s">
        <v>551</v>
      </c>
    </row>
    <row r="442" spans="2:101">
      <c r="B442" s="1"/>
      <c r="D442" s="1"/>
      <c r="M442" s="284"/>
      <c r="N442" s="284"/>
      <c r="O442" s="284"/>
      <c r="P442" s="159" t="str">
        <f t="shared" si="182"/>
        <v/>
      </c>
      <c r="Q442" s="292" t="str">
        <f t="shared" si="181"/>
        <v/>
      </c>
      <c r="BM442" s="31" t="s">
        <v>198</v>
      </c>
      <c r="BN442" s="159" t="str">
        <f t="shared" si="196"/>
        <v/>
      </c>
      <c r="BO442" s="162" t="str">
        <f t="shared" si="197"/>
        <v/>
      </c>
      <c r="BP442" s="278" t="str">
        <f t="shared" si="191"/>
        <v/>
      </c>
      <c r="BQ442" s="312" t="str">
        <f t="shared" si="183"/>
        <v/>
      </c>
      <c r="BS442" s="31" t="s">
        <v>43</v>
      </c>
      <c r="BT442" s="159" t="str">
        <f t="shared" si="193"/>
        <v/>
      </c>
      <c r="BU442" s="162" t="str">
        <f t="shared" si="194"/>
        <v/>
      </c>
      <c r="BV442" s="311" t="str">
        <f t="shared" si="184"/>
        <v/>
      </c>
      <c r="BX442" s="358" t="s">
        <v>242</v>
      </c>
      <c r="BY442" s="294" t="str">
        <f t="shared" si="198"/>
        <v/>
      </c>
      <c r="BZ442" s="357" t="str">
        <f t="shared" si="199"/>
        <v/>
      </c>
      <c r="CA442" s="162" t="str">
        <f t="shared" si="185"/>
        <v/>
      </c>
      <c r="CF442" s="31" t="s">
        <v>197</v>
      </c>
      <c r="CG442" s="168">
        <v>46569</v>
      </c>
      <c r="CH442" s="37">
        <v>0</v>
      </c>
      <c r="CI442" s="314">
        <f t="shared" si="200"/>
        <v>0</v>
      </c>
      <c r="CJ442" s="312" t="str">
        <f t="shared" si="186"/>
        <v/>
      </c>
      <c r="CN442" s="315" t="str">
        <f t="shared" si="187"/>
        <v/>
      </c>
      <c r="CO442" s="312" t="str">
        <f t="shared" si="188"/>
        <v/>
      </c>
      <c r="CQ442" s="315" t="str">
        <f t="shared" si="201"/>
        <v/>
      </c>
      <c r="CR442" s="316" t="str">
        <f t="shared" si="190"/>
        <v/>
      </c>
      <c r="CW442"/>
    </row>
    <row r="443" spans="2:101">
      <c r="B443" s="1"/>
      <c r="D443" s="1"/>
      <c r="M443" s="284"/>
      <c r="N443" s="284"/>
      <c r="O443" s="284"/>
      <c r="P443" s="159" t="str">
        <f t="shared" si="182"/>
        <v/>
      </c>
      <c r="Q443" s="292" t="str">
        <f t="shared" si="181"/>
        <v/>
      </c>
      <c r="BM443" s="31" t="s">
        <v>198</v>
      </c>
      <c r="BN443" s="159" t="str">
        <f t="shared" si="196"/>
        <v/>
      </c>
      <c r="BO443" s="162" t="str">
        <f t="shared" si="197"/>
        <v/>
      </c>
      <c r="BP443" s="278" t="str">
        <f t="shared" si="191"/>
        <v/>
      </c>
      <c r="BQ443" s="312" t="str">
        <f t="shared" si="183"/>
        <v/>
      </c>
      <c r="BS443" s="31" t="s">
        <v>43</v>
      </c>
      <c r="BT443" s="159" t="str">
        <f t="shared" si="193"/>
        <v/>
      </c>
      <c r="BU443" s="162" t="str">
        <f t="shared" si="194"/>
        <v/>
      </c>
      <c r="BV443" s="311" t="str">
        <f t="shared" si="184"/>
        <v/>
      </c>
      <c r="BX443" s="358" t="s">
        <v>242</v>
      </c>
      <c r="BY443" s="294" t="str">
        <f t="shared" si="198"/>
        <v/>
      </c>
      <c r="BZ443" s="357" t="str">
        <f t="shared" si="199"/>
        <v/>
      </c>
      <c r="CA443" s="162" t="str">
        <f t="shared" si="185"/>
        <v/>
      </c>
      <c r="CF443" s="31" t="s">
        <v>197</v>
      </c>
      <c r="CG443" s="168">
        <v>46600</v>
      </c>
      <c r="CH443" s="37">
        <v>0</v>
      </c>
      <c r="CI443" s="314">
        <f t="shared" si="200"/>
        <v>0</v>
      </c>
      <c r="CJ443" s="312" t="str">
        <f t="shared" si="186"/>
        <v/>
      </c>
      <c r="CN443" s="315" t="str">
        <f t="shared" si="187"/>
        <v/>
      </c>
      <c r="CO443" s="312" t="str">
        <f t="shared" si="188"/>
        <v/>
      </c>
      <c r="CQ443" s="315" t="str">
        <f t="shared" si="201"/>
        <v/>
      </c>
      <c r="CR443" s="316" t="str">
        <f t="shared" si="190"/>
        <v/>
      </c>
      <c r="CW443" s="652" t="s">
        <v>552</v>
      </c>
    </row>
    <row r="444" spans="2:101">
      <c r="B444" s="1"/>
      <c r="D444" s="1"/>
      <c r="M444" s="284"/>
      <c r="N444" s="284"/>
      <c r="O444" s="284"/>
      <c r="P444" s="159" t="str">
        <f t="shared" si="182"/>
        <v/>
      </c>
      <c r="Q444" s="292" t="str">
        <f t="shared" si="181"/>
        <v/>
      </c>
      <c r="BM444" s="31" t="s">
        <v>198</v>
      </c>
      <c r="BN444" s="159" t="str">
        <f t="shared" si="196"/>
        <v/>
      </c>
      <c r="BO444" s="162" t="str">
        <f t="shared" si="197"/>
        <v/>
      </c>
      <c r="BP444" s="278" t="str">
        <f t="shared" si="191"/>
        <v/>
      </c>
      <c r="BQ444" s="312" t="str">
        <f t="shared" si="183"/>
        <v/>
      </c>
      <c r="BS444" s="31" t="s">
        <v>43</v>
      </c>
      <c r="BT444" s="159" t="str">
        <f t="shared" si="193"/>
        <v/>
      </c>
      <c r="BU444" s="162" t="str">
        <f t="shared" si="194"/>
        <v/>
      </c>
      <c r="BV444" s="311" t="str">
        <f t="shared" si="184"/>
        <v/>
      </c>
      <c r="BX444" s="358" t="s">
        <v>242</v>
      </c>
      <c r="BY444" s="294" t="str">
        <f t="shared" si="198"/>
        <v/>
      </c>
      <c r="BZ444" s="357" t="str">
        <f t="shared" si="199"/>
        <v/>
      </c>
      <c r="CA444" s="162" t="str">
        <f t="shared" si="185"/>
        <v/>
      </c>
      <c r="CF444" s="31" t="s">
        <v>197</v>
      </c>
      <c r="CG444" s="168">
        <v>46631</v>
      </c>
      <c r="CH444" s="37">
        <v>0</v>
      </c>
      <c r="CI444" s="314">
        <f t="shared" si="200"/>
        <v>0</v>
      </c>
      <c r="CJ444" s="312" t="str">
        <f t="shared" si="186"/>
        <v/>
      </c>
      <c r="CN444" s="315" t="str">
        <f t="shared" si="187"/>
        <v/>
      </c>
      <c r="CO444" s="312" t="str">
        <f t="shared" si="188"/>
        <v/>
      </c>
      <c r="CQ444" s="315" t="str">
        <f t="shared" si="201"/>
        <v/>
      </c>
      <c r="CR444" s="316" t="str">
        <f t="shared" si="190"/>
        <v/>
      </c>
      <c r="CW444"/>
    </row>
    <row r="445" spans="2:101">
      <c r="B445" s="1"/>
      <c r="D445" s="1"/>
      <c r="M445" s="284"/>
      <c r="N445" s="284"/>
      <c r="O445" s="284"/>
      <c r="P445" s="159" t="str">
        <f t="shared" si="182"/>
        <v/>
      </c>
      <c r="Q445" s="292" t="str">
        <f t="shared" si="181"/>
        <v/>
      </c>
      <c r="BM445" s="31" t="s">
        <v>198</v>
      </c>
      <c r="BN445" s="159" t="str">
        <f t="shared" si="196"/>
        <v/>
      </c>
      <c r="BO445" s="162" t="str">
        <f t="shared" si="197"/>
        <v/>
      </c>
      <c r="BP445" s="278" t="str">
        <f t="shared" si="191"/>
        <v/>
      </c>
      <c r="BQ445" s="312" t="str">
        <f t="shared" si="183"/>
        <v/>
      </c>
      <c r="BX445" s="358" t="s">
        <v>242</v>
      </c>
      <c r="BY445" s="294" t="str">
        <f t="shared" si="198"/>
        <v/>
      </c>
      <c r="BZ445" s="357" t="str">
        <f t="shared" si="199"/>
        <v/>
      </c>
      <c r="CA445" s="162" t="str">
        <f t="shared" si="185"/>
        <v/>
      </c>
      <c r="CF445" s="31" t="s">
        <v>197</v>
      </c>
      <c r="CG445" s="168">
        <v>46661</v>
      </c>
      <c r="CH445" s="37">
        <v>0</v>
      </c>
      <c r="CI445" s="314">
        <f t="shared" si="200"/>
        <v>0</v>
      </c>
      <c r="CJ445" s="312" t="str">
        <f t="shared" si="186"/>
        <v/>
      </c>
      <c r="CN445" s="315" t="str">
        <f t="shared" si="187"/>
        <v/>
      </c>
      <c r="CO445" s="312" t="str">
        <f t="shared" si="188"/>
        <v/>
      </c>
      <c r="CQ445" s="315" t="str">
        <f t="shared" si="201"/>
        <v/>
      </c>
      <c r="CR445" s="316" t="str">
        <f t="shared" si="190"/>
        <v/>
      </c>
      <c r="CW445" s="652" t="s">
        <v>553</v>
      </c>
    </row>
    <row r="446" spans="2:101">
      <c r="B446" s="1"/>
      <c r="D446" s="1"/>
      <c r="M446" s="284"/>
      <c r="N446" s="284"/>
      <c r="O446" s="284"/>
      <c r="P446" s="159" t="str">
        <f t="shared" si="182"/>
        <v/>
      </c>
      <c r="Q446" s="292" t="str">
        <f t="shared" si="181"/>
        <v/>
      </c>
      <c r="BM446" s="31" t="s">
        <v>198</v>
      </c>
      <c r="BN446" s="159" t="str">
        <f t="shared" si="196"/>
        <v/>
      </c>
      <c r="BO446" s="162" t="str">
        <f t="shared" si="197"/>
        <v/>
      </c>
      <c r="BP446" s="278" t="str">
        <f t="shared" si="191"/>
        <v/>
      </c>
      <c r="BQ446" s="312" t="str">
        <f t="shared" si="183"/>
        <v/>
      </c>
      <c r="BX446" s="358" t="s">
        <v>242</v>
      </c>
      <c r="BY446" s="294" t="str">
        <f t="shared" si="198"/>
        <v/>
      </c>
      <c r="BZ446" s="357" t="str">
        <f t="shared" si="199"/>
        <v/>
      </c>
      <c r="CA446" s="162" t="str">
        <f t="shared" si="185"/>
        <v/>
      </c>
      <c r="CF446" s="31" t="s">
        <v>197</v>
      </c>
      <c r="CG446" s="168">
        <v>46692</v>
      </c>
      <c r="CH446" s="37">
        <v>0</v>
      </c>
      <c r="CI446" s="314">
        <f t="shared" si="200"/>
        <v>0</v>
      </c>
      <c r="CJ446" s="312" t="str">
        <f t="shared" si="186"/>
        <v/>
      </c>
      <c r="CN446" s="315" t="str">
        <f t="shared" si="187"/>
        <v/>
      </c>
      <c r="CO446" s="312" t="str">
        <f t="shared" si="188"/>
        <v/>
      </c>
      <c r="CQ446" s="315" t="str">
        <f t="shared" si="201"/>
        <v/>
      </c>
      <c r="CR446" s="316" t="str">
        <f t="shared" si="190"/>
        <v/>
      </c>
      <c r="CW446"/>
    </row>
    <row r="447" spans="2:101">
      <c r="B447" s="1"/>
      <c r="D447" s="1"/>
      <c r="M447" s="284"/>
      <c r="N447" s="284"/>
      <c r="O447" s="284"/>
      <c r="P447" s="159" t="str">
        <f t="shared" si="182"/>
        <v/>
      </c>
      <c r="Q447" s="292" t="str">
        <f t="shared" si="181"/>
        <v/>
      </c>
      <c r="BM447" s="31" t="s">
        <v>198</v>
      </c>
      <c r="BN447" s="159" t="str">
        <f t="shared" si="196"/>
        <v/>
      </c>
      <c r="BO447" s="162" t="str">
        <f t="shared" si="197"/>
        <v/>
      </c>
      <c r="BP447" s="278" t="str">
        <f t="shared" si="191"/>
        <v/>
      </c>
      <c r="BQ447" s="312" t="str">
        <f t="shared" si="183"/>
        <v/>
      </c>
      <c r="BX447" s="358" t="s">
        <v>242</v>
      </c>
      <c r="BY447" s="294" t="str">
        <f t="shared" si="198"/>
        <v/>
      </c>
      <c r="BZ447" s="357" t="str">
        <f t="shared" si="199"/>
        <v/>
      </c>
      <c r="CA447" s="162" t="str">
        <f t="shared" si="185"/>
        <v/>
      </c>
      <c r="CF447" s="31" t="s">
        <v>197</v>
      </c>
      <c r="CG447" s="168">
        <v>46722</v>
      </c>
      <c r="CH447" s="37">
        <v>0</v>
      </c>
      <c r="CI447" s="314">
        <f t="shared" si="200"/>
        <v>0</v>
      </c>
      <c r="CJ447" s="312" t="str">
        <f t="shared" si="186"/>
        <v/>
      </c>
      <c r="CN447" s="315" t="str">
        <f t="shared" si="187"/>
        <v/>
      </c>
      <c r="CO447" s="312" t="str">
        <f t="shared" si="188"/>
        <v/>
      </c>
      <c r="CQ447" s="315" t="str">
        <f t="shared" si="201"/>
        <v/>
      </c>
      <c r="CR447" s="316" t="str">
        <f t="shared" si="190"/>
        <v/>
      </c>
      <c r="CW447" s="652" t="s">
        <v>554</v>
      </c>
    </row>
    <row r="448" spans="2:101">
      <c r="B448" s="1"/>
      <c r="D448" s="1"/>
      <c r="M448" s="284"/>
      <c r="N448" s="284"/>
      <c r="O448" s="284"/>
      <c r="P448" s="159" t="str">
        <f t="shared" si="182"/>
        <v/>
      </c>
      <c r="Q448" s="292" t="str">
        <f t="shared" si="181"/>
        <v/>
      </c>
      <c r="BM448" s="31" t="s">
        <v>198</v>
      </c>
      <c r="BN448" s="159" t="str">
        <f t="shared" si="196"/>
        <v/>
      </c>
      <c r="BO448" s="162" t="str">
        <f t="shared" si="197"/>
        <v/>
      </c>
      <c r="BP448" s="278" t="str">
        <f t="shared" si="191"/>
        <v/>
      </c>
      <c r="BQ448" s="312" t="str">
        <f t="shared" si="183"/>
        <v/>
      </c>
      <c r="BX448" s="358" t="s">
        <v>242</v>
      </c>
      <c r="BY448" s="294" t="str">
        <f t="shared" si="198"/>
        <v/>
      </c>
      <c r="BZ448" s="357" t="str">
        <f t="shared" si="199"/>
        <v/>
      </c>
      <c r="CA448" s="162" t="str">
        <f t="shared" si="185"/>
        <v/>
      </c>
      <c r="CF448" s="31" t="s">
        <v>197</v>
      </c>
      <c r="CG448" s="168">
        <v>46753</v>
      </c>
      <c r="CH448" s="37">
        <v>0</v>
      </c>
      <c r="CI448" s="314">
        <f t="shared" si="200"/>
        <v>0</v>
      </c>
      <c r="CJ448" s="312" t="str">
        <f t="shared" si="186"/>
        <v/>
      </c>
      <c r="CN448" s="315" t="str">
        <f t="shared" si="187"/>
        <v/>
      </c>
      <c r="CO448" s="312" t="str">
        <f t="shared" si="188"/>
        <v/>
      </c>
      <c r="CQ448" s="315" t="str">
        <f t="shared" si="201"/>
        <v/>
      </c>
      <c r="CR448" s="316" t="str">
        <f t="shared" si="190"/>
        <v/>
      </c>
      <c r="CW448"/>
    </row>
    <row r="449" spans="2:101">
      <c r="B449" s="1"/>
      <c r="D449" s="1"/>
      <c r="M449" s="636"/>
      <c r="N449" s="637"/>
      <c r="O449" s="637"/>
      <c r="P449" s="637"/>
      <c r="Q449" s="638"/>
      <c r="BM449" s="31" t="s">
        <v>198</v>
      </c>
      <c r="BN449" s="159" t="str">
        <f t="shared" si="196"/>
        <v/>
      </c>
      <c r="BO449" s="162" t="str">
        <f t="shared" si="197"/>
        <v/>
      </c>
      <c r="BP449" s="278" t="str">
        <f t="shared" si="191"/>
        <v/>
      </c>
      <c r="BQ449" s="312" t="str">
        <f t="shared" si="183"/>
        <v/>
      </c>
      <c r="BX449" s="358" t="s">
        <v>242</v>
      </c>
      <c r="BY449" s="294" t="str">
        <f t="shared" si="198"/>
        <v/>
      </c>
      <c r="BZ449" s="357" t="str">
        <f t="shared" si="199"/>
        <v/>
      </c>
      <c r="CA449" s="162" t="str">
        <f t="shared" si="185"/>
        <v/>
      </c>
      <c r="CF449" s="31" t="s">
        <v>197</v>
      </c>
      <c r="CG449" s="168">
        <v>46784</v>
      </c>
      <c r="CH449" s="37">
        <v>0</v>
      </c>
      <c r="CI449" s="314">
        <f t="shared" si="200"/>
        <v>0</v>
      </c>
      <c r="CJ449" s="312" t="str">
        <f t="shared" si="186"/>
        <v/>
      </c>
      <c r="CN449" s="315" t="str">
        <f t="shared" si="187"/>
        <v/>
      </c>
      <c r="CO449" s="312" t="str">
        <f t="shared" si="188"/>
        <v/>
      </c>
      <c r="CQ449" s="315" t="str">
        <f t="shared" si="201"/>
        <v/>
      </c>
      <c r="CR449" s="316" t="str">
        <f t="shared" si="190"/>
        <v/>
      </c>
      <c r="CW449" s="652"/>
    </row>
    <row r="450" spans="2:101">
      <c r="B450" s="1"/>
      <c r="D450" s="1"/>
      <c r="BM450" s="31" t="s">
        <v>198</v>
      </c>
      <c r="BN450" s="159" t="str">
        <f t="shared" si="196"/>
        <v/>
      </c>
      <c r="BO450" s="162" t="str">
        <f t="shared" si="197"/>
        <v/>
      </c>
      <c r="BP450" s="278" t="str">
        <f t="shared" si="191"/>
        <v/>
      </c>
      <c r="BQ450" s="312" t="str">
        <f t="shared" si="183"/>
        <v/>
      </c>
      <c r="BX450" s="358" t="s">
        <v>242</v>
      </c>
      <c r="BY450" s="294" t="str">
        <f t="shared" si="198"/>
        <v/>
      </c>
      <c r="BZ450" s="357" t="str">
        <f t="shared" si="199"/>
        <v/>
      </c>
      <c r="CA450" s="162" t="str">
        <f t="shared" si="185"/>
        <v/>
      </c>
      <c r="CF450" s="31" t="s">
        <v>197</v>
      </c>
      <c r="CG450" s="168">
        <v>46813</v>
      </c>
      <c r="CH450" s="37">
        <v>0</v>
      </c>
      <c r="CI450" s="314">
        <f t="shared" si="200"/>
        <v>0</v>
      </c>
      <c r="CJ450" s="312" t="str">
        <f t="shared" si="186"/>
        <v/>
      </c>
      <c r="CN450" s="315" t="str">
        <f t="shared" si="187"/>
        <v/>
      </c>
      <c r="CO450" s="312" t="str">
        <f t="shared" si="188"/>
        <v/>
      </c>
      <c r="CQ450" s="315" t="str">
        <f t="shared" si="201"/>
        <v/>
      </c>
      <c r="CR450" s="316" t="str">
        <f t="shared" si="190"/>
        <v/>
      </c>
      <c r="CW450"/>
    </row>
    <row r="451" spans="2:101" ht="20.25">
      <c r="B451" s="1"/>
      <c r="D451" s="1"/>
      <c r="BM451" s="31" t="s">
        <v>198</v>
      </c>
      <c r="BN451" s="159" t="str">
        <f t="shared" si="196"/>
        <v/>
      </c>
      <c r="BO451" s="162" t="str">
        <f t="shared" si="197"/>
        <v/>
      </c>
      <c r="BP451" s="278" t="str">
        <f t="shared" si="191"/>
        <v/>
      </c>
      <c r="BQ451" s="312" t="str">
        <f t="shared" si="183"/>
        <v/>
      </c>
      <c r="BX451" s="358" t="s">
        <v>242</v>
      </c>
      <c r="BY451" s="294" t="str">
        <f t="shared" si="198"/>
        <v/>
      </c>
      <c r="BZ451" s="357" t="str">
        <f t="shared" si="199"/>
        <v/>
      </c>
      <c r="CA451" s="162" t="str">
        <f t="shared" si="185"/>
        <v/>
      </c>
      <c r="CF451" s="31" t="s">
        <v>197</v>
      </c>
      <c r="CG451" s="168">
        <v>46844</v>
      </c>
      <c r="CH451" s="37">
        <v>0</v>
      </c>
      <c r="CI451" s="314">
        <f t="shared" si="200"/>
        <v>0</v>
      </c>
      <c r="CJ451" s="312" t="str">
        <f t="shared" si="186"/>
        <v/>
      </c>
      <c r="CN451" s="315" t="str">
        <f t="shared" si="187"/>
        <v/>
      </c>
      <c r="CO451" s="312" t="str">
        <f t="shared" si="188"/>
        <v/>
      </c>
      <c r="CQ451" s="315" t="str">
        <f t="shared" si="201"/>
        <v/>
      </c>
      <c r="CR451" s="316" t="str">
        <f t="shared" si="190"/>
        <v/>
      </c>
      <c r="CW451" s="662" t="s">
        <v>555</v>
      </c>
    </row>
    <row r="452" spans="2:101">
      <c r="B452" s="1"/>
      <c r="D452" s="1"/>
      <c r="BM452" s="31" t="s">
        <v>198</v>
      </c>
      <c r="BN452" s="159" t="str">
        <f t="shared" si="196"/>
        <v/>
      </c>
      <c r="BO452" s="162" t="str">
        <f t="shared" si="197"/>
        <v/>
      </c>
      <c r="BP452" s="278" t="str">
        <f t="shared" si="191"/>
        <v/>
      </c>
      <c r="BQ452" s="312" t="str">
        <f t="shared" si="183"/>
        <v/>
      </c>
      <c r="BX452" s="358" t="s">
        <v>242</v>
      </c>
      <c r="BY452" s="294" t="str">
        <f t="shared" si="198"/>
        <v/>
      </c>
      <c r="BZ452" s="357" t="str">
        <f t="shared" si="199"/>
        <v/>
      </c>
      <c r="CA452" s="162" t="str">
        <f t="shared" si="185"/>
        <v/>
      </c>
      <c r="CF452" s="31" t="s">
        <v>197</v>
      </c>
      <c r="CG452" s="168">
        <v>46874</v>
      </c>
      <c r="CH452" s="37">
        <v>0</v>
      </c>
      <c r="CI452" s="314">
        <f t="shared" si="200"/>
        <v>0</v>
      </c>
      <c r="CJ452" s="312" t="str">
        <f t="shared" si="186"/>
        <v/>
      </c>
      <c r="CN452" s="315" t="str">
        <f t="shared" si="187"/>
        <v/>
      </c>
      <c r="CO452" s="312" t="str">
        <f t="shared" si="188"/>
        <v/>
      </c>
      <c r="CQ452" s="315" t="str">
        <f t="shared" si="201"/>
        <v/>
      </c>
      <c r="CR452" s="316" t="str">
        <f t="shared" si="190"/>
        <v/>
      </c>
      <c r="CW452"/>
    </row>
    <row r="453" spans="2:101">
      <c r="B453" s="1"/>
      <c r="D453" s="1"/>
      <c r="BM453" s="31" t="s">
        <v>198</v>
      </c>
      <c r="BN453" s="159" t="str">
        <f t="shared" si="196"/>
        <v/>
      </c>
      <c r="BO453" s="162" t="str">
        <f t="shared" si="197"/>
        <v/>
      </c>
      <c r="BP453" s="278" t="str">
        <f t="shared" si="191"/>
        <v/>
      </c>
      <c r="BQ453" s="312" t="str">
        <f t="shared" si="183"/>
        <v/>
      </c>
      <c r="BX453" s="358" t="s">
        <v>242</v>
      </c>
      <c r="BY453" s="294" t="str">
        <f t="shared" si="198"/>
        <v/>
      </c>
      <c r="BZ453" s="357" t="str">
        <f t="shared" si="199"/>
        <v/>
      </c>
      <c r="CA453" s="162" t="str">
        <f t="shared" si="185"/>
        <v/>
      </c>
      <c r="CF453" s="31" t="s">
        <v>197</v>
      </c>
      <c r="CG453" s="168">
        <v>46905</v>
      </c>
      <c r="CH453" s="37">
        <v>0</v>
      </c>
      <c r="CI453" s="314">
        <f t="shared" si="200"/>
        <v>0</v>
      </c>
      <c r="CJ453" s="312" t="str">
        <f t="shared" si="186"/>
        <v/>
      </c>
      <c r="CN453" s="315" t="str">
        <f t="shared" si="187"/>
        <v/>
      </c>
      <c r="CO453" s="312" t="str">
        <f t="shared" si="188"/>
        <v/>
      </c>
      <c r="CQ453" s="315" t="str">
        <f t="shared" si="201"/>
        <v/>
      </c>
      <c r="CR453" s="316" t="str">
        <f t="shared" si="190"/>
        <v/>
      </c>
      <c r="CW453" s="652"/>
    </row>
    <row r="454" spans="2:101">
      <c r="B454" s="1"/>
      <c r="D454" s="1"/>
      <c r="BM454" s="31" t="s">
        <v>198</v>
      </c>
      <c r="BN454" s="159" t="str">
        <f t="shared" si="196"/>
        <v/>
      </c>
      <c r="BO454" s="162" t="str">
        <f t="shared" si="197"/>
        <v/>
      </c>
      <c r="BP454" s="278" t="str">
        <f t="shared" si="191"/>
        <v/>
      </c>
      <c r="BQ454" s="312" t="str">
        <f t="shared" ref="BQ454:BQ485" si="202">+IF(BN454="","",IF(BQ455="",1,BQ455)*(1+BP454))</f>
        <v/>
      </c>
      <c r="BX454" s="358" t="s">
        <v>242</v>
      </c>
      <c r="BY454" s="294" t="str">
        <f t="shared" si="198"/>
        <v/>
      </c>
      <c r="BZ454" s="357" t="str">
        <f t="shared" si="199"/>
        <v/>
      </c>
      <c r="CA454" s="162" t="str">
        <f t="shared" ref="CA454:CA485" si="203">+IF(BZ454="","",BZ454+IF(CA455="",0,CA455))</f>
        <v/>
      </c>
      <c r="CF454" s="31" t="s">
        <v>197</v>
      </c>
      <c r="CG454" s="168">
        <v>46935</v>
      </c>
      <c r="CH454" s="37">
        <v>0</v>
      </c>
      <c r="CI454" s="314">
        <f t="shared" si="200"/>
        <v>0</v>
      </c>
      <c r="CJ454" s="312" t="str">
        <f t="shared" ref="CJ454:CJ485" si="204">+IF(BQ454="","",IF(CJ455="",1,CJ455)*(1+CI454))</f>
        <v/>
      </c>
      <c r="CN454" s="315" t="str">
        <f t="shared" ref="CN454:CN485" si="205">+IF(BN454="","",BN454)</f>
        <v/>
      </c>
      <c r="CO454" s="312" t="str">
        <f t="shared" ref="CO454:CO485" si="206">+IF(CN454="","",IF(COD_JCM=3,1,IF(COD_JCM=1,CJ454,BQ454)))</f>
        <v/>
      </c>
      <c r="CQ454" s="315" t="str">
        <f t="shared" si="201"/>
        <v/>
      </c>
      <c r="CR454" s="316" t="str">
        <f t="shared" ref="CR454:CR485" si="207">+IF(CQ454="","",IF(COD_JCM=3,0,IF(COD_JCM=1,BV454,CA454)))</f>
        <v/>
      </c>
      <c r="CW454"/>
    </row>
    <row r="455" spans="2:101" ht="15.75">
      <c r="B455" s="1"/>
      <c r="D455" s="1"/>
      <c r="BM455" s="31" t="s">
        <v>198</v>
      </c>
      <c r="BN455" s="159" t="str">
        <f t="shared" si="196"/>
        <v/>
      </c>
      <c r="BO455" s="162" t="str">
        <f t="shared" si="197"/>
        <v/>
      </c>
      <c r="BP455" s="278" t="str">
        <f t="shared" si="191"/>
        <v/>
      </c>
      <c r="BQ455" s="312" t="str">
        <f t="shared" si="202"/>
        <v/>
      </c>
      <c r="BX455" s="358" t="s">
        <v>242</v>
      </c>
      <c r="BY455" s="294" t="str">
        <f t="shared" si="198"/>
        <v/>
      </c>
      <c r="BZ455" s="357" t="str">
        <f t="shared" si="199"/>
        <v/>
      </c>
      <c r="CA455" s="162" t="str">
        <f t="shared" si="203"/>
        <v/>
      </c>
      <c r="CF455" s="31" t="s">
        <v>197</v>
      </c>
      <c r="CG455" s="168">
        <v>46966</v>
      </c>
      <c r="CH455" s="37">
        <v>0</v>
      </c>
      <c r="CI455" s="314">
        <f t="shared" si="200"/>
        <v>0</v>
      </c>
      <c r="CJ455" s="312" t="str">
        <f t="shared" si="204"/>
        <v/>
      </c>
      <c r="CN455" s="315" t="str">
        <f t="shared" si="205"/>
        <v/>
      </c>
      <c r="CO455" s="312" t="str">
        <f t="shared" si="206"/>
        <v/>
      </c>
      <c r="CQ455" s="315" t="str">
        <f t="shared" si="201"/>
        <v/>
      </c>
      <c r="CR455" s="316" t="str">
        <f t="shared" si="207"/>
        <v/>
      </c>
      <c r="CW455" s="664" t="s">
        <v>556</v>
      </c>
    </row>
    <row r="456" spans="2:101">
      <c r="B456" s="1"/>
      <c r="D456" s="1"/>
      <c r="BM456" s="31" t="s">
        <v>198</v>
      </c>
      <c r="BN456" s="159" t="str">
        <f t="shared" si="196"/>
        <v/>
      </c>
      <c r="BO456" s="162" t="str">
        <f t="shared" si="197"/>
        <v/>
      </c>
      <c r="BP456" s="278" t="str">
        <f t="shared" si="191"/>
        <v/>
      </c>
      <c r="BQ456" s="312" t="str">
        <f t="shared" si="202"/>
        <v/>
      </c>
      <c r="BX456" s="358" t="s">
        <v>242</v>
      </c>
      <c r="BY456" s="294" t="str">
        <f t="shared" si="198"/>
        <v/>
      </c>
      <c r="BZ456" s="357" t="str">
        <f t="shared" si="199"/>
        <v/>
      </c>
      <c r="CA456" s="162" t="str">
        <f t="shared" si="203"/>
        <v/>
      </c>
      <c r="CF456" s="31" t="s">
        <v>197</v>
      </c>
      <c r="CG456" s="168">
        <v>46997</v>
      </c>
      <c r="CH456" s="37">
        <v>0</v>
      </c>
      <c r="CI456" s="314">
        <f t="shared" si="200"/>
        <v>0</v>
      </c>
      <c r="CJ456" s="312" t="str">
        <f t="shared" si="204"/>
        <v/>
      </c>
      <c r="CN456" s="315" t="str">
        <f t="shared" si="205"/>
        <v/>
      </c>
      <c r="CO456" s="312" t="str">
        <f t="shared" si="206"/>
        <v/>
      </c>
      <c r="CQ456" s="315" t="str">
        <f t="shared" si="201"/>
        <v/>
      </c>
      <c r="CR456" s="316" t="str">
        <f t="shared" si="207"/>
        <v/>
      </c>
      <c r="CW456"/>
    </row>
    <row r="457" spans="2:101">
      <c r="B457" s="1"/>
      <c r="D457" s="1"/>
      <c r="BM457" s="31" t="s">
        <v>198</v>
      </c>
      <c r="BN457" s="159" t="str">
        <f t="shared" si="196"/>
        <v/>
      </c>
      <c r="BO457" s="162" t="str">
        <f t="shared" si="197"/>
        <v/>
      </c>
      <c r="BP457" s="278" t="str">
        <f t="shared" si="191"/>
        <v/>
      </c>
      <c r="BQ457" s="312" t="str">
        <f t="shared" si="202"/>
        <v/>
      </c>
      <c r="BX457" s="358" t="s">
        <v>242</v>
      </c>
      <c r="BY457" s="294" t="str">
        <f t="shared" si="198"/>
        <v/>
      </c>
      <c r="BZ457" s="357" t="str">
        <f t="shared" si="199"/>
        <v/>
      </c>
      <c r="CA457" s="162" t="str">
        <f t="shared" si="203"/>
        <v/>
      </c>
      <c r="CF457" s="31" t="s">
        <v>197</v>
      </c>
      <c r="CG457" s="168">
        <v>47027</v>
      </c>
      <c r="CH457" s="37">
        <v>0</v>
      </c>
      <c r="CI457" s="314">
        <f t="shared" si="200"/>
        <v>0</v>
      </c>
      <c r="CJ457" s="312" t="str">
        <f t="shared" si="204"/>
        <v/>
      </c>
      <c r="CN457" s="315" t="str">
        <f t="shared" si="205"/>
        <v/>
      </c>
      <c r="CO457" s="312" t="str">
        <f t="shared" si="206"/>
        <v/>
      </c>
      <c r="CQ457" s="315" t="str">
        <f t="shared" si="201"/>
        <v/>
      </c>
      <c r="CR457" s="316" t="str">
        <f t="shared" si="207"/>
        <v/>
      </c>
      <c r="CW457" s="652" t="s">
        <v>557</v>
      </c>
    </row>
    <row r="458" spans="2:101">
      <c r="B458" s="1"/>
      <c r="D458" s="1"/>
      <c r="BM458" s="31" t="s">
        <v>198</v>
      </c>
      <c r="BN458" s="159" t="str">
        <f t="shared" si="196"/>
        <v/>
      </c>
      <c r="BO458" s="162" t="str">
        <f t="shared" si="197"/>
        <v/>
      </c>
      <c r="BP458" s="278" t="str">
        <f t="shared" si="191"/>
        <v/>
      </c>
      <c r="BQ458" s="312" t="str">
        <f t="shared" si="202"/>
        <v/>
      </c>
      <c r="BX458" s="358" t="s">
        <v>242</v>
      </c>
      <c r="BY458" s="294" t="str">
        <f t="shared" si="198"/>
        <v/>
      </c>
      <c r="BZ458" s="357" t="str">
        <f t="shared" si="199"/>
        <v/>
      </c>
      <c r="CA458" s="162" t="str">
        <f t="shared" si="203"/>
        <v/>
      </c>
      <c r="CF458" s="31" t="s">
        <v>197</v>
      </c>
      <c r="CG458" s="168">
        <v>47058</v>
      </c>
      <c r="CH458" s="37">
        <v>0</v>
      </c>
      <c r="CI458" s="314">
        <f t="shared" si="200"/>
        <v>0</v>
      </c>
      <c r="CJ458" s="312" t="str">
        <f t="shared" si="204"/>
        <v/>
      </c>
      <c r="CN458" s="315" t="str">
        <f t="shared" si="205"/>
        <v/>
      </c>
      <c r="CO458" s="312" t="str">
        <f t="shared" si="206"/>
        <v/>
      </c>
      <c r="CQ458" s="315" t="str">
        <f t="shared" si="201"/>
        <v/>
      </c>
      <c r="CR458" s="316" t="str">
        <f t="shared" si="207"/>
        <v/>
      </c>
      <c r="CW458"/>
    </row>
    <row r="459" spans="2:101">
      <c r="B459" s="1"/>
      <c r="D459" s="1"/>
      <c r="BM459" s="31" t="s">
        <v>198</v>
      </c>
      <c r="BN459" s="159" t="str">
        <f t="shared" si="196"/>
        <v/>
      </c>
      <c r="BO459" s="162" t="str">
        <f t="shared" si="197"/>
        <v/>
      </c>
      <c r="BP459" s="278" t="str">
        <f t="shared" si="191"/>
        <v/>
      </c>
      <c r="BQ459" s="312" t="str">
        <f t="shared" si="202"/>
        <v/>
      </c>
      <c r="BX459" s="358" t="s">
        <v>242</v>
      </c>
      <c r="BY459" s="294" t="str">
        <f t="shared" si="198"/>
        <v/>
      </c>
      <c r="BZ459" s="357" t="str">
        <f t="shared" si="199"/>
        <v/>
      </c>
      <c r="CA459" s="162" t="str">
        <f t="shared" si="203"/>
        <v/>
      </c>
      <c r="CF459" s="31" t="s">
        <v>197</v>
      </c>
      <c r="CG459" s="168">
        <v>47088</v>
      </c>
      <c r="CH459" s="37">
        <v>0</v>
      </c>
      <c r="CI459" s="314">
        <f t="shared" si="200"/>
        <v>0</v>
      </c>
      <c r="CJ459" s="312" t="str">
        <f t="shared" si="204"/>
        <v/>
      </c>
      <c r="CN459" s="315" t="str">
        <f t="shared" si="205"/>
        <v/>
      </c>
      <c r="CO459" s="312" t="str">
        <f t="shared" si="206"/>
        <v/>
      </c>
      <c r="CQ459" s="315" t="str">
        <f t="shared" si="201"/>
        <v/>
      </c>
      <c r="CR459" s="316" t="str">
        <f t="shared" si="207"/>
        <v/>
      </c>
      <c r="CW459" s="652"/>
    </row>
    <row r="460" spans="2:101">
      <c r="B460" s="1"/>
      <c r="D460" s="1"/>
      <c r="BM460" s="31" t="s">
        <v>198</v>
      </c>
      <c r="BN460" s="159" t="str">
        <f t="shared" si="196"/>
        <v/>
      </c>
      <c r="BO460" s="162" t="str">
        <f t="shared" si="197"/>
        <v/>
      </c>
      <c r="BP460" s="278" t="str">
        <f t="shared" si="191"/>
        <v/>
      </c>
      <c r="BQ460" s="312" t="str">
        <f t="shared" si="202"/>
        <v/>
      </c>
      <c r="BX460" s="358" t="s">
        <v>242</v>
      </c>
      <c r="BY460" s="294" t="str">
        <f t="shared" si="198"/>
        <v/>
      </c>
      <c r="BZ460" s="357" t="str">
        <f t="shared" si="199"/>
        <v/>
      </c>
      <c r="CA460" s="162" t="str">
        <f t="shared" si="203"/>
        <v/>
      </c>
      <c r="CF460" s="31" t="s">
        <v>197</v>
      </c>
      <c r="CG460" s="168">
        <v>47119</v>
      </c>
      <c r="CH460" s="37">
        <v>0</v>
      </c>
      <c r="CI460" s="314">
        <f t="shared" si="200"/>
        <v>0</v>
      </c>
      <c r="CJ460" s="312" t="str">
        <f t="shared" si="204"/>
        <v/>
      </c>
      <c r="CN460" s="315" t="str">
        <f t="shared" si="205"/>
        <v/>
      </c>
      <c r="CO460" s="312" t="str">
        <f t="shared" si="206"/>
        <v/>
      </c>
      <c r="CQ460" s="315" t="str">
        <f t="shared" si="201"/>
        <v/>
      </c>
      <c r="CR460" s="316" t="str">
        <f t="shared" si="207"/>
        <v/>
      </c>
      <c r="CW460"/>
    </row>
    <row r="461" spans="2:101" ht="15.75">
      <c r="B461" s="1"/>
      <c r="D461" s="1"/>
      <c r="BM461" s="31" t="s">
        <v>198</v>
      </c>
      <c r="BN461" s="159" t="str">
        <f t="shared" si="196"/>
        <v/>
      </c>
      <c r="BO461" s="162" t="str">
        <f t="shared" si="197"/>
        <v/>
      </c>
      <c r="BP461" s="278" t="str">
        <f t="shared" ref="BP461:BP485" si="208">+IF(BO461="","",BO461)</f>
        <v/>
      </c>
      <c r="BQ461" s="312" t="str">
        <f t="shared" si="202"/>
        <v/>
      </c>
      <c r="BX461" s="358" t="s">
        <v>242</v>
      </c>
      <c r="BY461" s="294" t="str">
        <f t="shared" si="198"/>
        <v/>
      </c>
      <c r="BZ461" s="357" t="str">
        <f t="shared" si="199"/>
        <v/>
      </c>
      <c r="CA461" s="162" t="str">
        <f t="shared" si="203"/>
        <v/>
      </c>
      <c r="CF461" s="31" t="s">
        <v>197</v>
      </c>
      <c r="CG461" s="168">
        <v>47150</v>
      </c>
      <c r="CH461" s="37">
        <v>0</v>
      </c>
      <c r="CI461" s="314">
        <f t="shared" si="200"/>
        <v>0</v>
      </c>
      <c r="CJ461" s="312" t="str">
        <f t="shared" si="204"/>
        <v/>
      </c>
      <c r="CN461" s="315" t="str">
        <f t="shared" si="205"/>
        <v/>
      </c>
      <c r="CO461" s="312" t="str">
        <f t="shared" si="206"/>
        <v/>
      </c>
      <c r="CQ461" s="315" t="str">
        <f t="shared" si="201"/>
        <v/>
      </c>
      <c r="CR461" s="316" t="str">
        <f t="shared" si="207"/>
        <v/>
      </c>
      <c r="CW461" s="664" t="s">
        <v>558</v>
      </c>
    </row>
    <row r="462" spans="2:101">
      <c r="B462" s="1"/>
      <c r="D462" s="1"/>
      <c r="BM462" s="31" t="s">
        <v>198</v>
      </c>
      <c r="BN462" s="159" t="str">
        <f t="shared" si="196"/>
        <v/>
      </c>
      <c r="BO462" s="162" t="str">
        <f t="shared" si="197"/>
        <v/>
      </c>
      <c r="BP462" s="278" t="str">
        <f t="shared" si="208"/>
        <v/>
      </c>
      <c r="BQ462" s="312" t="str">
        <f t="shared" si="202"/>
        <v/>
      </c>
      <c r="BX462" s="358" t="s">
        <v>242</v>
      </c>
      <c r="BY462" s="294" t="str">
        <f t="shared" si="198"/>
        <v/>
      </c>
      <c r="BZ462" s="357" t="str">
        <f t="shared" si="199"/>
        <v/>
      </c>
      <c r="CA462" s="162" t="str">
        <f t="shared" si="203"/>
        <v/>
      </c>
      <c r="CF462" s="31" t="s">
        <v>197</v>
      </c>
      <c r="CG462" s="168">
        <v>47178</v>
      </c>
      <c r="CH462" s="37">
        <v>0</v>
      </c>
      <c r="CI462" s="314">
        <f t="shared" si="200"/>
        <v>0</v>
      </c>
      <c r="CJ462" s="312" t="str">
        <f t="shared" si="204"/>
        <v/>
      </c>
      <c r="CN462" s="315" t="str">
        <f t="shared" si="205"/>
        <v/>
      </c>
      <c r="CO462" s="312" t="str">
        <f t="shared" si="206"/>
        <v/>
      </c>
      <c r="CQ462" s="315" t="str">
        <f t="shared" si="201"/>
        <v/>
      </c>
      <c r="CR462" s="316" t="str">
        <f t="shared" si="207"/>
        <v/>
      </c>
      <c r="CW462"/>
    </row>
    <row r="463" spans="2:101">
      <c r="B463" s="1"/>
      <c r="D463" s="1"/>
      <c r="BM463" s="31" t="s">
        <v>198</v>
      </c>
      <c r="BN463" s="159" t="str">
        <f t="shared" si="196"/>
        <v/>
      </c>
      <c r="BO463" s="162" t="str">
        <f t="shared" si="197"/>
        <v/>
      </c>
      <c r="BP463" s="278" t="str">
        <f t="shared" si="208"/>
        <v/>
      </c>
      <c r="BQ463" s="312" t="str">
        <f t="shared" si="202"/>
        <v/>
      </c>
      <c r="BX463" s="358" t="s">
        <v>242</v>
      </c>
      <c r="BY463" s="294" t="str">
        <f t="shared" si="198"/>
        <v/>
      </c>
      <c r="BZ463" s="357" t="str">
        <f t="shared" si="199"/>
        <v/>
      </c>
      <c r="CA463" s="162" t="str">
        <f t="shared" si="203"/>
        <v/>
      </c>
      <c r="CF463" s="31" t="s">
        <v>197</v>
      </c>
      <c r="CG463" s="168">
        <v>47209</v>
      </c>
      <c r="CH463" s="37">
        <v>0</v>
      </c>
      <c r="CI463" s="314">
        <f t="shared" si="200"/>
        <v>0</v>
      </c>
      <c r="CJ463" s="312" t="str">
        <f t="shared" si="204"/>
        <v/>
      </c>
      <c r="CN463" s="315" t="str">
        <f t="shared" si="205"/>
        <v/>
      </c>
      <c r="CO463" s="312" t="str">
        <f t="shared" si="206"/>
        <v/>
      </c>
      <c r="CQ463" s="315" t="str">
        <f t="shared" si="201"/>
        <v/>
      </c>
      <c r="CR463" s="316" t="str">
        <f t="shared" si="207"/>
        <v/>
      </c>
      <c r="CW463" s="652" t="s">
        <v>559</v>
      </c>
    </row>
    <row r="464" spans="2:101">
      <c r="B464" s="1"/>
      <c r="D464" s="1"/>
      <c r="BM464" s="31" t="s">
        <v>198</v>
      </c>
      <c r="BN464" s="159" t="str">
        <f t="shared" si="196"/>
        <v/>
      </c>
      <c r="BO464" s="162" t="str">
        <f t="shared" si="197"/>
        <v/>
      </c>
      <c r="BP464" s="278" t="str">
        <f t="shared" si="208"/>
        <v/>
      </c>
      <c r="BQ464" s="312" t="str">
        <f t="shared" si="202"/>
        <v/>
      </c>
      <c r="BX464" s="358" t="s">
        <v>242</v>
      </c>
      <c r="BY464" s="294" t="str">
        <f t="shared" si="198"/>
        <v/>
      </c>
      <c r="BZ464" s="357" t="str">
        <f t="shared" si="199"/>
        <v/>
      </c>
      <c r="CA464" s="162" t="str">
        <f t="shared" si="203"/>
        <v/>
      </c>
      <c r="CF464" s="31" t="s">
        <v>197</v>
      </c>
      <c r="CG464" s="168">
        <v>47239</v>
      </c>
      <c r="CH464" s="37">
        <v>0</v>
      </c>
      <c r="CI464" s="314">
        <f t="shared" si="200"/>
        <v>0</v>
      </c>
      <c r="CJ464" s="312" t="str">
        <f t="shared" si="204"/>
        <v/>
      </c>
      <c r="CN464" s="315" t="str">
        <f t="shared" si="205"/>
        <v/>
      </c>
      <c r="CO464" s="312" t="str">
        <f t="shared" si="206"/>
        <v/>
      </c>
      <c r="CQ464" s="315" t="str">
        <f t="shared" si="201"/>
        <v/>
      </c>
      <c r="CR464" s="316" t="str">
        <f t="shared" si="207"/>
        <v/>
      </c>
      <c r="CW464"/>
    </row>
    <row r="465" spans="2:101">
      <c r="B465" s="1"/>
      <c r="D465" s="1"/>
      <c r="BM465" s="31" t="s">
        <v>198</v>
      </c>
      <c r="BN465" s="159" t="str">
        <f t="shared" si="196"/>
        <v/>
      </c>
      <c r="BO465" s="162" t="str">
        <f t="shared" si="197"/>
        <v/>
      </c>
      <c r="BP465" s="278" t="str">
        <f t="shared" si="208"/>
        <v/>
      </c>
      <c r="BQ465" s="312" t="str">
        <f t="shared" si="202"/>
        <v/>
      </c>
      <c r="BX465" s="358" t="s">
        <v>242</v>
      </c>
      <c r="BY465" s="294" t="str">
        <f t="shared" si="198"/>
        <v/>
      </c>
      <c r="BZ465" s="357" t="str">
        <f t="shared" si="199"/>
        <v/>
      </c>
      <c r="CA465" s="162" t="str">
        <f t="shared" si="203"/>
        <v/>
      </c>
      <c r="CF465" s="31" t="s">
        <v>197</v>
      </c>
      <c r="CG465" s="168">
        <v>47270</v>
      </c>
      <c r="CH465" s="37">
        <v>0</v>
      </c>
      <c r="CI465" s="314">
        <f t="shared" si="200"/>
        <v>0</v>
      </c>
      <c r="CJ465" s="312" t="str">
        <f t="shared" si="204"/>
        <v/>
      </c>
      <c r="CN465" s="315" t="str">
        <f t="shared" si="205"/>
        <v/>
      </c>
      <c r="CO465" s="312" t="str">
        <f t="shared" si="206"/>
        <v/>
      </c>
      <c r="CQ465" s="315" t="str">
        <f t="shared" si="201"/>
        <v/>
      </c>
      <c r="CR465" s="316" t="str">
        <f t="shared" si="207"/>
        <v/>
      </c>
      <c r="CW465" s="652"/>
    </row>
    <row r="466" spans="2:101">
      <c r="B466" s="1"/>
      <c r="D466" s="1"/>
      <c r="BM466" s="31" t="s">
        <v>198</v>
      </c>
      <c r="BN466" s="159" t="str">
        <f t="shared" si="196"/>
        <v/>
      </c>
      <c r="BO466" s="162" t="str">
        <f t="shared" si="197"/>
        <v/>
      </c>
      <c r="BP466" s="278" t="str">
        <f t="shared" si="208"/>
        <v/>
      </c>
      <c r="BQ466" s="312" t="str">
        <f t="shared" si="202"/>
        <v/>
      </c>
      <c r="BX466" s="358" t="s">
        <v>242</v>
      </c>
      <c r="BY466" s="294" t="str">
        <f t="shared" si="198"/>
        <v/>
      </c>
      <c r="BZ466" s="357" t="str">
        <f t="shared" si="199"/>
        <v/>
      </c>
      <c r="CA466" s="162" t="str">
        <f t="shared" si="203"/>
        <v/>
      </c>
      <c r="CF466" s="31" t="s">
        <v>197</v>
      </c>
      <c r="CG466" s="168">
        <v>47300</v>
      </c>
      <c r="CH466" s="37">
        <v>0</v>
      </c>
      <c r="CI466" s="314">
        <f t="shared" si="200"/>
        <v>0</v>
      </c>
      <c r="CJ466" s="312" t="str">
        <f t="shared" si="204"/>
        <v/>
      </c>
      <c r="CN466" s="315" t="str">
        <f t="shared" si="205"/>
        <v/>
      </c>
      <c r="CO466" s="312" t="str">
        <f t="shared" si="206"/>
        <v/>
      </c>
      <c r="CQ466" s="315" t="str">
        <f t="shared" si="201"/>
        <v/>
      </c>
      <c r="CR466" s="316" t="str">
        <f t="shared" si="207"/>
        <v/>
      </c>
      <c r="CW466"/>
    </row>
    <row r="467" spans="2:101">
      <c r="B467" s="1"/>
      <c r="D467" s="1"/>
      <c r="BM467" s="31" t="s">
        <v>198</v>
      </c>
      <c r="BN467" s="159" t="str">
        <f t="shared" si="196"/>
        <v/>
      </c>
      <c r="BO467" s="162" t="str">
        <f t="shared" si="197"/>
        <v/>
      </c>
      <c r="BP467" s="278" t="str">
        <f t="shared" si="208"/>
        <v/>
      </c>
      <c r="BQ467" s="312" t="str">
        <f t="shared" si="202"/>
        <v/>
      </c>
      <c r="BX467" s="358" t="s">
        <v>242</v>
      </c>
      <c r="BY467" s="294" t="str">
        <f t="shared" si="198"/>
        <v/>
      </c>
      <c r="BZ467" s="357" t="str">
        <f t="shared" si="199"/>
        <v/>
      </c>
      <c r="CA467" s="162" t="str">
        <f t="shared" si="203"/>
        <v/>
      </c>
      <c r="CF467" s="31" t="s">
        <v>197</v>
      </c>
      <c r="CG467" s="168">
        <v>47331</v>
      </c>
      <c r="CH467" s="37">
        <v>0</v>
      </c>
      <c r="CI467" s="314">
        <f t="shared" si="200"/>
        <v>0</v>
      </c>
      <c r="CJ467" s="312" t="str">
        <f t="shared" si="204"/>
        <v/>
      </c>
      <c r="CN467" s="315" t="str">
        <f t="shared" si="205"/>
        <v/>
      </c>
      <c r="CO467" s="312" t="str">
        <f t="shared" si="206"/>
        <v/>
      </c>
      <c r="CQ467" s="315" t="str">
        <f t="shared" si="201"/>
        <v/>
      </c>
      <c r="CR467" s="316" t="str">
        <f t="shared" si="207"/>
        <v/>
      </c>
      <c r="CW467" s="663" t="s">
        <v>560</v>
      </c>
    </row>
    <row r="468" spans="2:101">
      <c r="B468" s="1"/>
      <c r="D468" s="1"/>
      <c r="BM468" s="31" t="s">
        <v>198</v>
      </c>
      <c r="BN468" s="159" t="str">
        <f t="shared" si="196"/>
        <v/>
      </c>
      <c r="BO468" s="162" t="str">
        <f t="shared" si="197"/>
        <v/>
      </c>
      <c r="BP468" s="278" t="str">
        <f t="shared" si="208"/>
        <v/>
      </c>
      <c r="BQ468" s="312" t="str">
        <f t="shared" si="202"/>
        <v/>
      </c>
      <c r="BX468" s="358" t="s">
        <v>242</v>
      </c>
      <c r="BY468" s="294" t="str">
        <f t="shared" si="198"/>
        <v/>
      </c>
      <c r="BZ468" s="357" t="str">
        <f t="shared" si="199"/>
        <v/>
      </c>
      <c r="CA468" s="162" t="str">
        <f t="shared" si="203"/>
        <v/>
      </c>
      <c r="CF468" s="31" t="s">
        <v>197</v>
      </c>
      <c r="CG468" s="168">
        <v>47362</v>
      </c>
      <c r="CH468" s="37">
        <v>0</v>
      </c>
      <c r="CI468" s="314">
        <f t="shared" si="200"/>
        <v>0</v>
      </c>
      <c r="CJ468" s="312" t="str">
        <f t="shared" si="204"/>
        <v/>
      </c>
      <c r="CN468" s="315" t="str">
        <f t="shared" si="205"/>
        <v/>
      </c>
      <c r="CO468" s="312" t="str">
        <f t="shared" si="206"/>
        <v/>
      </c>
      <c r="CQ468" s="315" t="str">
        <f t="shared" si="201"/>
        <v/>
      </c>
      <c r="CR468" s="316" t="str">
        <f t="shared" si="207"/>
        <v/>
      </c>
      <c r="CW468"/>
    </row>
    <row r="469" spans="2:101">
      <c r="B469" s="1"/>
      <c r="D469" s="1"/>
      <c r="BM469" s="31" t="s">
        <v>198</v>
      </c>
      <c r="BN469" s="159" t="str">
        <f t="shared" si="196"/>
        <v/>
      </c>
      <c r="BO469" s="162" t="str">
        <f t="shared" si="197"/>
        <v/>
      </c>
      <c r="BP469" s="278" t="str">
        <f t="shared" si="208"/>
        <v/>
      </c>
      <c r="BQ469" s="312" t="str">
        <f t="shared" si="202"/>
        <v/>
      </c>
      <c r="BX469" s="358" t="s">
        <v>242</v>
      </c>
      <c r="BY469" s="294" t="str">
        <f t="shared" si="198"/>
        <v/>
      </c>
      <c r="BZ469" s="357" t="str">
        <f t="shared" si="199"/>
        <v/>
      </c>
      <c r="CA469" s="162" t="str">
        <f t="shared" si="203"/>
        <v/>
      </c>
      <c r="CF469" s="31" t="s">
        <v>197</v>
      </c>
      <c r="CG469" s="168">
        <v>47392</v>
      </c>
      <c r="CH469" s="37">
        <v>0</v>
      </c>
      <c r="CI469" s="314">
        <f t="shared" si="200"/>
        <v>0</v>
      </c>
      <c r="CJ469" s="312" t="str">
        <f t="shared" si="204"/>
        <v/>
      </c>
      <c r="CN469" s="315" t="str">
        <f t="shared" si="205"/>
        <v/>
      </c>
      <c r="CO469" s="312" t="str">
        <f t="shared" si="206"/>
        <v/>
      </c>
      <c r="CQ469" s="315" t="str">
        <f t="shared" si="201"/>
        <v/>
      </c>
      <c r="CR469" s="316" t="str">
        <f t="shared" si="207"/>
        <v/>
      </c>
      <c r="CW469" s="650" t="s">
        <v>512</v>
      </c>
    </row>
    <row r="470" spans="2:101">
      <c r="B470" s="1"/>
      <c r="D470" s="1"/>
      <c r="BM470" s="31" t="s">
        <v>198</v>
      </c>
      <c r="BN470" s="159" t="str">
        <f t="shared" si="196"/>
        <v/>
      </c>
      <c r="BO470" s="162" t="str">
        <f t="shared" si="197"/>
        <v/>
      </c>
      <c r="BP470" s="278" t="str">
        <f t="shared" si="208"/>
        <v/>
      </c>
      <c r="BQ470" s="312" t="str">
        <f t="shared" si="202"/>
        <v/>
      </c>
      <c r="BX470" s="358" t="s">
        <v>242</v>
      </c>
      <c r="BY470" s="294" t="str">
        <f t="shared" si="198"/>
        <v/>
      </c>
      <c r="BZ470" s="357" t="str">
        <f t="shared" si="199"/>
        <v/>
      </c>
      <c r="CA470" s="162" t="str">
        <f t="shared" si="203"/>
        <v/>
      </c>
      <c r="CF470" s="31" t="s">
        <v>197</v>
      </c>
      <c r="CG470" s="168">
        <v>47423</v>
      </c>
      <c r="CH470" s="37">
        <v>0</v>
      </c>
      <c r="CI470" s="314">
        <f t="shared" si="200"/>
        <v>0</v>
      </c>
      <c r="CJ470" s="312" t="str">
        <f t="shared" si="204"/>
        <v/>
      </c>
      <c r="CN470" s="315" t="str">
        <f t="shared" si="205"/>
        <v/>
      </c>
      <c r="CO470" s="312" t="str">
        <f t="shared" si="206"/>
        <v/>
      </c>
      <c r="CQ470" s="315" t="str">
        <f t="shared" si="201"/>
        <v/>
      </c>
      <c r="CR470" s="316" t="str">
        <f t="shared" si="207"/>
        <v/>
      </c>
      <c r="CW470"/>
    </row>
    <row r="471" spans="2:101">
      <c r="B471" s="1"/>
      <c r="D471" s="1"/>
      <c r="BM471" s="31" t="s">
        <v>198</v>
      </c>
      <c r="BN471" s="159" t="str">
        <f t="shared" si="196"/>
        <v/>
      </c>
      <c r="BO471" s="162" t="str">
        <f t="shared" si="197"/>
        <v/>
      </c>
      <c r="BP471" s="278" t="str">
        <f t="shared" si="208"/>
        <v/>
      </c>
      <c r="BQ471" s="312" t="str">
        <f t="shared" si="202"/>
        <v/>
      </c>
      <c r="BX471" s="358" t="s">
        <v>242</v>
      </c>
      <c r="BY471" s="294" t="str">
        <f t="shared" si="198"/>
        <v/>
      </c>
      <c r="BZ471" s="357" t="str">
        <f t="shared" si="199"/>
        <v/>
      </c>
      <c r="CA471" s="162" t="str">
        <f t="shared" si="203"/>
        <v/>
      </c>
      <c r="CF471" s="31" t="s">
        <v>197</v>
      </c>
      <c r="CG471" s="168">
        <v>47453</v>
      </c>
      <c r="CH471" s="37">
        <v>0</v>
      </c>
      <c r="CI471" s="314">
        <f t="shared" si="200"/>
        <v>0</v>
      </c>
      <c r="CJ471" s="312" t="str">
        <f t="shared" si="204"/>
        <v/>
      </c>
      <c r="CN471" s="315" t="str">
        <f t="shared" si="205"/>
        <v/>
      </c>
      <c r="CO471" s="312" t="str">
        <f t="shared" si="206"/>
        <v/>
      </c>
      <c r="CQ471" s="315" t="str">
        <f t="shared" si="201"/>
        <v/>
      </c>
      <c r="CR471" s="316" t="str">
        <f t="shared" si="207"/>
        <v/>
      </c>
      <c r="CW471" s="650" t="s">
        <v>513</v>
      </c>
    </row>
    <row r="472" spans="2:101">
      <c r="B472" s="1"/>
      <c r="D472" s="1"/>
      <c r="BM472" s="31" t="s">
        <v>198</v>
      </c>
      <c r="BN472" s="159" t="str">
        <f t="shared" si="196"/>
        <v/>
      </c>
      <c r="BO472" s="162" t="str">
        <f t="shared" si="197"/>
        <v/>
      </c>
      <c r="BP472" s="278" t="str">
        <f t="shared" si="208"/>
        <v/>
      </c>
      <c r="BQ472" s="312" t="str">
        <f t="shared" si="202"/>
        <v/>
      </c>
      <c r="BX472" s="358" t="s">
        <v>242</v>
      </c>
      <c r="BY472" s="294" t="str">
        <f t="shared" si="198"/>
        <v/>
      </c>
      <c r="BZ472" s="357" t="str">
        <f t="shared" si="199"/>
        <v/>
      </c>
      <c r="CA472" s="162" t="str">
        <f t="shared" si="203"/>
        <v/>
      </c>
      <c r="CF472" s="31" t="s">
        <v>197</v>
      </c>
      <c r="CG472" s="168">
        <v>47484</v>
      </c>
      <c r="CH472" s="37">
        <v>0</v>
      </c>
      <c r="CI472" s="314">
        <f t="shared" si="200"/>
        <v>0</v>
      </c>
      <c r="CJ472" s="312" t="str">
        <f t="shared" si="204"/>
        <v/>
      </c>
      <c r="CN472" s="315" t="str">
        <f t="shared" si="205"/>
        <v/>
      </c>
      <c r="CO472" s="312" t="str">
        <f t="shared" si="206"/>
        <v/>
      </c>
      <c r="CQ472" s="315" t="str">
        <f t="shared" si="201"/>
        <v/>
      </c>
      <c r="CR472" s="316" t="str">
        <f t="shared" si="207"/>
        <v/>
      </c>
      <c r="CW472"/>
    </row>
    <row r="473" spans="2:101">
      <c r="B473" s="1"/>
      <c r="D473" s="1"/>
      <c r="BM473" s="31" t="s">
        <v>198</v>
      </c>
      <c r="BN473" s="159" t="str">
        <f t="shared" si="196"/>
        <v/>
      </c>
      <c r="BO473" s="162" t="str">
        <f t="shared" si="197"/>
        <v/>
      </c>
      <c r="BP473" s="278" t="str">
        <f t="shared" si="208"/>
        <v/>
      </c>
      <c r="BQ473" s="312" t="str">
        <f t="shared" si="202"/>
        <v/>
      </c>
      <c r="BX473" s="358" t="s">
        <v>242</v>
      </c>
      <c r="BY473" s="294" t="str">
        <f t="shared" si="198"/>
        <v/>
      </c>
      <c r="BZ473" s="357" t="str">
        <f t="shared" si="199"/>
        <v/>
      </c>
      <c r="CA473" s="162" t="str">
        <f t="shared" si="203"/>
        <v/>
      </c>
      <c r="CF473" s="31" t="s">
        <v>197</v>
      </c>
      <c r="CG473" s="168">
        <v>47515</v>
      </c>
      <c r="CH473" s="37">
        <v>0</v>
      </c>
      <c r="CI473" s="314">
        <f t="shared" si="200"/>
        <v>0</v>
      </c>
      <c r="CJ473" s="312" t="str">
        <f t="shared" si="204"/>
        <v/>
      </c>
      <c r="CN473" s="315" t="str">
        <f t="shared" si="205"/>
        <v/>
      </c>
      <c r="CO473" s="312" t="str">
        <f t="shared" si="206"/>
        <v/>
      </c>
      <c r="CQ473" s="315" t="str">
        <f t="shared" si="201"/>
        <v/>
      </c>
      <c r="CR473" s="316" t="str">
        <f t="shared" si="207"/>
        <v/>
      </c>
      <c r="CW473" s="650" t="s">
        <v>561</v>
      </c>
    </row>
    <row r="474" spans="2:101">
      <c r="B474" s="1"/>
      <c r="D474" s="1"/>
      <c r="BM474" s="31" t="s">
        <v>198</v>
      </c>
      <c r="BN474" s="159" t="str">
        <f t="shared" si="196"/>
        <v/>
      </c>
      <c r="BO474" s="162" t="str">
        <f t="shared" si="197"/>
        <v/>
      </c>
      <c r="BP474" s="278" t="str">
        <f t="shared" si="208"/>
        <v/>
      </c>
      <c r="BQ474" s="312" t="str">
        <f t="shared" si="202"/>
        <v/>
      </c>
      <c r="BX474" s="358" t="s">
        <v>242</v>
      </c>
      <c r="BY474" s="294" t="str">
        <f t="shared" si="198"/>
        <v/>
      </c>
      <c r="BZ474" s="357" t="str">
        <f t="shared" si="199"/>
        <v/>
      </c>
      <c r="CA474" s="162" t="str">
        <f t="shared" si="203"/>
        <v/>
      </c>
      <c r="CF474" s="31" t="s">
        <v>197</v>
      </c>
      <c r="CG474" s="168">
        <v>47543</v>
      </c>
      <c r="CH474" s="37">
        <v>0</v>
      </c>
      <c r="CI474" s="314">
        <f t="shared" si="200"/>
        <v>0</v>
      </c>
      <c r="CJ474" s="312" t="str">
        <f t="shared" si="204"/>
        <v/>
      </c>
      <c r="CN474" s="315" t="str">
        <f t="shared" si="205"/>
        <v/>
      </c>
      <c r="CO474" s="312" t="str">
        <f t="shared" si="206"/>
        <v/>
      </c>
      <c r="CQ474" s="315" t="str">
        <f t="shared" si="201"/>
        <v/>
      </c>
      <c r="CR474" s="316" t="str">
        <f t="shared" si="207"/>
        <v/>
      </c>
      <c r="CW474" s="650" t="s">
        <v>562</v>
      </c>
    </row>
    <row r="475" spans="2:101">
      <c r="B475" s="1"/>
      <c r="D475" s="1"/>
      <c r="BM475" s="31" t="s">
        <v>198</v>
      </c>
      <c r="BN475" s="159" t="str">
        <f t="shared" si="196"/>
        <v/>
      </c>
      <c r="BO475" s="162" t="str">
        <f t="shared" si="197"/>
        <v/>
      </c>
      <c r="BP475" s="278" t="str">
        <f t="shared" si="208"/>
        <v/>
      </c>
      <c r="BQ475" s="312" t="str">
        <f t="shared" si="202"/>
        <v/>
      </c>
      <c r="BX475" s="358" t="s">
        <v>242</v>
      </c>
      <c r="BY475" s="294" t="str">
        <f t="shared" si="198"/>
        <v/>
      </c>
      <c r="BZ475" s="357" t="str">
        <f t="shared" si="199"/>
        <v/>
      </c>
      <c r="CA475" s="162" t="str">
        <f t="shared" si="203"/>
        <v/>
      </c>
      <c r="CF475" s="31" t="s">
        <v>197</v>
      </c>
      <c r="CG475" s="168">
        <v>47574</v>
      </c>
      <c r="CH475" s="37">
        <v>0</v>
      </c>
      <c r="CI475" s="314">
        <f t="shared" si="200"/>
        <v>0</v>
      </c>
      <c r="CJ475" s="312" t="str">
        <f t="shared" si="204"/>
        <v/>
      </c>
      <c r="CN475" s="315" t="str">
        <f t="shared" si="205"/>
        <v/>
      </c>
      <c r="CO475" s="312" t="str">
        <f t="shared" si="206"/>
        <v/>
      </c>
      <c r="CQ475" s="315" t="str">
        <f t="shared" si="201"/>
        <v/>
      </c>
      <c r="CR475" s="316" t="str">
        <f t="shared" si="207"/>
        <v/>
      </c>
      <c r="CW475"/>
    </row>
    <row r="476" spans="2:101">
      <c r="B476" s="1"/>
      <c r="D476" s="1"/>
      <c r="BM476" s="31" t="s">
        <v>198</v>
      </c>
      <c r="BN476" s="159" t="str">
        <f t="shared" si="196"/>
        <v/>
      </c>
      <c r="BO476" s="162" t="str">
        <f t="shared" si="197"/>
        <v/>
      </c>
      <c r="BP476" s="278" t="str">
        <f t="shared" si="208"/>
        <v/>
      </c>
      <c r="BQ476" s="312" t="str">
        <f t="shared" si="202"/>
        <v/>
      </c>
      <c r="BX476" s="358" t="s">
        <v>242</v>
      </c>
      <c r="BY476" s="294" t="str">
        <f t="shared" si="198"/>
        <v/>
      </c>
      <c r="BZ476" s="357" t="str">
        <f t="shared" si="199"/>
        <v/>
      </c>
      <c r="CA476" s="162" t="str">
        <f t="shared" si="203"/>
        <v/>
      </c>
      <c r="CF476" s="31" t="s">
        <v>197</v>
      </c>
      <c r="CG476" s="168">
        <v>47604</v>
      </c>
      <c r="CH476" s="37">
        <v>0</v>
      </c>
      <c r="CI476" s="314">
        <f t="shared" si="200"/>
        <v>0</v>
      </c>
      <c r="CJ476" s="312" t="str">
        <f t="shared" si="204"/>
        <v/>
      </c>
      <c r="CN476" s="315" t="str">
        <f t="shared" si="205"/>
        <v/>
      </c>
      <c r="CO476" s="312" t="str">
        <f t="shared" si="206"/>
        <v/>
      </c>
      <c r="CQ476" s="315" t="str">
        <f t="shared" si="201"/>
        <v/>
      </c>
      <c r="CR476" s="316" t="str">
        <f t="shared" si="207"/>
        <v/>
      </c>
      <c r="CW476" s="661" t="s">
        <v>563</v>
      </c>
    </row>
    <row r="477" spans="2:101">
      <c r="B477" s="1"/>
      <c r="D477" s="1"/>
      <c r="BM477" s="31" t="s">
        <v>198</v>
      </c>
      <c r="BN477" s="159" t="str">
        <f t="shared" si="196"/>
        <v/>
      </c>
      <c r="BO477" s="162" t="str">
        <f t="shared" si="197"/>
        <v/>
      </c>
      <c r="BP477" s="278" t="str">
        <f t="shared" si="208"/>
        <v/>
      </c>
      <c r="BQ477" s="312" t="str">
        <f t="shared" si="202"/>
        <v/>
      </c>
      <c r="BX477" s="358" t="s">
        <v>242</v>
      </c>
      <c r="BY477" s="294" t="str">
        <f t="shared" si="198"/>
        <v/>
      </c>
      <c r="BZ477" s="357" t="str">
        <f t="shared" si="199"/>
        <v/>
      </c>
      <c r="CA477" s="162" t="str">
        <f t="shared" si="203"/>
        <v/>
      </c>
      <c r="CF477" s="31" t="s">
        <v>197</v>
      </c>
      <c r="CG477" s="168">
        <v>47635</v>
      </c>
      <c r="CH477" s="37">
        <v>0</v>
      </c>
      <c r="CI477" s="314">
        <f t="shared" si="200"/>
        <v>0</v>
      </c>
      <c r="CJ477" s="312" t="str">
        <f t="shared" si="204"/>
        <v/>
      </c>
      <c r="CN477" s="315" t="str">
        <f t="shared" si="205"/>
        <v/>
      </c>
      <c r="CO477" s="312" t="str">
        <f t="shared" si="206"/>
        <v/>
      </c>
      <c r="CQ477" s="315" t="str">
        <f t="shared" si="201"/>
        <v/>
      </c>
      <c r="CR477" s="316" t="str">
        <f t="shared" si="207"/>
        <v/>
      </c>
    </row>
    <row r="478" spans="2:101">
      <c r="B478" s="1"/>
      <c r="D478" s="1"/>
      <c r="BM478" s="31" t="s">
        <v>198</v>
      </c>
      <c r="BN478" s="159" t="str">
        <f t="shared" si="196"/>
        <v/>
      </c>
      <c r="BO478" s="162" t="str">
        <f t="shared" si="197"/>
        <v/>
      </c>
      <c r="BP478" s="278" t="str">
        <f t="shared" si="208"/>
        <v/>
      </c>
      <c r="BQ478" s="312" t="str">
        <f t="shared" si="202"/>
        <v/>
      </c>
      <c r="BX478" s="358" t="s">
        <v>242</v>
      </c>
      <c r="BY478" s="294" t="str">
        <f t="shared" si="198"/>
        <v/>
      </c>
      <c r="BZ478" s="357" t="str">
        <f t="shared" si="199"/>
        <v/>
      </c>
      <c r="CA478" s="162" t="str">
        <f t="shared" si="203"/>
        <v/>
      </c>
      <c r="CF478" s="31" t="s">
        <v>197</v>
      </c>
      <c r="CG478" s="168">
        <v>47665</v>
      </c>
      <c r="CH478" s="37">
        <v>0</v>
      </c>
      <c r="CI478" s="314">
        <f t="shared" si="200"/>
        <v>0</v>
      </c>
      <c r="CJ478" s="312" t="str">
        <f t="shared" si="204"/>
        <v/>
      </c>
      <c r="CN478" s="315" t="str">
        <f t="shared" si="205"/>
        <v/>
      </c>
      <c r="CO478" s="312" t="str">
        <f t="shared" si="206"/>
        <v/>
      </c>
      <c r="CQ478" s="315" t="str">
        <f t="shared" si="201"/>
        <v/>
      </c>
      <c r="CR478" s="316" t="str">
        <f t="shared" si="207"/>
        <v/>
      </c>
    </row>
    <row r="479" spans="2:101">
      <c r="B479" s="1"/>
      <c r="D479" s="1"/>
      <c r="BM479" s="31" t="s">
        <v>198</v>
      </c>
      <c r="BN479" s="159" t="str">
        <f t="shared" si="196"/>
        <v/>
      </c>
      <c r="BO479" s="162" t="str">
        <f t="shared" si="197"/>
        <v/>
      </c>
      <c r="BP479" s="278" t="str">
        <f t="shared" si="208"/>
        <v/>
      </c>
      <c r="BQ479" s="312" t="str">
        <f t="shared" si="202"/>
        <v/>
      </c>
      <c r="BX479" s="358" t="s">
        <v>242</v>
      </c>
      <c r="BY479" s="294" t="str">
        <f t="shared" si="198"/>
        <v/>
      </c>
      <c r="BZ479" s="357" t="str">
        <f t="shared" si="199"/>
        <v/>
      </c>
      <c r="CA479" s="162" t="str">
        <f t="shared" si="203"/>
        <v/>
      </c>
      <c r="CF479" s="31" t="s">
        <v>197</v>
      </c>
      <c r="CG479" s="168">
        <v>47696</v>
      </c>
      <c r="CH479" s="37">
        <v>0</v>
      </c>
      <c r="CI479" s="314">
        <f t="shared" si="200"/>
        <v>0</v>
      </c>
      <c r="CJ479" s="312" t="str">
        <f t="shared" si="204"/>
        <v/>
      </c>
      <c r="CN479" s="315" t="str">
        <f t="shared" si="205"/>
        <v/>
      </c>
      <c r="CO479" s="312" t="str">
        <f t="shared" si="206"/>
        <v/>
      </c>
      <c r="CQ479" s="315" t="str">
        <f t="shared" si="201"/>
        <v/>
      </c>
      <c r="CR479" s="316" t="str">
        <f t="shared" si="207"/>
        <v/>
      </c>
    </row>
    <row r="480" spans="2:101">
      <c r="B480" s="1"/>
      <c r="D480" s="1"/>
      <c r="BM480" s="31" t="s">
        <v>198</v>
      </c>
      <c r="BN480" s="159" t="str">
        <f t="shared" si="196"/>
        <v/>
      </c>
      <c r="BO480" s="162" t="str">
        <f t="shared" si="197"/>
        <v/>
      </c>
      <c r="BP480" s="278" t="str">
        <f t="shared" si="208"/>
        <v/>
      </c>
      <c r="BQ480" s="312" t="str">
        <f t="shared" si="202"/>
        <v/>
      </c>
      <c r="BX480" s="358" t="s">
        <v>242</v>
      </c>
      <c r="BY480" s="294" t="str">
        <f t="shared" si="198"/>
        <v/>
      </c>
      <c r="BZ480" s="357" t="str">
        <f t="shared" si="199"/>
        <v/>
      </c>
      <c r="CA480" s="162" t="str">
        <f t="shared" si="203"/>
        <v/>
      </c>
      <c r="CF480" s="31" t="s">
        <v>197</v>
      </c>
      <c r="CG480" s="168">
        <v>47727</v>
      </c>
      <c r="CH480" s="37">
        <v>0</v>
      </c>
      <c r="CI480" s="314">
        <f t="shared" si="200"/>
        <v>0</v>
      </c>
      <c r="CJ480" s="312" t="str">
        <f t="shared" si="204"/>
        <v/>
      </c>
      <c r="CN480" s="315" t="str">
        <f t="shared" si="205"/>
        <v/>
      </c>
      <c r="CO480" s="312" t="str">
        <f t="shared" si="206"/>
        <v/>
      </c>
      <c r="CQ480" s="315" t="str">
        <f t="shared" si="201"/>
        <v/>
      </c>
      <c r="CR480" s="316" t="str">
        <f t="shared" si="207"/>
        <v/>
      </c>
    </row>
    <row r="481" spans="2:96">
      <c r="B481" s="1"/>
      <c r="D481" s="1"/>
      <c r="BM481" s="31" t="s">
        <v>198</v>
      </c>
      <c r="BN481" s="159" t="str">
        <f t="shared" si="196"/>
        <v/>
      </c>
      <c r="BO481" s="162" t="str">
        <f t="shared" si="197"/>
        <v/>
      </c>
      <c r="BP481" s="278" t="str">
        <f t="shared" si="208"/>
        <v/>
      </c>
      <c r="BQ481" s="312" t="str">
        <f t="shared" si="202"/>
        <v/>
      </c>
      <c r="BX481" s="358" t="s">
        <v>242</v>
      </c>
      <c r="BY481" s="294" t="str">
        <f t="shared" si="198"/>
        <v/>
      </c>
      <c r="BZ481" s="357" t="str">
        <f t="shared" si="199"/>
        <v/>
      </c>
      <c r="CA481" s="162" t="str">
        <f t="shared" si="203"/>
        <v/>
      </c>
      <c r="CF481" s="31" t="s">
        <v>197</v>
      </c>
      <c r="CG481" s="168">
        <v>47757</v>
      </c>
      <c r="CH481" s="37">
        <v>0</v>
      </c>
      <c r="CI481" s="314">
        <f t="shared" si="200"/>
        <v>0</v>
      </c>
      <c r="CJ481" s="312" t="str">
        <f t="shared" si="204"/>
        <v/>
      </c>
      <c r="CN481" s="315" t="str">
        <f t="shared" si="205"/>
        <v/>
      </c>
      <c r="CO481" s="312" t="str">
        <f t="shared" si="206"/>
        <v/>
      </c>
      <c r="CQ481" s="315" t="str">
        <f t="shared" si="201"/>
        <v/>
      </c>
      <c r="CR481" s="316" t="str">
        <f t="shared" si="207"/>
        <v/>
      </c>
    </row>
    <row r="482" spans="2:96">
      <c r="B482" s="1"/>
      <c r="D482" s="1"/>
      <c r="BM482" s="31" t="s">
        <v>198</v>
      </c>
      <c r="BN482" s="159" t="str">
        <f t="shared" ref="BN482:BO485" si="209">J363</f>
        <v/>
      </c>
      <c r="BO482" s="162" t="str">
        <f t="shared" si="209"/>
        <v/>
      </c>
      <c r="BP482" s="278" t="str">
        <f t="shared" si="208"/>
        <v/>
      </c>
      <c r="BQ482" s="312" t="str">
        <f t="shared" si="202"/>
        <v/>
      </c>
      <c r="BX482" s="358" t="s">
        <v>242</v>
      </c>
      <c r="BY482" s="294" t="str">
        <f t="shared" si="198"/>
        <v/>
      </c>
      <c r="BZ482" s="357" t="str">
        <f t="shared" si="199"/>
        <v/>
      </c>
      <c r="CA482" s="162" t="str">
        <f t="shared" si="203"/>
        <v/>
      </c>
      <c r="CF482" s="31" t="s">
        <v>197</v>
      </c>
      <c r="CG482" s="168">
        <v>47788</v>
      </c>
      <c r="CH482" s="37">
        <v>0</v>
      </c>
      <c r="CI482" s="314">
        <f t="shared" si="200"/>
        <v>0</v>
      </c>
      <c r="CJ482" s="312" t="str">
        <f t="shared" si="204"/>
        <v/>
      </c>
      <c r="CN482" s="315" t="str">
        <f t="shared" si="205"/>
        <v/>
      </c>
      <c r="CO482" s="312" t="str">
        <f t="shared" si="206"/>
        <v/>
      </c>
      <c r="CQ482" s="315" t="str">
        <f t="shared" si="201"/>
        <v/>
      </c>
      <c r="CR482" s="316" t="str">
        <f t="shared" si="207"/>
        <v/>
      </c>
    </row>
    <row r="483" spans="2:96">
      <c r="B483" s="1"/>
      <c r="D483" s="1"/>
      <c r="BM483" s="31" t="s">
        <v>198</v>
      </c>
      <c r="BN483" s="159" t="str">
        <f t="shared" si="209"/>
        <v/>
      </c>
      <c r="BO483" s="162" t="str">
        <f t="shared" si="209"/>
        <v/>
      </c>
      <c r="BP483" s="278" t="str">
        <f t="shared" si="208"/>
        <v/>
      </c>
      <c r="BQ483" s="312" t="str">
        <f t="shared" si="202"/>
        <v/>
      </c>
      <c r="BX483" s="358" t="s">
        <v>242</v>
      </c>
      <c r="BY483" s="294" t="str">
        <f t="shared" ref="BY483:BZ485" si="210">P426</f>
        <v/>
      </c>
      <c r="BZ483" s="357" t="str">
        <f t="shared" si="210"/>
        <v/>
      </c>
      <c r="CA483" s="162" t="str">
        <f t="shared" si="203"/>
        <v/>
      </c>
      <c r="CF483" s="31" t="s">
        <v>197</v>
      </c>
      <c r="CG483" s="168">
        <v>47818</v>
      </c>
      <c r="CH483" s="37">
        <v>0</v>
      </c>
      <c r="CI483" s="314">
        <f t="shared" si="200"/>
        <v>0</v>
      </c>
      <c r="CJ483" s="312" t="str">
        <f t="shared" si="204"/>
        <v/>
      </c>
      <c r="CN483" s="315" t="str">
        <f t="shared" si="205"/>
        <v/>
      </c>
      <c r="CO483" s="312" t="str">
        <f t="shared" si="206"/>
        <v/>
      </c>
      <c r="CQ483" s="315" t="str">
        <f t="shared" si="201"/>
        <v/>
      </c>
      <c r="CR483" s="316" t="str">
        <f t="shared" si="207"/>
        <v/>
      </c>
    </row>
    <row r="484" spans="2:96">
      <c r="B484" s="1"/>
      <c r="D484" s="1"/>
      <c r="BM484" s="31" t="s">
        <v>198</v>
      </c>
      <c r="BN484" s="159" t="str">
        <f t="shared" si="209"/>
        <v/>
      </c>
      <c r="BO484" s="162" t="str">
        <f t="shared" si="209"/>
        <v/>
      </c>
      <c r="BP484" s="278" t="str">
        <f t="shared" si="208"/>
        <v/>
      </c>
      <c r="BQ484" s="312" t="str">
        <f t="shared" si="202"/>
        <v/>
      </c>
      <c r="BX484" s="358" t="s">
        <v>242</v>
      </c>
      <c r="BY484" s="294" t="str">
        <f t="shared" si="210"/>
        <v/>
      </c>
      <c r="BZ484" s="357" t="str">
        <f t="shared" si="210"/>
        <v/>
      </c>
      <c r="CA484" s="162" t="str">
        <f t="shared" si="203"/>
        <v/>
      </c>
      <c r="CF484" s="31" t="s">
        <v>197</v>
      </c>
      <c r="CG484" s="168">
        <v>47849</v>
      </c>
      <c r="CH484" s="37">
        <v>0</v>
      </c>
      <c r="CI484" s="314">
        <f t="shared" si="200"/>
        <v>0</v>
      </c>
      <c r="CJ484" s="312" t="str">
        <f t="shared" si="204"/>
        <v/>
      </c>
      <c r="CN484" s="315" t="str">
        <f t="shared" si="205"/>
        <v/>
      </c>
      <c r="CO484" s="312" t="str">
        <f t="shared" si="206"/>
        <v/>
      </c>
      <c r="CQ484" s="315" t="str">
        <f t="shared" si="201"/>
        <v/>
      </c>
      <c r="CR484" s="316" t="str">
        <f t="shared" si="207"/>
        <v/>
      </c>
    </row>
    <row r="485" spans="2:96">
      <c r="B485" s="1"/>
      <c r="D485" s="1"/>
      <c r="BM485" s="31" t="s">
        <v>198</v>
      </c>
      <c r="BN485" s="159" t="str">
        <f t="shared" si="209"/>
        <v/>
      </c>
      <c r="BO485" s="162" t="str">
        <f t="shared" si="209"/>
        <v/>
      </c>
      <c r="BP485" s="278" t="str">
        <f t="shared" si="208"/>
        <v/>
      </c>
      <c r="BQ485" s="312" t="str">
        <f t="shared" si="202"/>
        <v/>
      </c>
      <c r="BX485" s="358" t="s">
        <v>242</v>
      </c>
      <c r="BY485" s="294" t="str">
        <f t="shared" si="210"/>
        <v/>
      </c>
      <c r="BZ485" s="357" t="str">
        <f t="shared" si="210"/>
        <v/>
      </c>
      <c r="CA485" s="162" t="str">
        <f t="shared" si="203"/>
        <v/>
      </c>
      <c r="CF485" s="31" t="s">
        <v>197</v>
      </c>
      <c r="CG485" s="168">
        <v>47880</v>
      </c>
      <c r="CH485" s="37">
        <v>0</v>
      </c>
      <c r="CI485" s="314">
        <f t="shared" si="200"/>
        <v>0</v>
      </c>
      <c r="CJ485" s="312" t="str">
        <f t="shared" si="204"/>
        <v/>
      </c>
      <c r="CN485" s="315" t="str">
        <f t="shared" si="205"/>
        <v/>
      </c>
      <c r="CO485" s="312" t="str">
        <f t="shared" si="206"/>
        <v/>
      </c>
      <c r="CQ485" s="315" t="str">
        <f t="shared" si="201"/>
        <v/>
      </c>
      <c r="CR485" s="316" t="str">
        <f t="shared" si="207"/>
        <v/>
      </c>
    </row>
    <row r="486" spans="2:96">
      <c r="B486" s="1"/>
      <c r="D486" s="1"/>
    </row>
    <row r="487" spans="2:96">
      <c r="B487" s="1"/>
      <c r="D487" s="1"/>
    </row>
    <row r="488" spans="2:96">
      <c r="B488" s="1"/>
      <c r="D488" s="1"/>
    </row>
    <row r="489" spans="2:96">
      <c r="B489" s="1"/>
      <c r="D489" s="1"/>
    </row>
    <row r="490" spans="2:96">
      <c r="B490" s="1"/>
      <c r="D490" s="1"/>
    </row>
    <row r="491" spans="2:96">
      <c r="B491" s="1"/>
      <c r="D491" s="1"/>
    </row>
    <row r="492" spans="2:96">
      <c r="B492" s="1"/>
      <c r="D492" s="1"/>
    </row>
    <row r="493" spans="2:96">
      <c r="B493" s="1"/>
      <c r="D493" s="1"/>
    </row>
    <row r="494" spans="2:96">
      <c r="B494" s="1"/>
      <c r="D494" s="1"/>
    </row>
    <row r="495" spans="2:96">
      <c r="B495" s="1"/>
      <c r="D495" s="1"/>
    </row>
    <row r="496" spans="2:96">
      <c r="B496" s="1"/>
      <c r="D496" s="1"/>
    </row>
    <row r="497" spans="2:4">
      <c r="B497" s="1"/>
      <c r="D497" s="1"/>
    </row>
    <row r="498" spans="2:4">
      <c r="B498" s="1"/>
      <c r="D498" s="1"/>
    </row>
    <row r="499" spans="2:4">
      <c r="B499" s="1"/>
      <c r="D499" s="1"/>
    </row>
    <row r="500" spans="2:4">
      <c r="B500" s="1"/>
      <c r="D500" s="1"/>
    </row>
    <row r="501" spans="2:4">
      <c r="B501" s="1"/>
      <c r="D501" s="1"/>
    </row>
    <row r="502" spans="2:4">
      <c r="B502" s="1"/>
      <c r="D502" s="1"/>
    </row>
    <row r="503" spans="2:4">
      <c r="B503" s="1"/>
      <c r="D503" s="1"/>
    </row>
    <row r="504" spans="2:4">
      <c r="B504" s="1"/>
      <c r="D504" s="1"/>
    </row>
    <row r="505" spans="2:4">
      <c r="B505" s="1"/>
      <c r="D505" s="1"/>
    </row>
    <row r="506" spans="2:4">
      <c r="B506" s="1"/>
      <c r="D506" s="1"/>
    </row>
    <row r="507" spans="2:4">
      <c r="B507" s="1"/>
      <c r="D507" s="1"/>
    </row>
    <row r="508" spans="2:4">
      <c r="B508" s="1"/>
      <c r="D508" s="1"/>
    </row>
    <row r="509" spans="2:4">
      <c r="B509" s="1"/>
      <c r="D509" s="1"/>
    </row>
    <row r="510" spans="2:4">
      <c r="B510" s="1"/>
      <c r="D510" s="1"/>
    </row>
    <row r="511" spans="2:4">
      <c r="B511" s="1"/>
      <c r="D511" s="1"/>
    </row>
    <row r="512" spans="2:4">
      <c r="B512" s="1"/>
      <c r="D512" s="1"/>
    </row>
    <row r="513" spans="2:4">
      <c r="B513" s="1"/>
      <c r="D513" s="1"/>
    </row>
    <row r="514" spans="2:4">
      <c r="B514" s="1"/>
      <c r="D514" s="1"/>
    </row>
    <row r="515" spans="2:4">
      <c r="B515" s="1"/>
      <c r="D515" s="1"/>
    </row>
    <row r="516" spans="2:4">
      <c r="B516" s="1"/>
      <c r="D516" s="1"/>
    </row>
    <row r="517" spans="2:4">
      <c r="B517" s="1"/>
      <c r="D517" s="1"/>
    </row>
    <row r="518" spans="2:4">
      <c r="B518" s="1"/>
      <c r="D518" s="1"/>
    </row>
    <row r="519" spans="2:4">
      <c r="B519" s="1"/>
      <c r="D519" s="1"/>
    </row>
    <row r="520" spans="2:4">
      <c r="B520" s="1"/>
      <c r="D520" s="1"/>
    </row>
    <row r="521" spans="2:4">
      <c r="B521" s="1"/>
      <c r="D521" s="1"/>
    </row>
    <row r="522" spans="2:4">
      <c r="B522" s="1"/>
      <c r="D522" s="1"/>
    </row>
    <row r="523" spans="2:4">
      <c r="B523" s="1"/>
      <c r="D523" s="1"/>
    </row>
    <row r="524" spans="2:4">
      <c r="B524" s="1"/>
      <c r="D524" s="1"/>
    </row>
    <row r="525" spans="2:4">
      <c r="B525" s="1"/>
      <c r="D525" s="1"/>
    </row>
    <row r="526" spans="2:4">
      <c r="B526" s="1"/>
      <c r="D526" s="1"/>
    </row>
    <row r="527" spans="2:4">
      <c r="B527" s="1"/>
      <c r="D527" s="1"/>
    </row>
    <row r="528" spans="2:4">
      <c r="B528" s="1"/>
      <c r="D528" s="1"/>
    </row>
    <row r="529" spans="2:4">
      <c r="B529" s="1"/>
      <c r="D529" s="1"/>
    </row>
    <row r="530" spans="2:4">
      <c r="B530" s="1"/>
      <c r="D530" s="1"/>
    </row>
    <row r="531" spans="2:4">
      <c r="B531" s="1"/>
      <c r="D531" s="1"/>
    </row>
    <row r="532" spans="2:4">
      <c r="B532" s="1"/>
      <c r="D532" s="1"/>
    </row>
    <row r="533" spans="2:4">
      <c r="B533" s="1"/>
      <c r="D533" s="1"/>
    </row>
    <row r="534" spans="2:4">
      <c r="B534" s="1"/>
      <c r="D534" s="1"/>
    </row>
    <row r="535" spans="2:4">
      <c r="B535" s="1"/>
      <c r="D535" s="1"/>
    </row>
    <row r="536" spans="2:4">
      <c r="B536" s="1"/>
      <c r="D536" s="1"/>
    </row>
    <row r="537" spans="2:4">
      <c r="B537" s="1"/>
      <c r="D537" s="1"/>
    </row>
    <row r="538" spans="2:4">
      <c r="B538" s="1"/>
      <c r="D538" s="1"/>
    </row>
    <row r="539" spans="2:4">
      <c r="B539" s="1"/>
      <c r="D539" s="1"/>
    </row>
    <row r="540" spans="2:4">
      <c r="B540" s="1"/>
      <c r="D540" s="1"/>
    </row>
    <row r="541" spans="2:4">
      <c r="B541" s="1"/>
      <c r="D541" s="1"/>
    </row>
    <row r="542" spans="2:4">
      <c r="B542" s="1"/>
      <c r="D542" s="1"/>
    </row>
    <row r="543" spans="2:4">
      <c r="B543" s="1"/>
      <c r="D543" s="1"/>
    </row>
    <row r="544" spans="2:4">
      <c r="B544" s="1"/>
      <c r="D544" s="1"/>
    </row>
    <row r="545" spans="2:4">
      <c r="B545" s="1"/>
      <c r="D545" s="1"/>
    </row>
    <row r="546" spans="2:4">
      <c r="B546" s="1"/>
      <c r="D546" s="1"/>
    </row>
    <row r="547" spans="2:4">
      <c r="B547" s="1"/>
      <c r="D547" s="1"/>
    </row>
    <row r="548" spans="2:4">
      <c r="B548" s="1"/>
      <c r="D548" s="1"/>
    </row>
    <row r="549" spans="2:4">
      <c r="B549" s="1"/>
      <c r="D549" s="1"/>
    </row>
    <row r="550" spans="2:4">
      <c r="B550" s="1"/>
      <c r="D550" s="1"/>
    </row>
    <row r="551" spans="2:4">
      <c r="B551" s="1"/>
      <c r="D551" s="1"/>
    </row>
    <row r="552" spans="2:4">
      <c r="B552" s="1"/>
      <c r="D552" s="1"/>
    </row>
    <row r="553" spans="2:4">
      <c r="B553" s="1"/>
      <c r="D553" s="1"/>
    </row>
    <row r="554" spans="2:4">
      <c r="B554" s="1"/>
      <c r="D554" s="1"/>
    </row>
    <row r="555" spans="2:4">
      <c r="B555" s="1"/>
      <c r="D555" s="1"/>
    </row>
    <row r="556" spans="2:4">
      <c r="B556" s="1"/>
      <c r="D556" s="1"/>
    </row>
    <row r="557" spans="2:4">
      <c r="B557" s="1"/>
      <c r="D557" s="1"/>
    </row>
    <row r="558" spans="2:4">
      <c r="B558" s="1"/>
      <c r="D558" s="1"/>
    </row>
    <row r="559" spans="2:4">
      <c r="B559" s="1"/>
      <c r="D559" s="1"/>
    </row>
    <row r="560" spans="2:4">
      <c r="B560" s="1"/>
      <c r="D560" s="1"/>
    </row>
    <row r="561" spans="2:4">
      <c r="B561" s="1"/>
      <c r="D561" s="1"/>
    </row>
    <row r="562" spans="2:4">
      <c r="B562" s="1"/>
      <c r="D562" s="1"/>
    </row>
    <row r="563" spans="2:4">
      <c r="B563" s="1"/>
      <c r="D563" s="1"/>
    </row>
    <row r="564" spans="2:4">
      <c r="B564" s="1"/>
      <c r="D564" s="1"/>
    </row>
    <row r="565" spans="2:4">
      <c r="B565" s="1"/>
      <c r="D565" s="1"/>
    </row>
    <row r="566" spans="2:4">
      <c r="B566" s="1"/>
      <c r="D566" s="1"/>
    </row>
    <row r="567" spans="2:4">
      <c r="B567" s="1"/>
      <c r="D567" s="1"/>
    </row>
    <row r="568" spans="2:4">
      <c r="B568" s="1"/>
      <c r="D568" s="1"/>
    </row>
    <row r="569" spans="2:4">
      <c r="B569" s="1"/>
      <c r="D569" s="1"/>
    </row>
    <row r="570" spans="2:4">
      <c r="B570" s="1"/>
      <c r="D570" s="1"/>
    </row>
    <row r="571" spans="2:4">
      <c r="B571" s="1"/>
      <c r="D571" s="1"/>
    </row>
    <row r="572" spans="2:4">
      <c r="B572" s="1"/>
      <c r="D572" s="1"/>
    </row>
    <row r="573" spans="2:4">
      <c r="B573" s="1"/>
      <c r="D573" s="1"/>
    </row>
    <row r="574" spans="2:4">
      <c r="B574" s="1"/>
      <c r="D574" s="1"/>
    </row>
    <row r="575" spans="2:4">
      <c r="B575" s="1"/>
      <c r="D575" s="1"/>
    </row>
    <row r="576" spans="2:4">
      <c r="B576" s="1"/>
      <c r="D576" s="1"/>
    </row>
    <row r="577" spans="2:4">
      <c r="B577" s="1"/>
      <c r="D577" s="1"/>
    </row>
    <row r="578" spans="2:4">
      <c r="B578" s="1"/>
      <c r="D578" s="1"/>
    </row>
    <row r="579" spans="2:4">
      <c r="B579" s="1"/>
      <c r="D579" s="1"/>
    </row>
    <row r="580" spans="2:4">
      <c r="B580" s="1"/>
      <c r="D580" s="1"/>
    </row>
    <row r="581" spans="2:4">
      <c r="B581" s="1"/>
      <c r="D581" s="1"/>
    </row>
    <row r="582" spans="2:4">
      <c r="B582" s="1"/>
      <c r="D582" s="1"/>
    </row>
    <row r="583" spans="2:4">
      <c r="B583" s="1"/>
      <c r="D583" s="1"/>
    </row>
    <row r="584" spans="2:4">
      <c r="B584" s="1"/>
      <c r="D584" s="1"/>
    </row>
    <row r="585" spans="2:4">
      <c r="B585" s="1"/>
      <c r="D585" s="1"/>
    </row>
    <row r="586" spans="2:4">
      <c r="B586" s="1"/>
      <c r="D586" s="1"/>
    </row>
    <row r="587" spans="2:4">
      <c r="B587" s="1"/>
      <c r="D587" s="1"/>
    </row>
    <row r="588" spans="2:4">
      <c r="B588" s="1"/>
      <c r="D588" s="1"/>
    </row>
    <row r="589" spans="2:4">
      <c r="B589" s="1"/>
      <c r="D589" s="1"/>
    </row>
    <row r="590" spans="2:4">
      <c r="B590" s="1"/>
      <c r="D590" s="1"/>
    </row>
    <row r="591" spans="2:4">
      <c r="B591" s="1"/>
      <c r="D591" s="1"/>
    </row>
    <row r="592" spans="2:4">
      <c r="B592" s="1"/>
      <c r="D592" s="1"/>
    </row>
    <row r="593" spans="2:4">
      <c r="B593" s="1"/>
      <c r="D593" s="1"/>
    </row>
    <row r="594" spans="2:4">
      <c r="B594" s="1"/>
      <c r="D594" s="1"/>
    </row>
    <row r="595" spans="2:4">
      <c r="B595" s="1"/>
      <c r="D595" s="1"/>
    </row>
    <row r="596" spans="2:4">
      <c r="B596" s="1"/>
      <c r="D596" s="1"/>
    </row>
    <row r="597" spans="2:4">
      <c r="B597" s="1"/>
      <c r="D597" s="1"/>
    </row>
    <row r="598" spans="2:4">
      <c r="B598" s="1"/>
      <c r="D598" s="1"/>
    </row>
    <row r="599" spans="2:4">
      <c r="B599" s="1"/>
      <c r="D599" s="1"/>
    </row>
    <row r="600" spans="2:4">
      <c r="B600" s="1"/>
      <c r="D600" s="1"/>
    </row>
    <row r="601" spans="2:4">
      <c r="B601" s="1"/>
      <c r="D601" s="1"/>
    </row>
    <row r="602" spans="2:4">
      <c r="B602" s="1"/>
      <c r="D602" s="1"/>
    </row>
    <row r="603" spans="2:4">
      <c r="B603" s="1"/>
      <c r="D603" s="1"/>
    </row>
    <row r="604" spans="2:4">
      <c r="B604" s="1"/>
      <c r="D604" s="1"/>
    </row>
    <row r="605" spans="2:4">
      <c r="B605" s="1"/>
      <c r="D605" s="1"/>
    </row>
    <row r="606" spans="2:4">
      <c r="B606" s="1"/>
      <c r="D606" s="1"/>
    </row>
    <row r="607" spans="2:4">
      <c r="B607" s="1"/>
      <c r="D607" s="1"/>
    </row>
    <row r="608" spans="2:4">
      <c r="B608" s="1"/>
      <c r="D608" s="1"/>
    </row>
    <row r="609" spans="2:4">
      <c r="B609" s="1"/>
      <c r="D609" s="1"/>
    </row>
    <row r="610" spans="2:4">
      <c r="B610" s="1"/>
      <c r="D610" s="1"/>
    </row>
    <row r="611" spans="2:4">
      <c r="B611" s="1"/>
      <c r="D611" s="1"/>
    </row>
    <row r="612" spans="2:4">
      <c r="B612" s="1"/>
      <c r="D612" s="1"/>
    </row>
    <row r="613" spans="2:4">
      <c r="B613" s="1"/>
      <c r="D613" s="1"/>
    </row>
    <row r="614" spans="2:4">
      <c r="B614" s="1"/>
      <c r="D614" s="1"/>
    </row>
    <row r="615" spans="2:4">
      <c r="B615" s="1"/>
      <c r="D615" s="1"/>
    </row>
    <row r="616" spans="2:4">
      <c r="B616" s="1"/>
      <c r="D616" s="1"/>
    </row>
    <row r="617" spans="2:4">
      <c r="B617" s="1"/>
      <c r="D617" s="1"/>
    </row>
    <row r="618" spans="2:4">
      <c r="B618" s="1"/>
      <c r="D618" s="1"/>
    </row>
    <row r="619" spans="2:4">
      <c r="B619" s="1"/>
      <c r="D619" s="1"/>
    </row>
    <row r="620" spans="2:4">
      <c r="B620" s="1"/>
      <c r="D620" s="1"/>
    </row>
    <row r="621" spans="2:4">
      <c r="B621" s="1"/>
      <c r="D621" s="1"/>
    </row>
    <row r="622" spans="2:4">
      <c r="B622" s="1"/>
      <c r="D622" s="1"/>
    </row>
    <row r="623" spans="2:4">
      <c r="B623" s="1"/>
      <c r="D623" s="1"/>
    </row>
    <row r="624" spans="2:4">
      <c r="B624" s="1"/>
      <c r="D624" s="1"/>
    </row>
    <row r="625" spans="2:4">
      <c r="B625" s="1"/>
      <c r="D625" s="1"/>
    </row>
    <row r="626" spans="2:4">
      <c r="B626" s="1"/>
      <c r="D626" s="1"/>
    </row>
    <row r="627" spans="2:4">
      <c r="B627" s="1"/>
      <c r="D627" s="1"/>
    </row>
    <row r="628" spans="2:4">
      <c r="B628" s="1"/>
      <c r="D628" s="1"/>
    </row>
    <row r="629" spans="2:4">
      <c r="B629" s="1"/>
      <c r="D629" s="1"/>
    </row>
    <row r="630" spans="2:4">
      <c r="B630" s="1"/>
      <c r="D630" s="1"/>
    </row>
    <row r="631" spans="2:4">
      <c r="B631" s="1"/>
      <c r="D631" s="1"/>
    </row>
    <row r="632" spans="2:4">
      <c r="B632" s="1"/>
      <c r="D632" s="1"/>
    </row>
    <row r="633" spans="2:4">
      <c r="B633" s="1"/>
      <c r="D633" s="1"/>
    </row>
    <row r="634" spans="2:4">
      <c r="B634" s="1"/>
      <c r="D634" s="1"/>
    </row>
    <row r="635" spans="2:4">
      <c r="B635" s="1"/>
      <c r="D635" s="1"/>
    </row>
    <row r="636" spans="2:4">
      <c r="B636" s="1"/>
      <c r="D636" s="1"/>
    </row>
    <row r="637" spans="2:4">
      <c r="B637" s="1"/>
      <c r="D637" s="1"/>
    </row>
    <row r="638" spans="2:4">
      <c r="B638" s="1"/>
      <c r="D638" s="1"/>
    </row>
    <row r="639" spans="2:4">
      <c r="B639" s="1"/>
      <c r="D639" s="1"/>
    </row>
    <row r="640" spans="2:4">
      <c r="B640" s="1"/>
      <c r="D640" s="1"/>
    </row>
    <row r="641" spans="2:4">
      <c r="B641" s="1"/>
      <c r="D641" s="1"/>
    </row>
    <row r="642" spans="2:4">
      <c r="B642" s="1"/>
      <c r="D642" s="1"/>
    </row>
    <row r="643" spans="2:4">
      <c r="B643" s="1"/>
      <c r="D643" s="1"/>
    </row>
    <row r="644" spans="2:4">
      <c r="B644" s="1"/>
      <c r="D644" s="1"/>
    </row>
    <row r="645" spans="2:4">
      <c r="B645" s="1"/>
      <c r="D645" s="1"/>
    </row>
    <row r="646" spans="2:4">
      <c r="B646" s="1"/>
      <c r="D646" s="1"/>
    </row>
    <row r="647" spans="2:4">
      <c r="B647" s="1"/>
      <c r="D647" s="1"/>
    </row>
    <row r="648" spans="2:4">
      <c r="B648" s="1"/>
      <c r="D648" s="1"/>
    </row>
    <row r="649" spans="2:4">
      <c r="B649" s="1"/>
      <c r="D649" s="1"/>
    </row>
    <row r="650" spans="2:4">
      <c r="B650" s="1"/>
      <c r="D650" s="1"/>
    </row>
    <row r="651" spans="2:4">
      <c r="B651" s="1"/>
      <c r="D651" s="1"/>
    </row>
    <row r="652" spans="2:4">
      <c r="B652" s="1"/>
      <c r="D652" s="1"/>
    </row>
    <row r="653" spans="2:4">
      <c r="B653" s="1"/>
      <c r="D653" s="1"/>
    </row>
    <row r="654" spans="2:4">
      <c r="B654" s="1"/>
      <c r="D654" s="1"/>
    </row>
    <row r="655" spans="2:4">
      <c r="B655" s="1"/>
      <c r="D655" s="1"/>
    </row>
    <row r="656" spans="2:4">
      <c r="B656" s="1"/>
      <c r="D656" s="1"/>
    </row>
    <row r="657" spans="2:5">
      <c r="B657" s="1"/>
      <c r="D657" s="1"/>
    </row>
    <row r="658" spans="2:5">
      <c r="B658" s="1"/>
      <c r="D658" s="1"/>
    </row>
    <row r="659" spans="2:5">
      <c r="B659" s="1"/>
      <c r="D659" s="1"/>
    </row>
    <row r="660" spans="2:5">
      <c r="B660" s="1"/>
      <c r="D660" s="1"/>
    </row>
    <row r="661" spans="2:5">
      <c r="B661" s="1"/>
      <c r="D661" s="1"/>
    </row>
    <row r="662" spans="2:5">
      <c r="B662" s="1"/>
      <c r="D662" s="1"/>
    </row>
    <row r="663" spans="2:5">
      <c r="B663" s="1"/>
      <c r="D663" s="1"/>
    </row>
    <row r="664" spans="2:5">
      <c r="B664" s="1"/>
      <c r="D664" s="1"/>
    </row>
    <row r="665" spans="2:5">
      <c r="B665" s="1"/>
      <c r="D665" s="1"/>
    </row>
    <row r="666" spans="2:5">
      <c r="B666" s="1"/>
      <c r="D666" s="1"/>
    </row>
    <row r="667" spans="2:5">
      <c r="B667" s="1"/>
      <c r="C667" s="3"/>
      <c r="D667" s="1"/>
      <c r="E667" s="3"/>
    </row>
    <row r="668" spans="2:5">
      <c r="B668" s="1"/>
      <c r="C668" s="3"/>
      <c r="D668" s="1"/>
      <c r="E668" s="3"/>
    </row>
    <row r="669" spans="2:5">
      <c r="B669" s="1"/>
      <c r="C669" s="3"/>
      <c r="D669" s="1"/>
      <c r="E669" s="3"/>
    </row>
    <row r="670" spans="2:5">
      <c r="B670" s="1"/>
      <c r="C670" s="3"/>
      <c r="D670" s="1"/>
      <c r="E670" s="3"/>
    </row>
    <row r="671" spans="2:5">
      <c r="B671" s="1"/>
      <c r="C671" s="3"/>
      <c r="D671" s="1"/>
      <c r="E671" s="3"/>
    </row>
    <row r="672" spans="2:5">
      <c r="B672" s="1"/>
      <c r="C672" s="3"/>
      <c r="D672" s="1"/>
      <c r="E672" s="3"/>
    </row>
    <row r="673" spans="2:5">
      <c r="B673" s="1"/>
      <c r="C673" s="3"/>
      <c r="D673" s="1"/>
      <c r="E673" s="3"/>
    </row>
    <row r="674" spans="2:5">
      <c r="B674" s="1"/>
      <c r="C674" s="3"/>
      <c r="D674" s="1"/>
      <c r="E674" s="3"/>
    </row>
    <row r="675" spans="2:5">
      <c r="B675" s="1"/>
      <c r="C675" s="3"/>
      <c r="D675" s="1"/>
      <c r="E675" s="3"/>
    </row>
    <row r="676" spans="2:5">
      <c r="B676" s="1"/>
      <c r="C676" s="3"/>
      <c r="D676" s="1"/>
      <c r="E676" s="3"/>
    </row>
    <row r="677" spans="2:5">
      <c r="B677" s="1"/>
      <c r="C677" s="3"/>
      <c r="D677" s="1"/>
      <c r="E677" s="3"/>
    </row>
    <row r="678" spans="2:5">
      <c r="B678" s="1"/>
      <c r="C678" s="3"/>
      <c r="D678" s="1"/>
      <c r="E678" s="3"/>
    </row>
    <row r="679" spans="2:5">
      <c r="B679" s="1"/>
      <c r="C679" s="3"/>
      <c r="D679" s="1"/>
      <c r="E679" s="3"/>
    </row>
    <row r="680" spans="2:5">
      <c r="B680" s="1"/>
      <c r="C680" s="3"/>
      <c r="D680" s="1"/>
      <c r="E680" s="3"/>
    </row>
    <row r="681" spans="2:5">
      <c r="B681" s="1"/>
      <c r="C681" s="3"/>
      <c r="D681" s="1"/>
      <c r="E681" s="3"/>
    </row>
    <row r="682" spans="2:5">
      <c r="B682" s="1"/>
      <c r="C682" s="3"/>
      <c r="D682" s="1"/>
      <c r="E682" s="3"/>
    </row>
    <row r="683" spans="2:5">
      <c r="B683" s="1"/>
      <c r="C683" s="3"/>
      <c r="D683" s="1"/>
      <c r="E683" s="3"/>
    </row>
    <row r="684" spans="2:5">
      <c r="B684" s="1"/>
      <c r="C684" s="3"/>
      <c r="D684" s="1"/>
      <c r="E684" s="3"/>
    </row>
    <row r="685" spans="2:5">
      <c r="B685" s="1"/>
      <c r="C685" s="3"/>
      <c r="D685" s="1"/>
      <c r="E685" s="3"/>
    </row>
    <row r="686" spans="2:5">
      <c r="B686" s="1"/>
      <c r="C686" s="3"/>
      <c r="D686" s="1"/>
      <c r="E686" s="3"/>
    </row>
    <row r="687" spans="2:5">
      <c r="B687" s="1"/>
      <c r="C687" s="3"/>
      <c r="D687" s="1"/>
      <c r="E687" s="3"/>
    </row>
    <row r="688" spans="2:5">
      <c r="B688" s="1"/>
      <c r="C688" s="3"/>
      <c r="D688" s="1"/>
      <c r="E688" s="3"/>
    </row>
    <row r="689" spans="2:5">
      <c r="B689" s="1"/>
      <c r="C689" s="3"/>
      <c r="D689" s="1"/>
      <c r="E689" s="3"/>
    </row>
    <row r="690" spans="2:5">
      <c r="B690" s="1"/>
      <c r="C690" s="3"/>
      <c r="D690" s="1"/>
      <c r="E690" s="3"/>
    </row>
    <row r="691" spans="2:5">
      <c r="B691" s="1"/>
      <c r="C691" s="3"/>
      <c r="D691" s="1"/>
      <c r="E691" s="3"/>
    </row>
    <row r="692" spans="2:5">
      <c r="B692" s="1"/>
      <c r="C692" s="3"/>
      <c r="D692" s="1"/>
      <c r="E692" s="3"/>
    </row>
  </sheetData>
  <sheetCalcPr fullCalcOnLoad="1"/>
  <sheetProtection password="DF3F" sheet="1" objects="1" scenarios="1"/>
  <mergeCells count="74">
    <mergeCell ref="B5:E5"/>
    <mergeCell ref="S5:V5"/>
    <mergeCell ref="G3:I3"/>
    <mergeCell ref="J3:K3"/>
    <mergeCell ref="CA3:CA4"/>
    <mergeCell ref="AY3:BA3"/>
    <mergeCell ref="Z3:AB3"/>
    <mergeCell ref="M449:Q449"/>
    <mergeCell ref="U3:U4"/>
    <mergeCell ref="V3:V4"/>
    <mergeCell ref="G5:K5"/>
    <mergeCell ref="S3:T3"/>
    <mergeCell ref="M5:Q5"/>
    <mergeCell ref="M3:O3"/>
    <mergeCell ref="BS2:BV2"/>
    <mergeCell ref="X3:X4"/>
    <mergeCell ref="Y3:Y4"/>
    <mergeCell ref="S2:V2"/>
    <mergeCell ref="BS5:BV5"/>
    <mergeCell ref="BZ3:BZ4"/>
    <mergeCell ref="BV3:BV4"/>
    <mergeCell ref="AC3:AE3"/>
    <mergeCell ref="AI3:AK3"/>
    <mergeCell ref="BX3:BX4"/>
    <mergeCell ref="CC2:CD3"/>
    <mergeCell ref="CC5:CD5"/>
    <mergeCell ref="AP3:AP4"/>
    <mergeCell ref="X2:AP2"/>
    <mergeCell ref="X5:AP5"/>
    <mergeCell ref="BM2:BQ2"/>
    <mergeCell ref="BU3:BU4"/>
    <mergeCell ref="BX2:CA2"/>
    <mergeCell ref="AQ2:BI2"/>
    <mergeCell ref="BQ3:BQ4"/>
    <mergeCell ref="CW9:CX9"/>
    <mergeCell ref="BM5:BQ5"/>
    <mergeCell ref="BE3:BG3"/>
    <mergeCell ref="AL3:AN3"/>
    <mergeCell ref="P3:Q3"/>
    <mergeCell ref="AV3:AX3"/>
    <mergeCell ref="BT3:BT4"/>
    <mergeCell ref="BS3:BS4"/>
    <mergeCell ref="AQ5:BI5"/>
    <mergeCell ref="BP3:BP4"/>
    <mergeCell ref="CF2:CJ2"/>
    <mergeCell ref="BB3:BD3"/>
    <mergeCell ref="CQ2:CR2"/>
    <mergeCell ref="AQ3:AQ4"/>
    <mergeCell ref="AR3:AR4"/>
    <mergeCell ref="AS3:AU3"/>
    <mergeCell ref="CN2:CO2"/>
    <mergeCell ref="BO3:BO4"/>
    <mergeCell ref="BY3:BY4"/>
    <mergeCell ref="BI3:BI4"/>
    <mergeCell ref="B2:E2"/>
    <mergeCell ref="B3:C3"/>
    <mergeCell ref="D3:E3"/>
    <mergeCell ref="BM3:BM4"/>
    <mergeCell ref="BN3:BN4"/>
    <mergeCell ref="AF3:AH3"/>
    <mergeCell ref="G2:K2"/>
    <mergeCell ref="M2:Q2"/>
    <mergeCell ref="CF5:CJ5"/>
    <mergeCell ref="CF3:CF4"/>
    <mergeCell ref="CG3:CG4"/>
    <mergeCell ref="CH3:CH4"/>
    <mergeCell ref="CI3:CI4"/>
    <mergeCell ref="CJ3:CJ4"/>
    <mergeCell ref="CN5:CO5"/>
    <mergeCell ref="CQ5:CR5"/>
    <mergeCell ref="CN3:CN4"/>
    <mergeCell ref="CQ3:CQ4"/>
    <mergeCell ref="CO3:CO4"/>
    <mergeCell ref="CR3:CR4"/>
  </mergeCells>
  <phoneticPr fontId="0" type="noConversion"/>
  <printOptions horizontalCentered="1" verticalCentered="1"/>
  <pageMargins left="0" right="0" top="0.19685039370078741" bottom="0.19685039370078741" header="0" footer="0"/>
  <pageSetup paperSize="9" orientation="landscape" blackAndWhite="1" r:id="rId1"/>
  <headerFooter alignWithMargins="0"/>
  <picture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96</vt:i4>
      </vt:variant>
    </vt:vector>
  </HeadingPairs>
  <TitlesOfParts>
    <vt:vector size="103" baseType="lpstr">
      <vt:lpstr>capa</vt:lpstr>
      <vt:lpstr>cadastro</vt:lpstr>
      <vt:lpstr>calculo</vt:lpstr>
      <vt:lpstr>rascunho</vt:lpstr>
      <vt:lpstr>AUX</vt:lpstr>
      <vt:lpstr>sobre</vt:lpstr>
      <vt:lpstr>tabelas</vt:lpstr>
      <vt:lpstr>calculo!Area_de_impressao</vt:lpstr>
      <vt:lpstr>c_op2</vt:lpstr>
      <vt:lpstr>COD_IMP</vt:lpstr>
      <vt:lpstr>COD_JCM</vt:lpstr>
      <vt:lpstr>tabelas!coefjfsc_17</vt:lpstr>
      <vt:lpstr>tabelas!coefjfsc_22</vt:lpstr>
      <vt:lpstr>tabelas!coefjfsc_28</vt:lpstr>
      <vt:lpstr>tabelas!coefjfsc_34</vt:lpstr>
      <vt:lpstr>tabelas!coefjfsc_40</vt:lpstr>
      <vt:lpstr>tabelas!coefjfsc_46</vt:lpstr>
      <vt:lpstr>tabelas!coefjfsc_50</vt:lpstr>
      <vt:lpstr>tabelas!coefjfsc_56</vt:lpstr>
      <vt:lpstr>tabelas!coefjfsc_57</vt:lpstr>
      <vt:lpstr>tabelas!coefjfsc_58</vt:lpstr>
      <vt:lpstr>tabelas!coefjfsc_59</vt:lpstr>
      <vt:lpstr>tabelas!coefjfsc_60</vt:lpstr>
      <vt:lpstr>tabelas!coefjfsc_61</vt:lpstr>
      <vt:lpstr>tabelas!coefjfsc_62</vt:lpstr>
      <vt:lpstr>tabelas!coefjfsc_64</vt:lpstr>
      <vt:lpstr>tabelas!coefjfsc_65</vt:lpstr>
      <vt:lpstr>tabelas!coefjfsc_66</vt:lpstr>
      <vt:lpstr>tabelas!coefjfsc_67</vt:lpstr>
      <vt:lpstr>tabelas!coefjfsc_68</vt:lpstr>
      <vt:lpstr>tabelas!coefjfsc_69</vt:lpstr>
      <vt:lpstr>tabelas!coefjfsc_70</vt:lpstr>
      <vt:lpstr>tabelas!coefjfsc_71</vt:lpstr>
      <vt:lpstr>tabelas!coefjfsc_72</vt:lpstr>
      <vt:lpstr>tabelas!coefjfsc_73</vt:lpstr>
      <vt:lpstr>tabelas!coefjfsc_74</vt:lpstr>
      <vt:lpstr>tabelas!coefjfsc_75</vt:lpstr>
      <vt:lpstr>tabelas!coefjfsc_76</vt:lpstr>
      <vt:lpstr>tabelas!coefjfsc_77</vt:lpstr>
      <vt:lpstr>tabelas!coefjfsc_78</vt:lpstr>
      <vt:lpstr>tabelas!coefjfsc_79</vt:lpstr>
      <vt:lpstr>tabelas!coefjfsc_80</vt:lpstr>
      <vt:lpstr>tabelas!coefjfsc_81</vt:lpstr>
      <vt:lpstr>tabelas!coefjfsc_82</vt:lpstr>
      <vt:lpstr>tabelas!coefjfsc_83</vt:lpstr>
      <vt:lpstr>tabelas!coefjfsc_84</vt:lpstr>
      <vt:lpstr>COL_AC2</vt:lpstr>
      <vt:lpstr>COL_ANO</vt:lpstr>
      <vt:lpstr>COL_ANO2</vt:lpstr>
      <vt:lpstr>COL_ANOC</vt:lpstr>
      <vt:lpstr>COL_ANOCAL</vt:lpstr>
      <vt:lpstr>COL_REF</vt:lpstr>
      <vt:lpstr>COL_REF2</vt:lpstr>
      <vt:lpstr>COL_SM</vt:lpstr>
      <vt:lpstr>COL_TETO_SIM</vt:lpstr>
      <vt:lpstr>COL_TIP</vt:lpstr>
      <vt:lpstr>col_valor</vt:lpstr>
      <vt:lpstr>col_valor1</vt:lpstr>
      <vt:lpstr>CTR_IMP_DT</vt:lpstr>
      <vt:lpstr>CTR_IMP_RG</vt:lpstr>
      <vt:lpstr>DAT_DIST</vt:lpstr>
      <vt:lpstr>DAT_DIST1</vt:lpstr>
      <vt:lpstr>DAT_FIM</vt:lpstr>
      <vt:lpstr>DAT_LIM_UFIR</vt:lpstr>
      <vt:lpstr>I_SM</vt:lpstr>
      <vt:lpstr>IND_CM_DIST</vt:lpstr>
      <vt:lpstr>IND_CM_FIM</vt:lpstr>
      <vt:lpstr>IND_JR_DIST</vt:lpstr>
      <vt:lpstr>IND_JR_FIM</vt:lpstr>
      <vt:lpstr>LIMITA_AJUIZ</vt:lpstr>
      <vt:lpstr>M_INI01</vt:lpstr>
      <vt:lpstr>M_IRPFA</vt:lpstr>
      <vt:lpstr>M_RENT</vt:lpstr>
      <vt:lpstr>M_SELIC</vt:lpstr>
      <vt:lpstr>M_SERIAL</vt:lpstr>
      <vt:lpstr>M_SM</vt:lpstr>
      <vt:lpstr>M_TR</vt:lpstr>
      <vt:lpstr>NOM_AUT</vt:lpstr>
      <vt:lpstr>NOM_PLAN</vt:lpstr>
      <vt:lpstr>NOM_SETOR</vt:lpstr>
      <vt:lpstr>NOM_VER</vt:lpstr>
      <vt:lpstr>NPROC</vt:lpstr>
      <vt:lpstr>NTOT</vt:lpstr>
      <vt:lpstr>NUM_PROC1</vt:lpstr>
      <vt:lpstr>PARC_AD</vt:lpstr>
      <vt:lpstr>PARC_DD</vt:lpstr>
      <vt:lpstr>PI_LIN</vt:lpstr>
      <vt:lpstr>SERIAL</vt:lpstr>
      <vt:lpstr>SIG_PLAN</vt:lpstr>
      <vt:lpstr>SIT_ATUAL</vt:lpstr>
      <vt:lpstr>SIT_ATUAL1</vt:lpstr>
      <vt:lpstr>T_LIN</vt:lpstr>
      <vt:lpstr>T_LIN1</vt:lpstr>
      <vt:lpstr>tot_pg1</vt:lpstr>
      <vt:lpstr>UFIR_011996</vt:lpstr>
      <vt:lpstr>v_op1</vt:lpstr>
      <vt:lpstr>v_op2</vt:lpstr>
      <vt:lpstr>VAL_TETO</vt:lpstr>
      <vt:lpstr>vdt_ec113</vt:lpstr>
      <vt:lpstr>VDT_TETO</vt:lpstr>
      <vt:lpstr>VHOJE</vt:lpstr>
      <vt:lpstr>VHOJE1</vt:lpstr>
      <vt:lpstr>VOP_EC113</vt:lpstr>
    </vt:vector>
  </TitlesOfParts>
  <Company>Justiça Federal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Ricardo Cruz Wanderle</dc:creator>
  <cp:lastModifiedBy>Sergio Ricardo Cruz Wanderle</cp:lastModifiedBy>
  <cp:lastPrinted>2026-09-16T21:48:25Z</cp:lastPrinted>
  <dcterms:created xsi:type="dcterms:W3CDTF">2004-04-15T19:07:00Z</dcterms:created>
  <dcterms:modified xsi:type="dcterms:W3CDTF">2026-09-16T21:49:00Z</dcterms:modified>
</cp:coreProperties>
</file>